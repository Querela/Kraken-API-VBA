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koerner\Desktop\"/>
    </mc:Choice>
  </mc:AlternateContent>
  <bookViews>
    <workbookView xWindow="0" yWindow="0" windowWidth="17030" windowHeight="6450" firstSheet="5" activeTab="7"/>
  </bookViews>
  <sheets>
    <sheet name="Kraken GetCurrentPrice" sheetId="1" r:id="rId1"/>
    <sheet name="Kraken Time" sheetId="2" r:id="rId2"/>
    <sheet name="Kraken AssetInfos" sheetId="3" r:id="rId3"/>
    <sheet name="Kraken AssetPairs" sheetId="4" r:id="rId4"/>
    <sheet name="Kraken Ticker" sheetId="5" r:id="rId5"/>
    <sheet name="Kraken OHLC data" sheetId="6" r:id="rId6"/>
    <sheet name="Kraken OrderBook" sheetId="7" r:id="rId7"/>
    <sheet name="Kraken RecentTrades" sheetId="8" r:id="rId8"/>
    <sheet name="Kraken Spread" sheetId="9" r:id="rId9"/>
  </sheets>
  <functionGroups builtInGroupCount="18"/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6" l="1"/>
  <c r="J17" i="1"/>
  <c r="J20" i="1"/>
  <c r="J16" i="1"/>
  <c r="J19" i="1"/>
  <c r="G40" i="9"/>
  <c r="G104" i="9"/>
  <c r="G168" i="9"/>
  <c r="G37" i="9"/>
  <c r="G41" i="9"/>
  <c r="G105" i="9"/>
  <c r="G181" i="9"/>
  <c r="G146" i="9"/>
  <c r="G51" i="9"/>
  <c r="G52" i="9"/>
  <c r="G77" i="9"/>
  <c r="G39" i="9"/>
  <c r="G90" i="9"/>
  <c r="G171" i="9"/>
  <c r="G62" i="9"/>
  <c r="G211" i="9"/>
  <c r="G167" i="9"/>
  <c r="G48" i="9"/>
  <c r="G112" i="9"/>
  <c r="G176" i="9"/>
  <c r="G117" i="9"/>
  <c r="G49" i="9"/>
  <c r="G113" i="9"/>
  <c r="G155" i="9"/>
  <c r="G163" i="9"/>
  <c r="G124" i="9"/>
  <c r="G68" i="9"/>
  <c r="G111" i="9"/>
  <c r="G56" i="9"/>
  <c r="G120" i="9"/>
  <c r="G184" i="9"/>
  <c r="G173" i="9"/>
  <c r="G57" i="9"/>
  <c r="G121" i="9"/>
  <c r="G185" i="9"/>
  <c r="G187" i="9"/>
  <c r="G190" i="9"/>
  <c r="G34" i="9"/>
  <c r="G98" i="9"/>
  <c r="G162" i="9"/>
  <c r="G196" i="9"/>
  <c r="G64" i="9"/>
  <c r="G128" i="9"/>
  <c r="G192" i="9"/>
  <c r="G182" i="9"/>
  <c r="G65" i="9"/>
  <c r="G129" i="9"/>
  <c r="G193" i="9"/>
  <c r="G203" i="9"/>
  <c r="G31" i="9"/>
  <c r="G42" i="9"/>
  <c r="G106" i="9"/>
  <c r="G170" i="9"/>
  <c r="G29" i="9"/>
  <c r="G183" i="9"/>
  <c r="G75" i="9"/>
  <c r="G61" i="9"/>
  <c r="G199" i="9"/>
  <c r="G76" i="9"/>
  <c r="G140" i="9"/>
  <c r="G204" i="9"/>
  <c r="G133" i="9"/>
  <c r="G191" i="9"/>
  <c r="G78" i="9"/>
  <c r="G142" i="9"/>
  <c r="G151" i="9"/>
  <c r="G144" i="9"/>
  <c r="G81" i="9"/>
  <c r="G93" i="9"/>
  <c r="G122" i="9"/>
  <c r="G27" i="9"/>
  <c r="G189" i="9"/>
  <c r="G156" i="9"/>
  <c r="G30" i="9"/>
  <c r="J8" i="9"/>
  <c r="G87" i="9"/>
  <c r="G85" i="9"/>
  <c r="G67" i="9"/>
  <c r="G134" i="9"/>
  <c r="G72" i="9"/>
  <c r="G136" i="9"/>
  <c r="G200" i="9"/>
  <c r="G55" i="9"/>
  <c r="G73" i="9"/>
  <c r="G137" i="9"/>
  <c r="G201" i="9"/>
  <c r="G53" i="9"/>
  <c r="G103" i="9"/>
  <c r="G50" i="9"/>
  <c r="G114" i="9"/>
  <c r="G178" i="9"/>
  <c r="G101" i="9"/>
  <c r="G19" i="9"/>
  <c r="G83" i="9"/>
  <c r="G141" i="9"/>
  <c r="G20" i="9"/>
  <c r="G84" i="9"/>
  <c r="G148" i="9"/>
  <c r="G212" i="9"/>
  <c r="G157" i="9"/>
  <c r="G22" i="9"/>
  <c r="G86" i="9"/>
  <c r="G150" i="9"/>
  <c r="G14" i="9"/>
  <c r="G208" i="9"/>
  <c r="G209" i="9"/>
  <c r="G58" i="9"/>
  <c r="G165" i="9"/>
  <c r="G91" i="9"/>
  <c r="G92" i="9"/>
  <c r="G197" i="9"/>
  <c r="G158" i="9"/>
  <c r="G154" i="9"/>
  <c r="G188" i="9"/>
  <c r="G119" i="9"/>
  <c r="G16" i="9"/>
  <c r="G80" i="9"/>
  <c r="G17" i="9"/>
  <c r="G145" i="9"/>
  <c r="G143" i="9"/>
  <c r="G186" i="9"/>
  <c r="G28" i="9"/>
  <c r="G21" i="9"/>
  <c r="G94" i="9"/>
  <c r="G26" i="9"/>
  <c r="G60" i="9"/>
  <c r="G71" i="9"/>
  <c r="G132" i="9"/>
  <c r="G24" i="9"/>
  <c r="G88" i="9"/>
  <c r="G152" i="9"/>
  <c r="G115" i="9"/>
  <c r="G25" i="9"/>
  <c r="G89" i="9"/>
  <c r="G153" i="9"/>
  <c r="G210" i="9"/>
  <c r="G125" i="9"/>
  <c r="G175" i="9"/>
  <c r="G66" i="9"/>
  <c r="G130" i="9"/>
  <c r="G194" i="9"/>
  <c r="G205" i="9"/>
  <c r="G35" i="9"/>
  <c r="G99" i="9"/>
  <c r="G198" i="9"/>
  <c r="G36" i="9"/>
  <c r="G100" i="9"/>
  <c r="G164" i="9"/>
  <c r="G45" i="9"/>
  <c r="G174" i="9"/>
  <c r="G38" i="9"/>
  <c r="G102" i="9"/>
  <c r="G166" i="9"/>
  <c r="G44" i="9"/>
  <c r="G69" i="9"/>
  <c r="G46" i="9"/>
  <c r="G206" i="9"/>
  <c r="G147" i="9"/>
  <c r="G82" i="9"/>
  <c r="G63" i="9"/>
  <c r="G79" i="9"/>
  <c r="G180" i="9"/>
  <c r="G54" i="9"/>
  <c r="G177" i="9"/>
  <c r="G59" i="9"/>
  <c r="G135" i="9"/>
  <c r="G195" i="9"/>
  <c r="G70" i="9"/>
  <c r="G32" i="9"/>
  <c r="G96" i="9"/>
  <c r="G160" i="9"/>
  <c r="G179" i="9"/>
  <c r="G33" i="9"/>
  <c r="G97" i="9"/>
  <c r="G161" i="9"/>
  <c r="G123" i="9"/>
  <c r="G149" i="9"/>
  <c r="G207" i="9"/>
  <c r="G74" i="9"/>
  <c r="G138" i="9"/>
  <c r="G202" i="9"/>
  <c r="G15" i="9"/>
  <c r="G43" i="9"/>
  <c r="G107" i="9"/>
  <c r="G23" i="9"/>
  <c r="G108" i="9"/>
  <c r="G172" i="9"/>
  <c r="G47" i="9"/>
  <c r="G110" i="9"/>
  <c r="G169" i="9"/>
  <c r="G18" i="9"/>
  <c r="G131" i="9"/>
  <c r="G139" i="9"/>
  <c r="G116" i="9"/>
  <c r="G95" i="9"/>
  <c r="G118" i="9"/>
  <c r="G213" i="9"/>
  <c r="G127" i="9"/>
  <c r="G126" i="9"/>
  <c r="G159" i="9"/>
  <c r="G109" i="9"/>
  <c r="H5" i="2"/>
  <c r="J15" i="7"/>
  <c r="K15" i="7"/>
  <c r="J17" i="7"/>
  <c r="J16" i="7"/>
  <c r="K16" i="7"/>
  <c r="K14" i="7"/>
  <c r="K17" i="7"/>
  <c r="J14" i="7"/>
  <c r="J18" i="7"/>
  <c r="K18" i="7"/>
  <c r="M10" i="6"/>
  <c r="J8" i="8"/>
</calcChain>
</file>

<file path=xl/sharedStrings.xml><?xml version="1.0" encoding="utf-8"?>
<sst xmlns="http://schemas.openxmlformats.org/spreadsheetml/2006/main" count="5290" uniqueCount="551">
  <si>
    <t>XXBTZEUR</t>
  </si>
  <si>
    <t>XETHZEUR</t>
  </si>
  <si>
    <t>XXRPZEUR</t>
  </si>
  <si>
    <t>XTZEUR</t>
  </si>
  <si>
    <t>PAXGEUR</t>
  </si>
  <si>
    <t>SCEUR</t>
  </si>
  <si>
    <t>LSKEUR</t>
  </si>
  <si>
    <t>XDGEUR</t>
  </si>
  <si>
    <t>USDTEUR</t>
  </si>
  <si>
    <t>sInput</t>
  </si>
  <si>
    <t>SHA256 (base64)</t>
  </si>
  <si>
    <t>SHA256 (bytes)</t>
  </si>
  <si>
    <t>Bytes (first?)</t>
  </si>
  <si>
    <t>Bytes (all)</t>
  </si>
  <si>
    <t>current price</t>
  </si>
  <si>
    <t>difference to last price</t>
  </si>
  <si>
    <t>Note: Assign Link to self on crypto name and process link click in code …</t>
  </si>
  <si>
    <t>https://www.kraken.com/features/api#get-server-time</t>
  </si>
  <si>
    <t>Get server time</t>
  </si>
  <si>
    <t>Get</t>
  </si>
  <si>
    <t>rfc1123</t>
  </si>
  <si>
    <t>unixtime</t>
  </si>
  <si>
    <t>Get asset info</t>
  </si>
  <si>
    <t>https://www.kraken.com/features/api#get-asset-info</t>
  </si>
  <si>
    <t>Params</t>
  </si>
  <si>
    <t>XBT</t>
  </si>
  <si>
    <t>Assets</t>
  </si>
  <si>
    <t>XETH</t>
  </si>
  <si>
    <t>ETH</t>
  </si>
  <si>
    <t>XXBT</t>
  </si>
  <si>
    <t>aclass</t>
  </si>
  <si>
    <t>altname</t>
  </si>
  <si>
    <t>asset</t>
  </si>
  <si>
    <t>decimals</t>
  </si>
  <si>
    <t>display_decimals</t>
  </si>
  <si>
    <t>currency</t>
  </si>
  <si>
    <t>ADA</t>
  </si>
  <si>
    <t>ALGO</t>
  </si>
  <si>
    <t>ATOM</t>
  </si>
  <si>
    <t>BAT</t>
  </si>
  <si>
    <t>BCH</t>
  </si>
  <si>
    <t>BSV</t>
  </si>
  <si>
    <t>CHF</t>
  </si>
  <si>
    <t>DAI</t>
  </si>
  <si>
    <t>DASH</t>
  </si>
  <si>
    <t>EOS</t>
  </si>
  <si>
    <t>GNO</t>
  </si>
  <si>
    <t>ICX</t>
  </si>
  <si>
    <t>KFEE</t>
  </si>
  <si>
    <t>FEE</t>
  </si>
  <si>
    <t>LINK</t>
  </si>
  <si>
    <t>LSK</t>
  </si>
  <si>
    <t>NANO</t>
  </si>
  <si>
    <t>OMG</t>
  </si>
  <si>
    <t>OXT</t>
  </si>
  <si>
    <t>PAXG</t>
  </si>
  <si>
    <t>QTUM</t>
  </si>
  <si>
    <t>SC</t>
  </si>
  <si>
    <t>TRX</t>
  </si>
  <si>
    <t>USDC</t>
  </si>
  <si>
    <t>USDT</t>
  </si>
  <si>
    <t>WAVES</t>
  </si>
  <si>
    <t>XETC</t>
  </si>
  <si>
    <t>ETC</t>
  </si>
  <si>
    <t>XLTC</t>
  </si>
  <si>
    <t>LTC</t>
  </si>
  <si>
    <t>XMLN</t>
  </si>
  <si>
    <t>MLN</t>
  </si>
  <si>
    <t>XREP</t>
  </si>
  <si>
    <t>REP</t>
  </si>
  <si>
    <t>XTZ</t>
  </si>
  <si>
    <t>XTZ.S</t>
  </si>
  <si>
    <t>XXDG</t>
  </si>
  <si>
    <t>XDG</t>
  </si>
  <si>
    <t>XXLM</t>
  </si>
  <si>
    <t>XLM</t>
  </si>
  <si>
    <t>XXMR</t>
  </si>
  <si>
    <t>XMR</t>
  </si>
  <si>
    <t>XXRP</t>
  </si>
  <si>
    <t>XRP</t>
  </si>
  <si>
    <t>XZEC</t>
  </si>
  <si>
    <t>ZEC</t>
  </si>
  <si>
    <t>ZCAD</t>
  </si>
  <si>
    <t>CAD</t>
  </si>
  <si>
    <t>ZEUR</t>
  </si>
  <si>
    <t>EUR</t>
  </si>
  <si>
    <t>ZGBP</t>
  </si>
  <si>
    <t>GBP</t>
  </si>
  <si>
    <t>ZJPY</t>
  </si>
  <si>
    <t>JPY</t>
  </si>
  <si>
    <t>ZUSD</t>
  </si>
  <si>
    <t>USD</t>
  </si>
  <si>
    <t>(kommalist; empty for default, all)</t>
  </si>
  <si>
    <t>BTC,ETH,ZEUR</t>
  </si>
  <si>
    <t>Get tradable asset pairs</t>
  </si>
  <si>
    <t>https://www.kraken.com/features/api#get-tradable-pairs</t>
  </si>
  <si>
    <t>Infos</t>
  </si>
  <si>
    <t>fees</t>
  </si>
  <si>
    <t>XBTEUR</t>
  </si>
  <si>
    <t>XBT/EUR</t>
  </si>
  <si>
    <t>unit</t>
  </si>
  <si>
    <t>wsclass</t>
  </si>
  <si>
    <t>aclass_base</t>
  </si>
  <si>
    <t>base</t>
  </si>
  <si>
    <t>aclass_quote</t>
  </si>
  <si>
    <t>quote</t>
  </si>
  <si>
    <t>lot</t>
  </si>
  <si>
    <t>pair_decimals</t>
  </si>
  <si>
    <t>lot_decimals</t>
  </si>
  <si>
    <t>lot_multiplier</t>
  </si>
  <si>
    <t>fee_volume_currency</t>
  </si>
  <si>
    <t>margin_call</t>
  </si>
  <si>
    <t>margin_stop</t>
  </si>
  <si>
    <t>fees_maker</t>
  </si>
  <si>
    <t>leverage_buy</t>
  </si>
  <si>
    <t>leverage_sell</t>
  </si>
  <si>
    <t>ADAETH</t>
  </si>
  <si>
    <t>ADA/ETH</t>
  </si>
  <si>
    <t>ADAEUR</t>
  </si>
  <si>
    <t>ADA/EUR</t>
  </si>
  <si>
    <t>ADAUSD</t>
  </si>
  <si>
    <t>ADA/USD</t>
  </si>
  <si>
    <t>ADAXBT</t>
  </si>
  <si>
    <t>ADA/XBT</t>
  </si>
  <si>
    <t>ALGOETH</t>
  </si>
  <si>
    <t>ALGO/ETH</t>
  </si>
  <si>
    <t>ALGOEUR</t>
  </si>
  <si>
    <t>ALGO/EUR</t>
  </si>
  <si>
    <t>ALGOUSD</t>
  </si>
  <si>
    <t>ALGO/USD</t>
  </si>
  <si>
    <t>ALGOXBT</t>
  </si>
  <si>
    <t>ALGO/XBT</t>
  </si>
  <si>
    <t>ATOMETH</t>
  </si>
  <si>
    <t>ATOM/ETH</t>
  </si>
  <si>
    <t>ATOMEUR</t>
  </si>
  <si>
    <t>ATOM/EUR</t>
  </si>
  <si>
    <t>ATOMUSD</t>
  </si>
  <si>
    <t>ATOM/USD</t>
  </si>
  <si>
    <t>ATOMXBT</t>
  </si>
  <si>
    <t>ATOM/XBT</t>
  </si>
  <si>
    <t>BATETH</t>
  </si>
  <si>
    <t>BAT/ETH</t>
  </si>
  <si>
    <t>BATEUR</t>
  </si>
  <si>
    <t>BAT/EUR</t>
  </si>
  <si>
    <t>BATUSD</t>
  </si>
  <si>
    <t>BAT/USD</t>
  </si>
  <si>
    <t>BATXBT</t>
  </si>
  <si>
    <t>BAT/XBT</t>
  </si>
  <si>
    <t>BCHETH</t>
  </si>
  <si>
    <t>BCH/ETH</t>
  </si>
  <si>
    <t>BCHEUR</t>
  </si>
  <si>
    <t>BCH/EUR</t>
  </si>
  <si>
    <t>BCHGBP</t>
  </si>
  <si>
    <t>BCH/GBP</t>
  </si>
  <si>
    <t>BCHUSD</t>
  </si>
  <si>
    <t>BCH/USD</t>
  </si>
  <si>
    <t>BCHUSDT</t>
  </si>
  <si>
    <t>BCH/USDT</t>
  </si>
  <si>
    <t>BCHXBT</t>
  </si>
  <si>
    <t>BCH/XBT</t>
  </si>
  <si>
    <t>DAIEUR</t>
  </si>
  <si>
    <t>DAI/EUR</t>
  </si>
  <si>
    <t>DAIUSD</t>
  </si>
  <si>
    <t>DAI/USD</t>
  </si>
  <si>
    <t>DAIUSDT</t>
  </si>
  <si>
    <t>DAI/USDT</t>
  </si>
  <si>
    <t>DASHEUR</t>
  </si>
  <si>
    <t>DASH/EUR</t>
  </si>
  <si>
    <t>DASHUSD</t>
  </si>
  <si>
    <t>DASH/USD</t>
  </si>
  <si>
    <t>DASHXBT</t>
  </si>
  <si>
    <t>DASH/XBT</t>
  </si>
  <si>
    <t>EOSETH</t>
  </si>
  <si>
    <t>EOS/ETH</t>
  </si>
  <si>
    <t>EOSEUR</t>
  </si>
  <si>
    <t>EOS/EUR</t>
  </si>
  <si>
    <t>EOSUSD</t>
  </si>
  <si>
    <t>EOS/USD</t>
  </si>
  <si>
    <t>EOSXBT</t>
  </si>
  <si>
    <t>EOS/XBT</t>
  </si>
  <si>
    <t>ETHCHF</t>
  </si>
  <si>
    <t>ETH/CHF</t>
  </si>
  <si>
    <t>ETHDAI</t>
  </si>
  <si>
    <t>ETH/DAI</t>
  </si>
  <si>
    <t>ETHUSDC</t>
  </si>
  <si>
    <t>ETH/USDC</t>
  </si>
  <si>
    <t>ETHUSDT</t>
  </si>
  <si>
    <t>ETH/USDT</t>
  </si>
  <si>
    <t>EURCAD</t>
  </si>
  <si>
    <t>EUR/CAD</t>
  </si>
  <si>
    <t>EURCHF</t>
  </si>
  <si>
    <t>EUR/CHF</t>
  </si>
  <si>
    <t>EURGBP</t>
  </si>
  <si>
    <t>EUR/GBP</t>
  </si>
  <si>
    <t>EURJPY</t>
  </si>
  <si>
    <t>EUR/JPY</t>
  </si>
  <si>
    <t>GNOETH</t>
  </si>
  <si>
    <t>GNO/ETH</t>
  </si>
  <si>
    <t>GNOEUR</t>
  </si>
  <si>
    <t>GNO/EUR</t>
  </si>
  <si>
    <t>GNOUSD</t>
  </si>
  <si>
    <t>GNO/USD</t>
  </si>
  <si>
    <t>GNOXBT</t>
  </si>
  <si>
    <t>GNO/XBT</t>
  </si>
  <si>
    <t>ICXETH</t>
  </si>
  <si>
    <t>ICX/ETH</t>
  </si>
  <si>
    <t>ICXEUR</t>
  </si>
  <si>
    <t>ICX/EUR</t>
  </si>
  <si>
    <t>ICXUSD</t>
  </si>
  <si>
    <t>ICX/USD</t>
  </si>
  <si>
    <t>ICXXBT</t>
  </si>
  <si>
    <t>ICX/XBT</t>
  </si>
  <si>
    <t>LINKETH</t>
  </si>
  <si>
    <t>LINK/ETH</t>
  </si>
  <si>
    <t>LINKEUR</t>
  </si>
  <si>
    <t>LINK/EUR</t>
  </si>
  <si>
    <t>LINKUSD</t>
  </si>
  <si>
    <t>LINK/USD</t>
  </si>
  <si>
    <t>LINKXBT</t>
  </si>
  <si>
    <t>LINK/XBT</t>
  </si>
  <si>
    <t>LSKETH</t>
  </si>
  <si>
    <t>LSK/ETH</t>
  </si>
  <si>
    <t>LSK/EUR</t>
  </si>
  <si>
    <t>LSKUSD</t>
  </si>
  <si>
    <t>LSK/USD</t>
  </si>
  <si>
    <t>LSKXBT</t>
  </si>
  <si>
    <t>LSK/XBT</t>
  </si>
  <si>
    <t>LTCETH</t>
  </si>
  <si>
    <t>LTC/ETH</t>
  </si>
  <si>
    <t>LTCGBP</t>
  </si>
  <si>
    <t>LTC/GBP</t>
  </si>
  <si>
    <t>LTCUSDT</t>
  </si>
  <si>
    <t>LTC/USDT</t>
  </si>
  <si>
    <t>NANOETH</t>
  </si>
  <si>
    <t>NANO/ETH</t>
  </si>
  <si>
    <t>NANOEUR</t>
  </si>
  <si>
    <t>NANO/EUR</t>
  </si>
  <si>
    <t>NANOUSD</t>
  </si>
  <si>
    <t>NANO/USD</t>
  </si>
  <si>
    <t>NANOXBT</t>
  </si>
  <si>
    <t>NANO/XBT</t>
  </si>
  <si>
    <t>OMGETH</t>
  </si>
  <si>
    <t>OMG/ETH</t>
  </si>
  <si>
    <t>OMGEUR</t>
  </si>
  <si>
    <t>OMG/EUR</t>
  </si>
  <si>
    <t>OMGUSD</t>
  </si>
  <si>
    <t>OMG/USD</t>
  </si>
  <si>
    <t>OMGXBT</t>
  </si>
  <si>
    <t>OMG/XBT</t>
  </si>
  <si>
    <t>OXTETH</t>
  </si>
  <si>
    <t>OXT/ETH</t>
  </si>
  <si>
    <t>OXTEUR</t>
  </si>
  <si>
    <t>OXT/EUR</t>
  </si>
  <si>
    <t>OXTUSD</t>
  </si>
  <si>
    <t>OXT/USD</t>
  </si>
  <si>
    <t>OXTXBT</t>
  </si>
  <si>
    <t>OXT/XBT</t>
  </si>
  <si>
    <t>PAXGETH</t>
  </si>
  <si>
    <t>PAXG/ETH</t>
  </si>
  <si>
    <t>PAXG/EUR</t>
  </si>
  <si>
    <t>PAXGUSD</t>
  </si>
  <si>
    <t>PAXG/USD</t>
  </si>
  <si>
    <t>PAXGXBT</t>
  </si>
  <si>
    <t>PAXG/XBT</t>
  </si>
  <si>
    <t>QTUMETH</t>
  </si>
  <si>
    <t>QTUM/ETH</t>
  </si>
  <si>
    <t>QTUMEUR</t>
  </si>
  <si>
    <t>QTUM/EUR</t>
  </si>
  <si>
    <t>QTUMUSD</t>
  </si>
  <si>
    <t>QTUM/USD</t>
  </si>
  <si>
    <t>QTUMXBT</t>
  </si>
  <si>
    <t>QTUM/XBT</t>
  </si>
  <si>
    <t>SCETH</t>
  </si>
  <si>
    <t>SC/ETH</t>
  </si>
  <si>
    <t>SC/EUR</t>
  </si>
  <si>
    <t>SCUSD</t>
  </si>
  <si>
    <t>SC/USD</t>
  </si>
  <si>
    <t>SCXBT</t>
  </si>
  <si>
    <t>SC/XBT</t>
  </si>
  <si>
    <t>TRXETH</t>
  </si>
  <si>
    <t>TRX/ETH</t>
  </si>
  <si>
    <t>TRXEUR</t>
  </si>
  <si>
    <t>TRX/EUR</t>
  </si>
  <si>
    <t>TRXUSD</t>
  </si>
  <si>
    <t>TRX/USD</t>
  </si>
  <si>
    <t>TRXXBT</t>
  </si>
  <si>
    <t>TRX/XBT</t>
  </si>
  <si>
    <t>USDCEUR</t>
  </si>
  <si>
    <t>USDC/EUR</t>
  </si>
  <si>
    <t>USDCHF</t>
  </si>
  <si>
    <t>USD/CHF</t>
  </si>
  <si>
    <t>USDCUSD</t>
  </si>
  <si>
    <t>USDC/USD</t>
  </si>
  <si>
    <t>USDCUSDT</t>
  </si>
  <si>
    <t>USDC/USDT</t>
  </si>
  <si>
    <t>USDTCAD</t>
  </si>
  <si>
    <t>USDT/CAD</t>
  </si>
  <si>
    <t>USDTCHF</t>
  </si>
  <si>
    <t>USDT/CHF</t>
  </si>
  <si>
    <t>USDT/EUR</t>
  </si>
  <si>
    <t>USDTGBP</t>
  </si>
  <si>
    <t>USDT/GBP</t>
  </si>
  <si>
    <t>USDTJPY</t>
  </si>
  <si>
    <t>USDT/JPY</t>
  </si>
  <si>
    <t>USDTZUSD</t>
  </si>
  <si>
    <t>USDTUSD</t>
  </si>
  <si>
    <t>USDT/USD</t>
  </si>
  <si>
    <t>WAVESETH</t>
  </si>
  <si>
    <t>WAVES/ETH</t>
  </si>
  <si>
    <t>WAVESEUR</t>
  </si>
  <si>
    <t>WAVES/EUR</t>
  </si>
  <si>
    <t>WAVESUSD</t>
  </si>
  <si>
    <t>WAVES/USD</t>
  </si>
  <si>
    <t>WAVESXBT</t>
  </si>
  <si>
    <t>WAVES/XBT</t>
  </si>
  <si>
    <t>XBTCHF</t>
  </si>
  <si>
    <t>XBT/CHF</t>
  </si>
  <si>
    <t>XBTDAI</t>
  </si>
  <si>
    <t>XBT/DAI</t>
  </si>
  <si>
    <t>XBTUSDC</t>
  </si>
  <si>
    <t>XBT/USDC</t>
  </si>
  <si>
    <t>XBTUSDT</t>
  </si>
  <si>
    <t>XBT/USDT</t>
  </si>
  <si>
    <t>XDG/EUR</t>
  </si>
  <si>
    <t>XDGUSD</t>
  </si>
  <si>
    <t>XDG/USD</t>
  </si>
  <si>
    <t>XETCXETH</t>
  </si>
  <si>
    <t>ETCETH</t>
  </si>
  <si>
    <t>ETC/ETH</t>
  </si>
  <si>
    <t>XETCXXBT</t>
  </si>
  <si>
    <t>ETCXBT</t>
  </si>
  <si>
    <t>ETC/XBT</t>
  </si>
  <si>
    <t>XETCZEUR</t>
  </si>
  <si>
    <t>ETCEUR</t>
  </si>
  <si>
    <t>ETC/EUR</t>
  </si>
  <si>
    <t>XETCZUSD</t>
  </si>
  <si>
    <t>ETCUSD</t>
  </si>
  <si>
    <t>ETC/USD</t>
  </si>
  <si>
    <t>XETHXXBT</t>
  </si>
  <si>
    <t>ETHXBT</t>
  </si>
  <si>
    <t>ETH/XBT</t>
  </si>
  <si>
    <t>XETHXXBT.d</t>
  </si>
  <si>
    <t>ETHXBT.d</t>
  </si>
  <si>
    <t>XETHZCAD</t>
  </si>
  <si>
    <t>ETHCAD</t>
  </si>
  <si>
    <t>ETH/CAD</t>
  </si>
  <si>
    <t>XETHZCAD.d</t>
  </si>
  <si>
    <t>ETHCAD.d</t>
  </si>
  <si>
    <t>ETHEUR</t>
  </si>
  <si>
    <t>ETH/EUR</t>
  </si>
  <si>
    <t>XETHZEUR.d</t>
  </si>
  <si>
    <t>ETHEUR.d</t>
  </si>
  <si>
    <t>XETHZGBP</t>
  </si>
  <si>
    <t>ETHGBP</t>
  </si>
  <si>
    <t>ETH/GBP</t>
  </si>
  <si>
    <t>XETHZGBP.d</t>
  </si>
  <si>
    <t>ETHGBP.d</t>
  </si>
  <si>
    <t>XETHZJPY</t>
  </si>
  <si>
    <t>ETHJPY</t>
  </si>
  <si>
    <t>ETH/JPY</t>
  </si>
  <si>
    <t>XETHZJPY.d</t>
  </si>
  <si>
    <t>ETHJPY.d</t>
  </si>
  <si>
    <t>XETHZUSD</t>
  </si>
  <si>
    <t>ETHUSD</t>
  </si>
  <si>
    <t>ETH/USD</t>
  </si>
  <si>
    <t>XETHZUSD.d</t>
  </si>
  <si>
    <t>ETHUSD.d</t>
  </si>
  <si>
    <t>XLTCXXBT</t>
  </si>
  <si>
    <t>LTCXBT</t>
  </si>
  <si>
    <t>LTC/XBT</t>
  </si>
  <si>
    <t>XLTCZEUR</t>
  </si>
  <si>
    <t>LTCEUR</t>
  </si>
  <si>
    <t>LTC/EUR</t>
  </si>
  <si>
    <t>XLTCZUSD</t>
  </si>
  <si>
    <t>LTCUSD</t>
  </si>
  <si>
    <t>LTC/USD</t>
  </si>
  <si>
    <t>XMLNXETH</t>
  </si>
  <si>
    <t>MLNETH</t>
  </si>
  <si>
    <t>MLN/ETH</t>
  </si>
  <si>
    <t>XMLNXXBT</t>
  </si>
  <si>
    <t>MLNXBT</t>
  </si>
  <si>
    <t>MLN/XBT</t>
  </si>
  <si>
    <t>XMLNZEUR</t>
  </si>
  <si>
    <t>MLNEUR</t>
  </si>
  <si>
    <t>MLN/EUR</t>
  </si>
  <si>
    <t>XMLNZUSD</t>
  </si>
  <si>
    <t>MLNUSD</t>
  </si>
  <si>
    <t>MLN/USD</t>
  </si>
  <si>
    <t>XREPXETH</t>
  </si>
  <si>
    <t>REPETH</t>
  </si>
  <si>
    <t>REP/ETH</t>
  </si>
  <si>
    <t>XREPXXBT</t>
  </si>
  <si>
    <t>REPXBT</t>
  </si>
  <si>
    <t>REP/XBT</t>
  </si>
  <si>
    <t>XREPZEUR</t>
  </si>
  <si>
    <t>REPEUR</t>
  </si>
  <si>
    <t>REP/EUR</t>
  </si>
  <si>
    <t>XREPZUSD</t>
  </si>
  <si>
    <t>REPUSD</t>
  </si>
  <si>
    <t>REP/USD</t>
  </si>
  <si>
    <t>XRPETH</t>
  </si>
  <si>
    <t>XRP/ETH</t>
  </si>
  <si>
    <t>XRPGBP</t>
  </si>
  <si>
    <t>XRP/GBP</t>
  </si>
  <si>
    <t>XRPUSDT</t>
  </si>
  <si>
    <t>XRP/USDT</t>
  </si>
  <si>
    <t>XTZETH</t>
  </si>
  <si>
    <t>XTZ/ETH</t>
  </si>
  <si>
    <t>XTZ/EUR</t>
  </si>
  <si>
    <t>XTZUSD</t>
  </si>
  <si>
    <t>XTZ/USD</t>
  </si>
  <si>
    <t>XTZXBT</t>
  </si>
  <si>
    <t>XTZ/XBT</t>
  </si>
  <si>
    <t>XXBTZCAD</t>
  </si>
  <si>
    <t>XBTCAD</t>
  </si>
  <si>
    <t>XBT/CAD</t>
  </si>
  <si>
    <t>XXBTZCAD.d</t>
  </si>
  <si>
    <t>XBTCAD.d</t>
  </si>
  <si>
    <t>XXBTZEUR.d</t>
  </si>
  <si>
    <t>XBTEUR.d</t>
  </si>
  <si>
    <t>XXBTZGBP</t>
  </si>
  <si>
    <t>XBTGBP</t>
  </si>
  <si>
    <t>XBT/GBP</t>
  </si>
  <si>
    <t>XXBTZGBP.d</t>
  </si>
  <si>
    <t>XBTGBP.d</t>
  </si>
  <si>
    <t>XXBTZJPY</t>
  </si>
  <si>
    <t>XBTJPY</t>
  </si>
  <si>
    <t>XBT/JPY</t>
  </si>
  <si>
    <t>XXBTZJPY.d</t>
  </si>
  <si>
    <t>XBTJPY.d</t>
  </si>
  <si>
    <t>XXBTZUSD</t>
  </si>
  <si>
    <t>XBTUSD</t>
  </si>
  <si>
    <t>XBT/USD</t>
  </si>
  <si>
    <t>XXBTZUSD.d</t>
  </si>
  <si>
    <t>XBTUSD.d</t>
  </si>
  <si>
    <t>XXDGXXBT</t>
  </si>
  <si>
    <t>XDGXBT</t>
  </si>
  <si>
    <t>XDG/XBT</t>
  </si>
  <si>
    <t>XXLMXXBT</t>
  </si>
  <si>
    <t>XLMXBT</t>
  </si>
  <si>
    <t>XLM/XBT</t>
  </si>
  <si>
    <t>XXLMZEUR</t>
  </si>
  <si>
    <t>XLMEUR</t>
  </si>
  <si>
    <t>XLM/EUR</t>
  </si>
  <si>
    <t>XXLMZUSD</t>
  </si>
  <si>
    <t>XLMUSD</t>
  </si>
  <si>
    <t>XLM/USD</t>
  </si>
  <si>
    <t>XXMRXXBT</t>
  </si>
  <si>
    <t>XMRXBT</t>
  </si>
  <si>
    <t>XMR/XBT</t>
  </si>
  <si>
    <t>XXMRZEUR</t>
  </si>
  <si>
    <t>XMREUR</t>
  </si>
  <si>
    <t>XMR/EUR</t>
  </si>
  <si>
    <t>XXMRZUSD</t>
  </si>
  <si>
    <t>XMRUSD</t>
  </si>
  <si>
    <t>XMR/USD</t>
  </si>
  <si>
    <t>XXRPXXBT</t>
  </si>
  <si>
    <t>XRPXBT</t>
  </si>
  <si>
    <t>XRP/XBT</t>
  </si>
  <si>
    <t>XXRPZCAD</t>
  </si>
  <si>
    <t>XRPCAD</t>
  </si>
  <si>
    <t>XRP/CAD</t>
  </si>
  <si>
    <t>XRPEUR</t>
  </si>
  <si>
    <t>XRP/EUR</t>
  </si>
  <si>
    <t>XXRPZJPY</t>
  </si>
  <si>
    <t>XRPJPY</t>
  </si>
  <si>
    <t>XRP/JPY</t>
  </si>
  <si>
    <t>XXRPZUSD</t>
  </si>
  <si>
    <t>XRPUSD</t>
  </si>
  <si>
    <t>XRP/USD</t>
  </si>
  <si>
    <t>XZECXXBT</t>
  </si>
  <si>
    <t>ZECXBT</t>
  </si>
  <si>
    <t>ZEC/XBT</t>
  </si>
  <si>
    <t>XZECZEUR</t>
  </si>
  <si>
    <t>ZECEUR</t>
  </si>
  <si>
    <t>ZEC/EUR</t>
  </si>
  <si>
    <t>XZECZUSD</t>
  </si>
  <si>
    <t>ZECUSD</t>
  </si>
  <si>
    <t>ZEC/USD</t>
  </si>
  <si>
    <t>ZEURZUSD</t>
  </si>
  <si>
    <t>EURUSD</t>
  </si>
  <si>
    <t>EUR/USD</t>
  </si>
  <si>
    <t>ZGBPZUSD</t>
  </si>
  <si>
    <t>GBPUSD</t>
  </si>
  <si>
    <t>GBP/USD</t>
  </si>
  <si>
    <t>ZUSDZCAD</t>
  </si>
  <si>
    <t>USDCAD</t>
  </si>
  <si>
    <t>USD/CAD</t>
  </si>
  <si>
    <t>ZUSDZJPY</t>
  </si>
  <si>
    <t>USDJPY</t>
  </si>
  <si>
    <t>USD/JPY</t>
  </si>
  <si>
    <t>assetpair</t>
  </si>
  <si>
    <t>info</t>
  </si>
  <si>
    <t>(info|leverage|fees|margin; empty for default, info)</t>
  </si>
  <si>
    <t>XXBTZEUR,XETHZEUR</t>
  </si>
  <si>
    <t>Get ticker information</t>
  </si>
  <si>
    <t>https://www.kraken.com/features/api#get-ticker-info</t>
  </si>
  <si>
    <t>opening-price</t>
  </si>
  <si>
    <t>ask</t>
  </si>
  <si>
    <t>bid</t>
  </si>
  <si>
    <t>last-trade-closed</t>
  </si>
  <si>
    <t>volume</t>
  </si>
  <si>
    <t>volume-weighted-avg-price</t>
  </si>
  <si>
    <t>number-of-trades</t>
  </si>
  <si>
    <t>low</t>
  </si>
  <si>
    <t>high</t>
  </si>
  <si>
    <t>whole-lot-volume</t>
  </si>
  <si>
    <t>lot-volume</t>
  </si>
  <si>
    <t>price</t>
  </si>
  <si>
    <t>today</t>
  </si>
  <si>
    <t>last-24h</t>
  </si>
  <si>
    <t>ADAETH,ADAEUR,ADAUSD,ADAXBT,ALGOETH,ALGOEUR,ALGOUSD,ALGOXBT,ATOMETH,ATOMEUR,ATOMUSD,ATOMXBT,BATETH,BATEUR,BATUSD,BATXBT,BCHETH,BCHEUR,BCHGBP,BCHUSD,BCHUSDT,BCHXBT,DAIEUR,DAIUSD,DAIUSDT,DASHEUR,DASHUSD,DASHXBT,EOSETH,EOSEUR,EOSUSD,EOSXBT,ETHCHF,ETHDAI,ETHUSDC,ETHUSDT,EURCAD,EURCHF,EURGBP,EURJPY,GNOETH,GNOEUR,GNOUSD,GNOXBT,ICXETH,ICXEUR,ICXUSD,ICXXBT,LINKETH,LINKEUR,LINKUSD,LINKXBT,LSKETH,LSKEUR,LSKUSD,LSKXBT,LTCETH,LTCGBP,LTCUSDT,NANOETH,NANOEUR,NANOUSD,NANOXBT,OMGETH,OMGEUR,OMGUSD,OMGXBT,OXTETH,OXTEUR,OXTUSD,OXTXBT,PAXGETH,PAXGEUR,PAXGUSD,PAXGXBT,QTUMETH,QTUMEUR,QTUMUSD,QTUMXBT,SCETH,SCEUR,SCUSD,SCXBT,TRXETH,TRXEUR,TRXUSD,TRXXBT,USDCEUR,USDCHF,USDCUSD,USDCUSDT,USDTCAD,USDTCHF,USDTEUR,USDTGBP,USDTJPY,USDTUSD,WAVESETH,WAVESEUR,WAVESUSD,WAVESXBT,XBTCHF,XBTDAI,XBTUSDC,XBTUSDT,XDGEUR,XDGUSD,ETCETH,ETCXBT,ETCEUR,ETCUSD,ETHXBT,ETHCAD,ETHEUR,ETHGBP,ETHJPY,ETHUSD,LTCXBT,LTCEUR,LTCUSD,MLNETH,MLNXBT,MLNEUR,MLNUSD,REPETH,REPXBT,REPEUR,REPUSD,XRPETH,XRPGBP,XRPUSDT,XTZETH,XTZEUR,XTZUSD,XTZXBT,XBTCAD,XBTEUR,XBTGBP,XBTJPY,XBTUSD,XDGXBT,XLMXBT,XLMEUR,XLMUSD,XMRXBT,XMREUR,XMRUSD,XRPXBT,XRPCAD,XRPEUR,XRPJPY,XRPUSD,ZECXBT,ZECEUR,ZECUSD,EURUSD,GBPUSD,USDCAD,USDJPY</t>
  </si>
  <si>
    <t>(kommalist; default queries all available)</t>
  </si>
  <si>
    <t>Get OHLC data</t>
  </si>
  <si>
    <t>https://www.kraken.com/features/api#get-ohlc-data</t>
  </si>
  <si>
    <t>AssetPair</t>
  </si>
  <si>
    <t>Interval</t>
  </si>
  <si>
    <t>(in minutes: 1 (default), 5, 15, 30, 60, 240, 1440, 10080, 21600)</t>
  </si>
  <si>
    <t>Since</t>
  </si>
  <si>
    <t>time</t>
  </si>
  <si>
    <t>open</t>
  </si>
  <si>
    <t>close</t>
  </si>
  <si>
    <t>vwap</t>
  </si>
  <si>
    <t>count</t>
  </si>
  <si>
    <t>(clear to get default time, max. entries)</t>
  </si>
  <si>
    <t>(required, only one!)</t>
  </si>
  <si>
    <t>timestamp as date:</t>
  </si>
  <si>
    <t>TODO: store last offset and append to rows? (can dynamically clear, too)</t>
  </si>
  <si>
    <t>Get order book</t>
  </si>
  <si>
    <t>https://www.kraken.com/features/api#get-order-book</t>
  </si>
  <si>
    <t>Count</t>
  </si>
  <si>
    <t>asks</t>
  </si>
  <si>
    <t>bids</t>
  </si>
  <si>
    <t>timestamp</t>
  </si>
  <si>
    <t>Get recent trades</t>
  </si>
  <si>
    <t>https://www.kraken.com/features/api#get-recent-trades</t>
  </si>
  <si>
    <t>buy/sell</t>
  </si>
  <si>
    <t>market/limit</t>
  </si>
  <si>
    <t>misc</t>
  </si>
  <si>
    <t>(clear to get default id, max. entries)</t>
  </si>
  <si>
    <t>id (timestamp + ???) as date:</t>
  </si>
  <si>
    <t>https://www.kraken.com/features/api#get-recent-spread-data</t>
  </si>
  <si>
    <t>Get recent spread data</t>
  </si>
  <si>
    <t>(clear to get default timestamp, max. entries)</t>
  </si>
  <si>
    <t>(optional, maximum number of asks/bids; minimum seems te be 100)</t>
  </si>
  <si>
    <t>buy</t>
  </si>
  <si>
    <t>limit</t>
  </si>
  <si>
    <t>sell</t>
  </si>
  <si>
    <t>market</t>
  </si>
  <si>
    <t>Mon,  8 Jun 20 08:59:30 +0000</t>
  </si>
  <si>
    <t>(Note: somewhat laggy ..?)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</si>
</sst>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-* #,##0.00\ &quot;€&quot;_-;\-* #,##0.00\ &quot;€&quot;_-;_-* &quot;-&quot;??\ &quot;€&quot;_-;_-@_-"/>
    <numFmt numFmtId="164" formatCode="#,##0.00\ &quot;€&quot;"/>
    <numFmt numFmtId="165" formatCode="#,##0.00000\ &quot;€&quot;"/>
    <numFmt numFmtId="166" formatCode="_-* #,##0.00000\ &quot;€&quot;_-;\-* #,##0.00000\ &quot;€&quot;_-;_-* &quot;-&quot;??\ &quot;€&quot;_-;_-@_-"/>
    <numFmt numFmtId="167" formatCode="d/m/yy\ h:mm;@"/>
    <numFmt numFmtId="168" formatCode="dd/mm/yyyy\ hh:mm:ss"/>
    <numFmt numFmtId="169" formatCode="_-* #,##0.000000\ &quot;€&quot;_-;\-* #,##0.000000\ &quot;€&quot;_-;_-* &quot;-&quot;??\ &quot;€&quot;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1" applyNumberFormat="0" applyAlignment="0" applyProtection="0"/>
    <xf numFmtId="44" fontId="3" fillId="0" borderId="0" applyFont="0" applyFill="0" applyBorder="0" applyAlignment="0" applyProtection="0"/>
    <xf numFmtId="0" fontId="4" fillId="3" borderId="2" applyNumberFormat="0" applyAlignment="0" applyProtection="0"/>
    <xf numFmtId="0" fontId="6" fillId="4" borderId="5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164" fontId="0" fillId="0" borderId="0" xfId="0" applyNumberFormat="1" applyFill="1"/>
    <xf numFmtId="165" fontId="0" fillId="0" borderId="0" xfId="0" applyNumberFormat="1" applyFill="1"/>
    <xf numFmtId="0" fontId="1" fillId="2" borderId="1" xfId="1"/>
    <xf numFmtId="44" fontId="0" fillId="0" borderId="0" xfId="2" applyFont="1"/>
    <xf numFmtId="166" fontId="0" fillId="0" borderId="0" xfId="2" applyNumberFormat="1" applyFont="1"/>
    <xf numFmtId="167" fontId="0" fillId="0" borderId="0" xfId="0" applyNumberFormat="1"/>
    <xf numFmtId="0" fontId="5" fillId="0" borderId="0" xfId="0" applyFont="1"/>
    <xf numFmtId="168" fontId="4" fillId="3" borderId="4" xfId="3" applyNumberFormat="1" applyBorder="1"/>
    <xf numFmtId="0" fontId="4" fillId="3" borderId="3" xfId="3" applyBorder="1"/>
    <xf numFmtId="0" fontId="6" fillId="4" borderId="5" xfId="4"/>
    <xf numFmtId="44" fontId="0" fillId="0" borderId="0" xfId="2" applyNumberFormat="1" applyFont="1"/>
    <xf numFmtId="169" fontId="0" fillId="0" borderId="0" xfId="2" applyNumberFormat="1" applyFont="1"/>
    <xf numFmtId="0" fontId="9" fillId="0" borderId="0" xfId="0" applyFont="1" applyAlignment="1">
      <alignment vertical="center"/>
    </xf>
    <xf numFmtId="0" fontId="8" fillId="0" borderId="0" xfId="6"/>
    <xf numFmtId="0" fontId="4" fillId="3" borderId="2" xfId="3"/>
    <xf numFmtId="0" fontId="7" fillId="0" borderId="0" xfId="5"/>
    <xf numFmtId="0" fontId="8" fillId="0" borderId="0" xfId="6" applyAlignment="1">
      <alignment horizontal="center"/>
    </xf>
    <xf numFmtId="0" fontId="8" fillId="3" borderId="5" xfId="6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horizontal="right"/>
    </xf>
    <xf numFmtId="2" fontId="0" fillId="0" borderId="0" xfId="0" applyNumberFormat="1"/>
    <xf numFmtId="0" fontId="1" fillId="2" borderId="1" xfId="1" applyAlignment="1">
      <alignment horizontal="center"/>
    </xf>
  </cellXfs>
  <cellStyles count="7">
    <cellStyle name="Ausgabe" xfId="3" builtinId="21"/>
    <cellStyle name="Eingabe" xfId="4" builtinId="20"/>
    <cellStyle name="Link" xfId="6" builtinId="8"/>
    <cellStyle name="Standard" xfId="0" builtinId="0"/>
    <cellStyle name="Währung" xfId="2" builtinId="4"/>
    <cellStyle name="Warnender Text" xfId="5" builtinId="11"/>
    <cellStyle name="Zelle überprüfen" xfId="1" builtinId="23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196850</xdr:colOff>
          <xdr:row>2</xdr:row>
          <xdr:rowOff>69850</xdr:rowOff>
        </xdr:from>
        <xdr:to>
          <xdr:col>5</xdr:col>
          <xdr:colOff>234950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2:J20"/>
  <sheetViews>
    <sheetView workbookViewId="0">
      <selection activeCell="B12" sqref="B12"/>
    </sheetView>
  </sheetViews>
  <sheetFormatPr baseColWidth="10" defaultRowHeight="14.5" x14ac:dyDescent="0.35"/>
  <cols>
    <col min="3" max="3" width="17.54296875" bestFit="1" customWidth="1"/>
    <col min="4" max="4" width="19.453125" bestFit="1" customWidth="1"/>
    <col min="6" max="6" width="10.90625" bestFit="1" customWidth="1"/>
    <col min="7" max="7" width="14.81640625" bestFit="1" customWidth="1"/>
    <col min="9" max="9" width="10.7265625" customWidth="1"/>
  </cols>
  <sheetData>
    <row r="2" spans="2:10" x14ac:dyDescent="0.35">
      <c r="C2" s="9" t="s">
        <v>14</v>
      </c>
      <c r="D2" s="9" t="s">
        <v>15</v>
      </c>
    </row>
    <row r="3" spans="2:10" ht="15" thickBot="1" x14ac:dyDescent="0.4">
      <c r="C3" s="8">
        <v>43990.458252314813</v>
      </c>
      <c r="D3" s="8">
        <v>43990.457708333335</v>
      </c>
      <c r="G3" t="s">
        <v>16</v>
      </c>
    </row>
    <row r="4" spans="2:10" ht="15.5" thickTop="1" thickBot="1" x14ac:dyDescent="0.4">
      <c r="B4" s="3" t="s">
        <v>0</v>
      </c>
      <c r="C4" s="1">
        <v>8585.9</v>
      </c>
      <c r="D4" s="11">
        <v>-1.7</v>
      </c>
    </row>
    <row r="5" spans="2:10" ht="15.5" thickTop="1" thickBot="1" x14ac:dyDescent="0.4">
      <c r="B5" s="3" t="s">
        <v>1</v>
      </c>
      <c r="C5" s="1">
        <v>215.35</v>
      </c>
      <c r="D5" s="4">
        <v>0</v>
      </c>
      <c r="F5" s="7"/>
    </row>
    <row r="6" spans="2:10" ht="15.5" thickTop="1" thickBot="1" x14ac:dyDescent="0.4">
      <c r="B6" s="3" t="s">
        <v>2</v>
      </c>
      <c r="C6" s="2">
        <v>0.17910000000000001</v>
      </c>
      <c r="D6" s="5">
        <v>0</v>
      </c>
      <c r="F6" s="6"/>
    </row>
    <row r="7" spans="2:10" ht="15.5" thickTop="1" thickBot="1" x14ac:dyDescent="0.4">
      <c r="B7" s="3" t="s">
        <v>3</v>
      </c>
      <c r="C7" s="2">
        <v>2.5831</v>
      </c>
      <c r="D7" s="5">
        <v>-1.2999999999999999E-3</v>
      </c>
    </row>
    <row r="8" spans="2:10" ht="15.5" thickTop="1" thickBot="1" x14ac:dyDescent="0.4">
      <c r="B8" s="3" t="s">
        <v>4</v>
      </c>
      <c r="C8" s="1">
        <v>1501.65</v>
      </c>
      <c r="D8" s="4">
        <v>0</v>
      </c>
    </row>
    <row r="9" spans="2:10" ht="15.5" thickTop="1" thickBot="1" x14ac:dyDescent="0.4">
      <c r="B9" s="3" t="s">
        <v>5</v>
      </c>
      <c r="C9" s="2">
        <v>2.3700000000000001E-3</v>
      </c>
      <c r="D9" s="12">
        <v>0</v>
      </c>
    </row>
    <row r="10" spans="2:10" ht="15.5" thickTop="1" thickBot="1" x14ac:dyDescent="0.4">
      <c r="B10" s="3" t="s">
        <v>6</v>
      </c>
      <c r="C10" s="2">
        <v>1.1394550000000001</v>
      </c>
      <c r="D10" s="5">
        <v>0</v>
      </c>
    </row>
    <row r="11" spans="2:10" ht="15.5" thickTop="1" thickBot="1" x14ac:dyDescent="0.4">
      <c r="B11" s="3" t="s">
        <v>7</v>
      </c>
      <c r="C11" s="2">
        <v>2.2920000000000002E-3</v>
      </c>
      <c r="D11" s="5">
        <v>0</v>
      </c>
    </row>
    <row r="12" spans="2:10" ht="15.5" thickTop="1" thickBot="1" x14ac:dyDescent="0.4">
      <c r="B12" s="3" t="s">
        <v>8</v>
      </c>
      <c r="C12" s="2">
        <v>0.88570000000000004</v>
      </c>
      <c r="D12" s="5">
        <v>0</v>
      </c>
    </row>
    <row r="13" spans="2:10" ht="15" thickTop="1" x14ac:dyDescent="0.35"/>
    <row r="15" spans="2:10" x14ac:dyDescent="0.35">
      <c r="I15" t="s">
        <v>9</v>
      </c>
      <c r="J15">
        <v>123456</v>
      </c>
    </row>
    <row r="16" spans="2:10" x14ac:dyDescent="0.35">
      <c r="I16" t="s">
        <v>11</v>
      </c>
      <c r="J16" t="str">
        <f>SHA256String(J15)</f>
        <v>8d969eef6ecad3c29a3a629280e686cf0c3f5d5a86aff3ca12020c923adc6c92</v>
      </c>
    </row>
    <row r="17" spans="9:10" x14ac:dyDescent="0.35">
      <c r="I17" t="s">
        <v>10</v>
      </c>
      <c r="J17" t="str">
        <f>SHA256String(J15,1)</f>
        <v>jZae727K08KaOmKSgOaGzww/XVqGr/PKEgIMkjrcbJI=</v>
      </c>
    </row>
    <row r="19" spans="9:10" x14ac:dyDescent="0.35">
      <c r="I19" t="s">
        <v>12</v>
      </c>
      <c r="J19">
        <f>ToBytes(J15)</f>
        <v>49</v>
      </c>
    </row>
    <row r="20" spans="9:10" x14ac:dyDescent="0.35">
      <c r="I20" t="s">
        <v>13</v>
      </c>
      <c r="J20" t="e">
        <f>ConvToHexString(ToBytes(J15))</f>
        <v>#VALUE!</v>
      </c>
    </row>
  </sheetData>
  <conditionalFormatting sqref="D4:D12">
    <cfRule type="cellIs" dxfId="6" priority="1" operator="equal">
      <formula>0</formula>
    </cfRule>
    <cfRule type="cellIs" dxfId="5" priority="2" operator="lessThan">
      <formula>0</formula>
    </cfRule>
    <cfRule type="cellIs" dxfId="4" priority="3" operator="greaterThan">
      <formula>0</formula>
    </cfRule>
    <cfRule type="cellIs" dxfId="3" priority="4" operator="equal">
      <formula>0.01</formula>
    </cfRule>
    <cfRule type="cellIs" dxfId="2" priority="5" operator="equal">
      <formula>0.01</formula>
    </cfRule>
    <cfRule type="cellIs" dxfId="1" priority="6" operator="lessThan">
      <formula>0.01</formula>
    </cfRule>
    <cfRule type="cellIs" dxfId="0" priority="7" operator="greaterThan">
      <formula>0.01</formula>
    </cfRule>
  </conditionalFormatting>
  <hyperlinks>
    <hyperlink ref="B4" location="'Kraken GetCurrentPrice'!B4" display="XXBTZEUR"/>
    <hyperlink ref="B5" location="'Kraken GetCurrentPrice'!B5" display="XETHZEUR"/>
    <hyperlink ref="B6" location="'Kraken GetCurrentPrice'!B6" display="XXRPZEUR"/>
    <hyperlink ref="B7" location="'Kraken GetCurrentPrice'!B7" display="XTZEUR"/>
    <hyperlink ref="B8" location="'Kraken GetCurrentPrice'!B8" display="PAXGEUR"/>
    <hyperlink ref="B9" location="'Kraken GetCurrentPrice'!B9" display="SCEUR"/>
    <hyperlink ref="B10" location="'Kraken GetCurrentPrice'!B10" display="LSKEUR"/>
    <hyperlink ref="B11" location="'Kraken GetCurrentPrice'!B11" display="XDGEUR"/>
    <hyperlink ref="B12" location="'Kraken GetCurrentPrice'!B12" display="USDTEUR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UpdatePrices2">
                <anchor moveWithCells="1" sizeWithCells="1">
                  <from>
                    <xdr:col>4</xdr:col>
                    <xdr:colOff>196850</xdr:colOff>
                    <xdr:row>2</xdr:row>
                    <xdr:rowOff>69850</xdr:rowOff>
                  </from>
                  <to>
                    <xdr:col>5</xdr:col>
                    <xdr:colOff>234950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H8"/>
  <sheetViews>
    <sheetView workbookViewId="0">
      <selection activeCell="B4" sqref="B4"/>
    </sheetView>
  </sheetViews>
  <sheetFormatPr baseColWidth="10" defaultRowHeight="14.5" x14ac:dyDescent="0.35"/>
  <cols>
    <col min="2" max="2" width="17.08984375" bestFit="1" customWidth="1"/>
    <col min="8" max="8" width="17.54296875" bestFit="1" customWidth="1"/>
  </cols>
  <sheetData>
    <row r="2" spans="2:8" ht="17.5" x14ac:dyDescent="0.35">
      <c r="B2" s="13" t="s">
        <v>18</v>
      </c>
      <c r="D2" t="s">
        <v>17</v>
      </c>
    </row>
    <row r="4" spans="2:8" x14ac:dyDescent="0.35">
      <c r="B4" s="14" t="s">
        <v>18</v>
      </c>
      <c r="C4" t="s">
        <v>20</v>
      </c>
      <c r="D4" t="s">
        <v>549</v>
      </c>
    </row>
    <row r="5" spans="2:8" x14ac:dyDescent="0.35">
      <c r="C5" t="s">
        <v>21</v>
      </c>
      <c r="D5">
        <v>1591606770</v>
      </c>
      <c r="G5" s="20" t="s">
        <v>526</v>
      </c>
      <c r="H5" s="19">
        <f>IFERROR(TimestampToExcel_2(D5),)</f>
        <v>43990.374652777777</v>
      </c>
    </row>
    <row r="8" spans="2:8" ht="17.5" x14ac:dyDescent="0.35">
      <c r="B8" s="13"/>
    </row>
  </sheetData>
  <hyperlinks>
    <hyperlink ref="B4" location="'Kraken Time'!B4" display="Get server time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54"/>
  <sheetViews>
    <sheetView topLeftCell="A4" workbookViewId="0">
      <selection activeCell="B8" sqref="B8"/>
    </sheetView>
  </sheetViews>
  <sheetFormatPr baseColWidth="10" defaultRowHeight="14.5" x14ac:dyDescent="0.35"/>
  <sheetData>
    <row r="2" spans="2:7" ht="17.5" x14ac:dyDescent="0.35">
      <c r="B2" s="13" t="s">
        <v>22</v>
      </c>
    </row>
    <row r="3" spans="2:7" x14ac:dyDescent="0.35">
      <c r="B3" t="s">
        <v>23</v>
      </c>
    </row>
    <row r="5" spans="2:7" x14ac:dyDescent="0.35">
      <c r="B5" t="s">
        <v>24</v>
      </c>
      <c r="C5" t="s">
        <v>26</v>
      </c>
    </row>
    <row r="6" spans="2:7" x14ac:dyDescent="0.35">
      <c r="C6" s="10"/>
      <c r="D6" t="s">
        <v>92</v>
      </c>
      <c r="G6" t="s">
        <v>93</v>
      </c>
    </row>
    <row r="8" spans="2:7" x14ac:dyDescent="0.35">
      <c r="B8" s="17" t="s">
        <v>19</v>
      </c>
      <c r="D8" s="16"/>
    </row>
    <row r="10" spans="2:7" ht="15" thickBot="1" x14ac:dyDescent="0.4"/>
    <row r="11" spans="2:7" ht="15.5" thickTop="1" thickBot="1" x14ac:dyDescent="0.4">
      <c r="B11" s="3" t="s">
        <v>32</v>
      </c>
      <c r="C11" s="3" t="s">
        <v>31</v>
      </c>
      <c r="D11" s="3" t="s">
        <v>30</v>
      </c>
      <c r="E11" s="3" t="s">
        <v>33</v>
      </c>
      <c r="F11" s="3" t="s">
        <v>34</v>
      </c>
    </row>
    <row r="12" spans="2:7" ht="15" thickTop="1" x14ac:dyDescent="0.35">
      <c r="B12" s="15" t="s">
        <v>36</v>
      </c>
      <c r="C12" s="15" t="s">
        <v>36</v>
      </c>
      <c r="D12" s="15" t="s">
        <v>35</v>
      </c>
      <c r="E12" s="15">
        <v>8</v>
      </c>
      <c r="F12" s="15">
        <v>6</v>
      </c>
    </row>
    <row r="13" spans="2:7" x14ac:dyDescent="0.35">
      <c r="B13" s="15" t="s">
        <v>37</v>
      </c>
      <c r="C13" s="15" t="s">
        <v>37</v>
      </c>
      <c r="D13" s="15" t="s">
        <v>35</v>
      </c>
      <c r="E13" s="15">
        <v>8</v>
      </c>
      <c r="F13" s="15">
        <v>5</v>
      </c>
    </row>
    <row r="14" spans="2:7" x14ac:dyDescent="0.35">
      <c r="B14" s="15" t="s">
        <v>38</v>
      </c>
      <c r="C14" s="15" t="s">
        <v>38</v>
      </c>
      <c r="D14" s="15" t="s">
        <v>35</v>
      </c>
      <c r="E14" s="15">
        <v>8</v>
      </c>
      <c r="F14" s="15">
        <v>6</v>
      </c>
    </row>
    <row r="15" spans="2:7" x14ac:dyDescent="0.35">
      <c r="B15" s="15" t="s">
        <v>39</v>
      </c>
      <c r="C15" s="15" t="s">
        <v>39</v>
      </c>
      <c r="D15" s="15" t="s">
        <v>35</v>
      </c>
      <c r="E15" s="15">
        <v>10</v>
      </c>
      <c r="F15" s="15">
        <v>5</v>
      </c>
    </row>
    <row r="16" spans="2:7" x14ac:dyDescent="0.35">
      <c r="B16" s="15" t="s">
        <v>40</v>
      </c>
      <c r="C16" s="15" t="s">
        <v>40</v>
      </c>
      <c r="D16" s="15" t="s">
        <v>35</v>
      </c>
      <c r="E16" s="15">
        <v>10</v>
      </c>
      <c r="F16" s="15">
        <v>5</v>
      </c>
    </row>
    <row r="17" spans="2:6" x14ac:dyDescent="0.35">
      <c r="B17" s="15" t="s">
        <v>41</v>
      </c>
      <c r="C17" s="15" t="s">
        <v>41</v>
      </c>
      <c r="D17" s="15" t="s">
        <v>35</v>
      </c>
      <c r="E17" s="15">
        <v>10</v>
      </c>
      <c r="F17" s="15">
        <v>5</v>
      </c>
    </row>
    <row r="18" spans="2:6" x14ac:dyDescent="0.35">
      <c r="B18" s="15" t="s">
        <v>42</v>
      </c>
      <c r="C18" s="15" t="s">
        <v>42</v>
      </c>
      <c r="D18" s="15" t="s">
        <v>35</v>
      </c>
      <c r="E18" s="15">
        <v>4</v>
      </c>
      <c r="F18" s="15">
        <v>2</v>
      </c>
    </row>
    <row r="19" spans="2:6" x14ac:dyDescent="0.35">
      <c r="B19" s="15" t="s">
        <v>43</v>
      </c>
      <c r="C19" s="15" t="s">
        <v>43</v>
      </c>
      <c r="D19" s="15" t="s">
        <v>35</v>
      </c>
      <c r="E19" s="15">
        <v>10</v>
      </c>
      <c r="F19" s="15">
        <v>5</v>
      </c>
    </row>
    <row r="20" spans="2:6" x14ac:dyDescent="0.35">
      <c r="B20" s="15" t="s">
        <v>44</v>
      </c>
      <c r="C20" s="15" t="s">
        <v>44</v>
      </c>
      <c r="D20" s="15" t="s">
        <v>35</v>
      </c>
      <c r="E20" s="15">
        <v>10</v>
      </c>
      <c r="F20" s="15">
        <v>5</v>
      </c>
    </row>
    <row r="21" spans="2:6" x14ac:dyDescent="0.35">
      <c r="B21" s="15" t="s">
        <v>45</v>
      </c>
      <c r="C21" s="15" t="s">
        <v>45</v>
      </c>
      <c r="D21" s="15" t="s">
        <v>35</v>
      </c>
      <c r="E21" s="15">
        <v>10</v>
      </c>
      <c r="F21" s="15">
        <v>5</v>
      </c>
    </row>
    <row r="22" spans="2:6" x14ac:dyDescent="0.35">
      <c r="B22" s="15" t="s">
        <v>46</v>
      </c>
      <c r="C22" s="15" t="s">
        <v>46</v>
      </c>
      <c r="D22" s="15" t="s">
        <v>35</v>
      </c>
      <c r="E22" s="15">
        <v>10</v>
      </c>
      <c r="F22" s="15">
        <v>5</v>
      </c>
    </row>
    <row r="23" spans="2:6" x14ac:dyDescent="0.35">
      <c r="B23" s="15" t="s">
        <v>47</v>
      </c>
      <c r="C23" s="15" t="s">
        <v>47</v>
      </c>
      <c r="D23" s="15" t="s">
        <v>35</v>
      </c>
      <c r="E23" s="15">
        <v>10</v>
      </c>
      <c r="F23" s="15">
        <v>5</v>
      </c>
    </row>
    <row r="24" spans="2:6" x14ac:dyDescent="0.35">
      <c r="B24" s="15" t="s">
        <v>48</v>
      </c>
      <c r="C24" s="15" t="s">
        <v>49</v>
      </c>
      <c r="D24" s="15" t="s">
        <v>35</v>
      </c>
      <c r="E24" s="15">
        <v>2</v>
      </c>
      <c r="F24" s="15">
        <v>2</v>
      </c>
    </row>
    <row r="25" spans="2:6" x14ac:dyDescent="0.35">
      <c r="B25" s="15" t="s">
        <v>50</v>
      </c>
      <c r="C25" s="15" t="s">
        <v>50</v>
      </c>
      <c r="D25" s="15" t="s">
        <v>35</v>
      </c>
      <c r="E25" s="15">
        <v>10</v>
      </c>
      <c r="F25" s="15">
        <v>5</v>
      </c>
    </row>
    <row r="26" spans="2:6" x14ac:dyDescent="0.35">
      <c r="B26" s="15" t="s">
        <v>51</v>
      </c>
      <c r="C26" s="15" t="s">
        <v>51</v>
      </c>
      <c r="D26" s="15" t="s">
        <v>35</v>
      </c>
      <c r="E26" s="15">
        <v>10</v>
      </c>
      <c r="F26" s="15">
        <v>5</v>
      </c>
    </row>
    <row r="27" spans="2:6" x14ac:dyDescent="0.35">
      <c r="B27" s="15" t="s">
        <v>52</v>
      </c>
      <c r="C27" s="15" t="s">
        <v>52</v>
      </c>
      <c r="D27" s="15" t="s">
        <v>35</v>
      </c>
      <c r="E27" s="15">
        <v>10</v>
      </c>
      <c r="F27" s="15">
        <v>5</v>
      </c>
    </row>
    <row r="28" spans="2:6" x14ac:dyDescent="0.35">
      <c r="B28" s="15" t="s">
        <v>53</v>
      </c>
      <c r="C28" s="15" t="s">
        <v>53</v>
      </c>
      <c r="D28" s="15" t="s">
        <v>35</v>
      </c>
      <c r="E28" s="15">
        <v>10</v>
      </c>
      <c r="F28" s="15">
        <v>5</v>
      </c>
    </row>
    <row r="29" spans="2:6" x14ac:dyDescent="0.35">
      <c r="B29" s="15" t="s">
        <v>54</v>
      </c>
      <c r="C29" s="15" t="s">
        <v>54</v>
      </c>
      <c r="D29" s="15" t="s">
        <v>35</v>
      </c>
      <c r="E29" s="15">
        <v>10</v>
      </c>
      <c r="F29" s="15">
        <v>5</v>
      </c>
    </row>
    <row r="30" spans="2:6" x14ac:dyDescent="0.35">
      <c r="B30" s="15" t="s">
        <v>55</v>
      </c>
      <c r="C30" s="15" t="s">
        <v>55</v>
      </c>
      <c r="D30" s="15" t="s">
        <v>35</v>
      </c>
      <c r="E30" s="15">
        <v>10</v>
      </c>
      <c r="F30" s="15">
        <v>5</v>
      </c>
    </row>
    <row r="31" spans="2:6" x14ac:dyDescent="0.35">
      <c r="B31" s="15" t="s">
        <v>56</v>
      </c>
      <c r="C31" s="15" t="s">
        <v>56</v>
      </c>
      <c r="D31" s="15" t="s">
        <v>35</v>
      </c>
      <c r="E31" s="15">
        <v>10</v>
      </c>
      <c r="F31" s="15">
        <v>6</v>
      </c>
    </row>
    <row r="32" spans="2:6" x14ac:dyDescent="0.35">
      <c r="B32" s="15" t="s">
        <v>57</v>
      </c>
      <c r="C32" s="15" t="s">
        <v>57</v>
      </c>
      <c r="D32" s="15" t="s">
        <v>35</v>
      </c>
      <c r="E32" s="15">
        <v>10</v>
      </c>
      <c r="F32" s="15">
        <v>5</v>
      </c>
    </row>
    <row r="33" spans="2:6" x14ac:dyDescent="0.35">
      <c r="B33" s="15" t="s">
        <v>58</v>
      </c>
      <c r="C33" s="15" t="s">
        <v>58</v>
      </c>
      <c r="D33" s="15" t="s">
        <v>35</v>
      </c>
      <c r="E33" s="15">
        <v>8</v>
      </c>
      <c r="F33" s="15">
        <v>6</v>
      </c>
    </row>
    <row r="34" spans="2:6" x14ac:dyDescent="0.35">
      <c r="B34" s="15" t="s">
        <v>59</v>
      </c>
      <c r="C34" s="15" t="s">
        <v>59</v>
      </c>
      <c r="D34" s="15" t="s">
        <v>35</v>
      </c>
      <c r="E34" s="15">
        <v>8</v>
      </c>
      <c r="F34" s="15">
        <v>4</v>
      </c>
    </row>
    <row r="35" spans="2:6" x14ac:dyDescent="0.35">
      <c r="B35" s="15" t="s">
        <v>60</v>
      </c>
      <c r="C35" s="15" t="s">
        <v>60</v>
      </c>
      <c r="D35" s="15" t="s">
        <v>35</v>
      </c>
      <c r="E35" s="15">
        <v>8</v>
      </c>
      <c r="F35" s="15">
        <v>4</v>
      </c>
    </row>
    <row r="36" spans="2:6" x14ac:dyDescent="0.35">
      <c r="B36" s="15" t="s">
        <v>61</v>
      </c>
      <c r="C36" s="15" t="s">
        <v>61</v>
      </c>
      <c r="D36" s="15" t="s">
        <v>35</v>
      </c>
      <c r="E36" s="15">
        <v>10</v>
      </c>
      <c r="F36" s="15">
        <v>5</v>
      </c>
    </row>
    <row r="37" spans="2:6" x14ac:dyDescent="0.35">
      <c r="B37" s="15" t="s">
        <v>62</v>
      </c>
      <c r="C37" s="15" t="s">
        <v>63</v>
      </c>
      <c r="D37" s="15" t="s">
        <v>35</v>
      </c>
      <c r="E37" s="15">
        <v>10</v>
      </c>
      <c r="F37" s="15">
        <v>5</v>
      </c>
    </row>
    <row r="38" spans="2:6" x14ac:dyDescent="0.35">
      <c r="B38" s="15" t="s">
        <v>27</v>
      </c>
      <c r="C38" s="15" t="s">
        <v>28</v>
      </c>
      <c r="D38" s="15" t="s">
        <v>35</v>
      </c>
      <c r="E38" s="15">
        <v>10</v>
      </c>
      <c r="F38" s="15">
        <v>5</v>
      </c>
    </row>
    <row r="39" spans="2:6" x14ac:dyDescent="0.35">
      <c r="B39" s="15" t="s">
        <v>64</v>
      </c>
      <c r="C39" s="15" t="s">
        <v>65</v>
      </c>
      <c r="D39" s="15" t="s">
        <v>35</v>
      </c>
      <c r="E39" s="15">
        <v>10</v>
      </c>
      <c r="F39" s="15">
        <v>5</v>
      </c>
    </row>
    <row r="40" spans="2:6" x14ac:dyDescent="0.35">
      <c r="B40" s="15" t="s">
        <v>66</v>
      </c>
      <c r="C40" s="15" t="s">
        <v>67</v>
      </c>
      <c r="D40" s="15" t="s">
        <v>35</v>
      </c>
      <c r="E40" s="15">
        <v>10</v>
      </c>
      <c r="F40" s="15">
        <v>5</v>
      </c>
    </row>
    <row r="41" spans="2:6" x14ac:dyDescent="0.35">
      <c r="B41" s="15" t="s">
        <v>68</v>
      </c>
      <c r="C41" s="15" t="s">
        <v>69</v>
      </c>
      <c r="D41" s="15" t="s">
        <v>35</v>
      </c>
      <c r="E41" s="15">
        <v>10</v>
      </c>
      <c r="F41" s="15">
        <v>5</v>
      </c>
    </row>
    <row r="42" spans="2:6" x14ac:dyDescent="0.35">
      <c r="B42" s="15" t="s">
        <v>70</v>
      </c>
      <c r="C42" s="15" t="s">
        <v>70</v>
      </c>
      <c r="D42" s="15" t="s">
        <v>35</v>
      </c>
      <c r="E42" s="15">
        <v>8</v>
      </c>
      <c r="F42" s="15">
        <v>6</v>
      </c>
    </row>
    <row r="43" spans="2:6" x14ac:dyDescent="0.35">
      <c r="B43" s="15" t="s">
        <v>71</v>
      </c>
      <c r="C43" s="15" t="s">
        <v>71</v>
      </c>
      <c r="D43" s="15" t="s">
        <v>35</v>
      </c>
      <c r="E43" s="15">
        <v>8</v>
      </c>
      <c r="F43" s="15">
        <v>6</v>
      </c>
    </row>
    <row r="44" spans="2:6" x14ac:dyDescent="0.35">
      <c r="B44" s="15" t="s">
        <v>29</v>
      </c>
      <c r="C44" s="15" t="s">
        <v>25</v>
      </c>
      <c r="D44" s="15" t="s">
        <v>35</v>
      </c>
      <c r="E44" s="15">
        <v>10</v>
      </c>
      <c r="F44" s="15">
        <v>5</v>
      </c>
    </row>
    <row r="45" spans="2:6" x14ac:dyDescent="0.35">
      <c r="B45" s="15" t="s">
        <v>72</v>
      </c>
      <c r="C45" s="15" t="s">
        <v>73</v>
      </c>
      <c r="D45" s="15" t="s">
        <v>35</v>
      </c>
      <c r="E45" s="15">
        <v>8</v>
      </c>
      <c r="F45" s="15">
        <v>2</v>
      </c>
    </row>
    <row r="46" spans="2:6" x14ac:dyDescent="0.35">
      <c r="B46" s="15" t="s">
        <v>74</v>
      </c>
      <c r="C46" s="15" t="s">
        <v>75</v>
      </c>
      <c r="D46" s="15" t="s">
        <v>35</v>
      </c>
      <c r="E46" s="15">
        <v>8</v>
      </c>
      <c r="F46" s="15">
        <v>5</v>
      </c>
    </row>
    <row r="47" spans="2:6" x14ac:dyDescent="0.35">
      <c r="B47" s="15" t="s">
        <v>76</v>
      </c>
      <c r="C47" s="15" t="s">
        <v>77</v>
      </c>
      <c r="D47" s="15" t="s">
        <v>35</v>
      </c>
      <c r="E47" s="15">
        <v>10</v>
      </c>
      <c r="F47" s="15">
        <v>5</v>
      </c>
    </row>
    <row r="48" spans="2:6" x14ac:dyDescent="0.35">
      <c r="B48" s="15" t="s">
        <v>78</v>
      </c>
      <c r="C48" s="15" t="s">
        <v>79</v>
      </c>
      <c r="D48" s="15" t="s">
        <v>35</v>
      </c>
      <c r="E48" s="15">
        <v>8</v>
      </c>
      <c r="F48" s="15">
        <v>5</v>
      </c>
    </row>
    <row r="49" spans="2:6" x14ac:dyDescent="0.35">
      <c r="B49" s="15" t="s">
        <v>80</v>
      </c>
      <c r="C49" s="15" t="s">
        <v>81</v>
      </c>
      <c r="D49" s="15" t="s">
        <v>35</v>
      </c>
      <c r="E49" s="15">
        <v>10</v>
      </c>
      <c r="F49" s="15">
        <v>5</v>
      </c>
    </row>
    <row r="50" spans="2:6" x14ac:dyDescent="0.35">
      <c r="B50" s="15" t="s">
        <v>82</v>
      </c>
      <c r="C50" s="15" t="s">
        <v>83</v>
      </c>
      <c r="D50" s="15" t="s">
        <v>35</v>
      </c>
      <c r="E50" s="15">
        <v>4</v>
      </c>
      <c r="F50" s="15">
        <v>2</v>
      </c>
    </row>
    <row r="51" spans="2:6" x14ac:dyDescent="0.35">
      <c r="B51" s="15" t="s">
        <v>84</v>
      </c>
      <c r="C51" s="15" t="s">
        <v>85</v>
      </c>
      <c r="D51" s="15" t="s">
        <v>35</v>
      </c>
      <c r="E51" s="15">
        <v>4</v>
      </c>
      <c r="F51" s="15">
        <v>2</v>
      </c>
    </row>
    <row r="52" spans="2:6" x14ac:dyDescent="0.35">
      <c r="B52" s="15" t="s">
        <v>86</v>
      </c>
      <c r="C52" s="15" t="s">
        <v>87</v>
      </c>
      <c r="D52" s="15" t="s">
        <v>35</v>
      </c>
      <c r="E52" s="15">
        <v>4</v>
      </c>
      <c r="F52" s="15">
        <v>2</v>
      </c>
    </row>
    <row r="53" spans="2:6" x14ac:dyDescent="0.35">
      <c r="B53" s="15" t="s">
        <v>88</v>
      </c>
      <c r="C53" s="15" t="s">
        <v>89</v>
      </c>
      <c r="D53" s="15" t="s">
        <v>35</v>
      </c>
      <c r="E53" s="15">
        <v>2</v>
      </c>
      <c r="F53" s="15">
        <v>0</v>
      </c>
    </row>
    <row r="54" spans="2:6" x14ac:dyDescent="0.35">
      <c r="B54" s="15" t="s">
        <v>90</v>
      </c>
      <c r="C54" s="15" t="s">
        <v>91</v>
      </c>
      <c r="D54" s="15" t="s">
        <v>35</v>
      </c>
      <c r="E54" s="15">
        <v>4</v>
      </c>
      <c r="F54" s="15">
        <v>2</v>
      </c>
    </row>
  </sheetData>
  <dataConsolidate/>
  <hyperlinks>
    <hyperlink ref="B8" location="'Kraken AssetInfos'!B8" display="Get"/>
  </hyperlink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S183"/>
  <sheetViews>
    <sheetView workbookViewId="0">
      <selection activeCell="B10" sqref="B10"/>
    </sheetView>
  </sheetViews>
  <sheetFormatPr baseColWidth="10" defaultRowHeight="14.5" x14ac:dyDescent="0.35"/>
  <sheetData>
    <row r="2" spans="2:19" ht="17.5" x14ac:dyDescent="0.35">
      <c r="B2" s="13" t="s">
        <v>94</v>
      </c>
    </row>
    <row r="3" spans="2:19" x14ac:dyDescent="0.35">
      <c r="B3" t="s">
        <v>95</v>
      </c>
    </row>
    <row r="5" spans="2:19" x14ac:dyDescent="0.35">
      <c r="B5" t="s">
        <v>24</v>
      </c>
      <c r="C5" t="s">
        <v>26</v>
      </c>
    </row>
    <row r="6" spans="2:19" x14ac:dyDescent="0.35">
      <c r="C6" s="10"/>
      <c r="D6" t="s">
        <v>92</v>
      </c>
      <c r="H6" t="s">
        <v>494</v>
      </c>
    </row>
    <row r="7" spans="2:19" x14ac:dyDescent="0.35">
      <c r="C7" t="s">
        <v>96</v>
      </c>
    </row>
    <row r="8" spans="2:19" x14ac:dyDescent="0.35">
      <c r="C8" s="10" t="s">
        <v>492</v>
      </c>
      <c r="D8" t="s">
        <v>493</v>
      </c>
    </row>
    <row r="10" spans="2:19" x14ac:dyDescent="0.35">
      <c r="B10" s="18" t="s">
        <v>19</v>
      </c>
      <c r="D10" s="16"/>
    </row>
    <row r="12" spans="2:19" ht="15" thickBot="1" x14ac:dyDescent="0.4"/>
    <row r="13" spans="2:19" ht="15.5" thickTop="1" thickBot="1" x14ac:dyDescent="0.4">
      <c r="B13" s="3" t="s">
        <v>491</v>
      </c>
      <c r="C13" s="3" t="s">
        <v>31</v>
      </c>
      <c r="D13" s="3" t="s">
        <v>101</v>
      </c>
      <c r="E13" s="3" t="s">
        <v>102</v>
      </c>
      <c r="F13" s="3" t="s">
        <v>103</v>
      </c>
      <c r="G13" s="3" t="s">
        <v>104</v>
      </c>
      <c r="H13" s="3" t="s">
        <v>105</v>
      </c>
      <c r="I13" s="3" t="s">
        <v>106</v>
      </c>
      <c r="J13" s="3" t="s">
        <v>107</v>
      </c>
      <c r="K13" s="3" t="s">
        <v>108</v>
      </c>
      <c r="L13" s="3" t="s">
        <v>109</v>
      </c>
      <c r="M13" s="3" t="s">
        <v>114</v>
      </c>
      <c r="N13" s="3" t="s">
        <v>115</v>
      </c>
      <c r="O13" s="3" t="s">
        <v>97</v>
      </c>
      <c r="P13" s="3" t="s">
        <v>113</v>
      </c>
      <c r="Q13" s="3" t="s">
        <v>110</v>
      </c>
      <c r="R13" s="3" t="s">
        <v>111</v>
      </c>
      <c r="S13" s="3" t="s">
        <v>112</v>
      </c>
    </row>
    <row r="14" spans="2:19" ht="15" thickTop="1" x14ac:dyDescent="0.35">
      <c r="B14" s="15" t="s">
        <v>116</v>
      </c>
      <c r="C14" s="15" t="s">
        <v>116</v>
      </c>
      <c r="D14" s="15" t="s">
        <v>117</v>
      </c>
      <c r="E14" s="15" t="s">
        <v>35</v>
      </c>
      <c r="F14" s="15" t="s">
        <v>36</v>
      </c>
      <c r="G14" s="15" t="s">
        <v>35</v>
      </c>
      <c r="H14" s="15" t="s">
        <v>27</v>
      </c>
      <c r="I14" s="15" t="s">
        <v>100</v>
      </c>
      <c r="J14" s="15">
        <v>7</v>
      </c>
      <c r="K14" s="15">
        <v>8</v>
      </c>
      <c r="L14" s="15">
        <v>1</v>
      </c>
      <c r="M14" s="15"/>
      <c r="N14" s="15"/>
      <c r="O14" s="15"/>
      <c r="P14" s="15"/>
      <c r="Q14" s="15" t="s">
        <v>90</v>
      </c>
      <c r="R14" s="15">
        <v>80</v>
      </c>
      <c r="S14" s="15">
        <v>40</v>
      </c>
    </row>
    <row r="15" spans="2:19" x14ac:dyDescent="0.35">
      <c r="B15" s="15" t="s">
        <v>118</v>
      </c>
      <c r="C15" s="15" t="s">
        <v>118</v>
      </c>
      <c r="D15" s="15" t="s">
        <v>119</v>
      </c>
      <c r="E15" s="15" t="s">
        <v>35</v>
      </c>
      <c r="F15" s="15" t="s">
        <v>36</v>
      </c>
      <c r="G15" s="15" t="s">
        <v>35</v>
      </c>
      <c r="H15" s="15" t="s">
        <v>84</v>
      </c>
      <c r="I15" s="15" t="s">
        <v>100</v>
      </c>
      <c r="J15" s="15">
        <v>6</v>
      </c>
      <c r="K15" s="15">
        <v>8</v>
      </c>
      <c r="L15" s="15">
        <v>1</v>
      </c>
      <c r="M15" s="15"/>
      <c r="N15" s="15"/>
      <c r="O15" s="15"/>
      <c r="P15" s="15"/>
      <c r="Q15" s="15" t="s">
        <v>90</v>
      </c>
      <c r="R15" s="15">
        <v>80</v>
      </c>
      <c r="S15" s="15">
        <v>40</v>
      </c>
    </row>
    <row r="16" spans="2:19" x14ac:dyDescent="0.35">
      <c r="B16" s="15" t="s">
        <v>120</v>
      </c>
      <c r="C16" s="15" t="s">
        <v>120</v>
      </c>
      <c r="D16" s="15" t="s">
        <v>121</v>
      </c>
      <c r="E16" s="15" t="s">
        <v>35</v>
      </c>
      <c r="F16" s="15" t="s">
        <v>36</v>
      </c>
      <c r="G16" s="15" t="s">
        <v>35</v>
      </c>
      <c r="H16" s="15" t="s">
        <v>90</v>
      </c>
      <c r="I16" s="15" t="s">
        <v>100</v>
      </c>
      <c r="J16" s="15">
        <v>6</v>
      </c>
      <c r="K16" s="15">
        <v>8</v>
      </c>
      <c r="L16" s="15">
        <v>1</v>
      </c>
      <c r="M16" s="15"/>
      <c r="N16" s="15"/>
      <c r="O16" s="15"/>
      <c r="P16" s="15"/>
      <c r="Q16" s="15" t="s">
        <v>90</v>
      </c>
      <c r="R16" s="15">
        <v>80</v>
      </c>
      <c r="S16" s="15">
        <v>40</v>
      </c>
    </row>
    <row r="17" spans="2:19" x14ac:dyDescent="0.35">
      <c r="B17" s="15" t="s">
        <v>122</v>
      </c>
      <c r="C17" s="15" t="s">
        <v>122</v>
      </c>
      <c r="D17" s="15" t="s">
        <v>123</v>
      </c>
      <c r="E17" s="15" t="s">
        <v>35</v>
      </c>
      <c r="F17" s="15" t="s">
        <v>36</v>
      </c>
      <c r="G17" s="15" t="s">
        <v>35</v>
      </c>
      <c r="H17" s="15" t="s">
        <v>29</v>
      </c>
      <c r="I17" s="15" t="s">
        <v>100</v>
      </c>
      <c r="J17" s="15">
        <v>8</v>
      </c>
      <c r="K17" s="15">
        <v>8</v>
      </c>
      <c r="L17" s="15">
        <v>1</v>
      </c>
      <c r="M17" s="15"/>
      <c r="N17" s="15"/>
      <c r="O17" s="15"/>
      <c r="P17" s="15"/>
      <c r="Q17" s="15" t="s">
        <v>90</v>
      </c>
      <c r="R17" s="15">
        <v>80</v>
      </c>
      <c r="S17" s="15">
        <v>40</v>
      </c>
    </row>
    <row r="18" spans="2:19" x14ac:dyDescent="0.35">
      <c r="B18" s="15" t="s">
        <v>124</v>
      </c>
      <c r="C18" s="15" t="s">
        <v>124</v>
      </c>
      <c r="D18" s="15" t="s">
        <v>125</v>
      </c>
      <c r="E18" s="15" t="s">
        <v>35</v>
      </c>
      <c r="F18" s="15" t="s">
        <v>37</v>
      </c>
      <c r="G18" s="15" t="s">
        <v>35</v>
      </c>
      <c r="H18" s="15" t="s">
        <v>27</v>
      </c>
      <c r="I18" s="15" t="s">
        <v>100</v>
      </c>
      <c r="J18" s="15">
        <v>7</v>
      </c>
      <c r="K18" s="15">
        <v>8</v>
      </c>
      <c r="L18" s="15">
        <v>1</v>
      </c>
      <c r="M18" s="15"/>
      <c r="N18" s="15"/>
      <c r="O18" s="15"/>
      <c r="P18" s="15"/>
      <c r="Q18" s="15" t="s">
        <v>90</v>
      </c>
      <c r="R18" s="15">
        <v>80</v>
      </c>
      <c r="S18" s="15">
        <v>40</v>
      </c>
    </row>
    <row r="19" spans="2:19" x14ac:dyDescent="0.35">
      <c r="B19" s="15" t="s">
        <v>126</v>
      </c>
      <c r="C19" s="15" t="s">
        <v>126</v>
      </c>
      <c r="D19" s="15" t="s">
        <v>127</v>
      </c>
      <c r="E19" s="15" t="s">
        <v>35</v>
      </c>
      <c r="F19" s="15" t="s">
        <v>37</v>
      </c>
      <c r="G19" s="15" t="s">
        <v>35</v>
      </c>
      <c r="H19" s="15" t="s">
        <v>84</v>
      </c>
      <c r="I19" s="15" t="s">
        <v>100</v>
      </c>
      <c r="J19" s="15">
        <v>5</v>
      </c>
      <c r="K19" s="15">
        <v>8</v>
      </c>
      <c r="L19" s="15">
        <v>1</v>
      </c>
      <c r="M19" s="15"/>
      <c r="N19" s="15"/>
      <c r="O19" s="15"/>
      <c r="P19" s="15"/>
      <c r="Q19" s="15" t="s">
        <v>90</v>
      </c>
      <c r="R19" s="15">
        <v>80</v>
      </c>
      <c r="S19" s="15">
        <v>40</v>
      </c>
    </row>
    <row r="20" spans="2:19" x14ac:dyDescent="0.35">
      <c r="B20" s="15" t="s">
        <v>128</v>
      </c>
      <c r="C20" s="15" t="s">
        <v>128</v>
      </c>
      <c r="D20" s="15" t="s">
        <v>129</v>
      </c>
      <c r="E20" s="15" t="s">
        <v>35</v>
      </c>
      <c r="F20" s="15" t="s">
        <v>37</v>
      </c>
      <c r="G20" s="15" t="s">
        <v>35</v>
      </c>
      <c r="H20" s="15" t="s">
        <v>90</v>
      </c>
      <c r="I20" s="15" t="s">
        <v>100</v>
      </c>
      <c r="J20" s="15">
        <v>5</v>
      </c>
      <c r="K20" s="15">
        <v>8</v>
      </c>
      <c r="L20" s="15">
        <v>1</v>
      </c>
      <c r="M20" s="15"/>
      <c r="N20" s="15"/>
      <c r="O20" s="15"/>
      <c r="P20" s="15"/>
      <c r="Q20" s="15" t="s">
        <v>90</v>
      </c>
      <c r="R20" s="15">
        <v>80</v>
      </c>
      <c r="S20" s="15">
        <v>40</v>
      </c>
    </row>
    <row r="21" spans="2:19" x14ac:dyDescent="0.35">
      <c r="B21" s="15" t="s">
        <v>130</v>
      </c>
      <c r="C21" s="15" t="s">
        <v>130</v>
      </c>
      <c r="D21" s="15" t="s">
        <v>131</v>
      </c>
      <c r="E21" s="15" t="s">
        <v>35</v>
      </c>
      <c r="F21" s="15" t="s">
        <v>37</v>
      </c>
      <c r="G21" s="15" t="s">
        <v>35</v>
      </c>
      <c r="H21" s="15" t="s">
        <v>29</v>
      </c>
      <c r="I21" s="15" t="s">
        <v>100</v>
      </c>
      <c r="J21" s="15">
        <v>8</v>
      </c>
      <c r="K21" s="15">
        <v>8</v>
      </c>
      <c r="L21" s="15">
        <v>1</v>
      </c>
      <c r="M21" s="15"/>
      <c r="N21" s="15"/>
      <c r="O21" s="15"/>
      <c r="P21" s="15"/>
      <c r="Q21" s="15" t="s">
        <v>90</v>
      </c>
      <c r="R21" s="15">
        <v>80</v>
      </c>
      <c r="S21" s="15">
        <v>40</v>
      </c>
    </row>
    <row r="22" spans="2:19" x14ac:dyDescent="0.35">
      <c r="B22" s="15" t="s">
        <v>132</v>
      </c>
      <c r="C22" s="15" t="s">
        <v>132</v>
      </c>
      <c r="D22" s="15" t="s">
        <v>133</v>
      </c>
      <c r="E22" s="15" t="s">
        <v>35</v>
      </c>
      <c r="F22" s="15" t="s">
        <v>38</v>
      </c>
      <c r="G22" s="15" t="s">
        <v>35</v>
      </c>
      <c r="H22" s="15" t="s">
        <v>27</v>
      </c>
      <c r="I22" s="15" t="s">
        <v>100</v>
      </c>
      <c r="J22" s="15">
        <v>6</v>
      </c>
      <c r="K22" s="15">
        <v>8</v>
      </c>
      <c r="L22" s="15">
        <v>1</v>
      </c>
      <c r="M22" s="15"/>
      <c r="N22" s="15"/>
      <c r="O22" s="15"/>
      <c r="P22" s="15"/>
      <c r="Q22" s="15" t="s">
        <v>90</v>
      </c>
      <c r="R22" s="15">
        <v>80</v>
      </c>
      <c r="S22" s="15">
        <v>40</v>
      </c>
    </row>
    <row r="23" spans="2:19" x14ac:dyDescent="0.35">
      <c r="B23" s="15" t="s">
        <v>134</v>
      </c>
      <c r="C23" s="15" t="s">
        <v>134</v>
      </c>
      <c r="D23" s="15" t="s">
        <v>135</v>
      </c>
      <c r="E23" s="15" t="s">
        <v>35</v>
      </c>
      <c r="F23" s="15" t="s">
        <v>38</v>
      </c>
      <c r="G23" s="15" t="s">
        <v>35</v>
      </c>
      <c r="H23" s="15" t="s">
        <v>84</v>
      </c>
      <c r="I23" s="15" t="s">
        <v>100</v>
      </c>
      <c r="J23" s="15">
        <v>4</v>
      </c>
      <c r="K23" s="15">
        <v>8</v>
      </c>
      <c r="L23" s="15">
        <v>1</v>
      </c>
      <c r="M23" s="15"/>
      <c r="N23" s="15"/>
      <c r="O23" s="15"/>
      <c r="P23" s="15"/>
      <c r="Q23" s="15" t="s">
        <v>90</v>
      </c>
      <c r="R23" s="15">
        <v>80</v>
      </c>
      <c r="S23" s="15">
        <v>40</v>
      </c>
    </row>
    <row r="24" spans="2:19" x14ac:dyDescent="0.35">
      <c r="B24" s="15" t="s">
        <v>136</v>
      </c>
      <c r="C24" s="15" t="s">
        <v>136</v>
      </c>
      <c r="D24" s="15" t="s">
        <v>137</v>
      </c>
      <c r="E24" s="15" t="s">
        <v>35</v>
      </c>
      <c r="F24" s="15" t="s">
        <v>38</v>
      </c>
      <c r="G24" s="15" t="s">
        <v>35</v>
      </c>
      <c r="H24" s="15" t="s">
        <v>90</v>
      </c>
      <c r="I24" s="15" t="s">
        <v>100</v>
      </c>
      <c r="J24" s="15">
        <v>4</v>
      </c>
      <c r="K24" s="15">
        <v>8</v>
      </c>
      <c r="L24" s="15">
        <v>1</v>
      </c>
      <c r="M24" s="15"/>
      <c r="N24" s="15"/>
      <c r="O24" s="15"/>
      <c r="P24" s="15"/>
      <c r="Q24" s="15" t="s">
        <v>90</v>
      </c>
      <c r="R24" s="15">
        <v>80</v>
      </c>
      <c r="S24" s="15">
        <v>40</v>
      </c>
    </row>
    <row r="25" spans="2:19" x14ac:dyDescent="0.35">
      <c r="B25" s="15" t="s">
        <v>138</v>
      </c>
      <c r="C25" s="15" t="s">
        <v>138</v>
      </c>
      <c r="D25" s="15" t="s">
        <v>139</v>
      </c>
      <c r="E25" s="15" t="s">
        <v>35</v>
      </c>
      <c r="F25" s="15" t="s">
        <v>38</v>
      </c>
      <c r="G25" s="15" t="s">
        <v>35</v>
      </c>
      <c r="H25" s="15" t="s">
        <v>29</v>
      </c>
      <c r="I25" s="15" t="s">
        <v>100</v>
      </c>
      <c r="J25" s="15">
        <v>7</v>
      </c>
      <c r="K25" s="15">
        <v>8</v>
      </c>
      <c r="L25" s="15">
        <v>1</v>
      </c>
      <c r="M25" s="15"/>
      <c r="N25" s="15"/>
      <c r="O25" s="15"/>
      <c r="P25" s="15"/>
      <c r="Q25" s="15" t="s">
        <v>90</v>
      </c>
      <c r="R25" s="15">
        <v>80</v>
      </c>
      <c r="S25" s="15">
        <v>40</v>
      </c>
    </row>
    <row r="26" spans="2:19" x14ac:dyDescent="0.35">
      <c r="B26" s="15" t="s">
        <v>140</v>
      </c>
      <c r="C26" s="15" t="s">
        <v>140</v>
      </c>
      <c r="D26" s="15" t="s">
        <v>141</v>
      </c>
      <c r="E26" s="15" t="s">
        <v>35</v>
      </c>
      <c r="F26" s="15" t="s">
        <v>39</v>
      </c>
      <c r="G26" s="15" t="s">
        <v>35</v>
      </c>
      <c r="H26" s="15" t="s">
        <v>27</v>
      </c>
      <c r="I26" s="15" t="s">
        <v>100</v>
      </c>
      <c r="J26" s="15">
        <v>7</v>
      </c>
      <c r="K26" s="15">
        <v>8</v>
      </c>
      <c r="L26" s="15">
        <v>1</v>
      </c>
      <c r="M26" s="15"/>
      <c r="N26" s="15"/>
      <c r="O26" s="15"/>
      <c r="P26" s="15"/>
      <c r="Q26" s="15" t="s">
        <v>90</v>
      </c>
      <c r="R26" s="15">
        <v>80</v>
      </c>
      <c r="S26" s="15">
        <v>40</v>
      </c>
    </row>
    <row r="27" spans="2:19" x14ac:dyDescent="0.35">
      <c r="B27" s="15" t="s">
        <v>142</v>
      </c>
      <c r="C27" s="15" t="s">
        <v>142</v>
      </c>
      <c r="D27" s="15" t="s">
        <v>143</v>
      </c>
      <c r="E27" s="15" t="s">
        <v>35</v>
      </c>
      <c r="F27" s="15" t="s">
        <v>39</v>
      </c>
      <c r="G27" s="15" t="s">
        <v>35</v>
      </c>
      <c r="H27" s="15" t="s">
        <v>84</v>
      </c>
      <c r="I27" s="15" t="s">
        <v>100</v>
      </c>
      <c r="J27" s="15">
        <v>5</v>
      </c>
      <c r="K27" s="15">
        <v>8</v>
      </c>
      <c r="L27" s="15">
        <v>1</v>
      </c>
      <c r="M27" s="15"/>
      <c r="N27" s="15"/>
      <c r="O27" s="15"/>
      <c r="P27" s="15"/>
      <c r="Q27" s="15" t="s">
        <v>90</v>
      </c>
      <c r="R27" s="15">
        <v>80</v>
      </c>
      <c r="S27" s="15">
        <v>40</v>
      </c>
    </row>
    <row r="28" spans="2:19" x14ac:dyDescent="0.35">
      <c r="B28" s="15" t="s">
        <v>144</v>
      </c>
      <c r="C28" s="15" t="s">
        <v>144</v>
      </c>
      <c r="D28" s="15" t="s">
        <v>145</v>
      </c>
      <c r="E28" s="15" t="s">
        <v>35</v>
      </c>
      <c r="F28" s="15" t="s">
        <v>39</v>
      </c>
      <c r="G28" s="15" t="s">
        <v>35</v>
      </c>
      <c r="H28" s="15" t="s">
        <v>90</v>
      </c>
      <c r="I28" s="15" t="s">
        <v>100</v>
      </c>
      <c r="J28" s="15">
        <v>5</v>
      </c>
      <c r="K28" s="15">
        <v>8</v>
      </c>
      <c r="L28" s="15">
        <v>1</v>
      </c>
      <c r="M28" s="15"/>
      <c r="N28" s="15"/>
      <c r="O28" s="15"/>
      <c r="P28" s="15"/>
      <c r="Q28" s="15" t="s">
        <v>90</v>
      </c>
      <c r="R28" s="15">
        <v>80</v>
      </c>
      <c r="S28" s="15">
        <v>40</v>
      </c>
    </row>
    <row r="29" spans="2:19" x14ac:dyDescent="0.35">
      <c r="B29" s="15" t="s">
        <v>146</v>
      </c>
      <c r="C29" s="15" t="s">
        <v>146</v>
      </c>
      <c r="D29" s="15" t="s">
        <v>147</v>
      </c>
      <c r="E29" s="15" t="s">
        <v>35</v>
      </c>
      <c r="F29" s="15" t="s">
        <v>39</v>
      </c>
      <c r="G29" s="15" t="s">
        <v>35</v>
      </c>
      <c r="H29" s="15" t="s">
        <v>29</v>
      </c>
      <c r="I29" s="15" t="s">
        <v>100</v>
      </c>
      <c r="J29" s="15">
        <v>8</v>
      </c>
      <c r="K29" s="15">
        <v>8</v>
      </c>
      <c r="L29" s="15">
        <v>1</v>
      </c>
      <c r="M29" s="15"/>
      <c r="N29" s="15"/>
      <c r="O29" s="15"/>
      <c r="P29" s="15"/>
      <c r="Q29" s="15" t="s">
        <v>90</v>
      </c>
      <c r="R29" s="15">
        <v>80</v>
      </c>
      <c r="S29" s="15">
        <v>40</v>
      </c>
    </row>
    <row r="30" spans="2:19" x14ac:dyDescent="0.35">
      <c r="B30" s="15" t="s">
        <v>148</v>
      </c>
      <c r="C30" s="15" t="s">
        <v>148</v>
      </c>
      <c r="D30" s="15" t="s">
        <v>149</v>
      </c>
      <c r="E30" s="15" t="s">
        <v>35</v>
      </c>
      <c r="F30" s="15" t="s">
        <v>40</v>
      </c>
      <c r="G30" s="15" t="s">
        <v>35</v>
      </c>
      <c r="H30" s="15" t="s">
        <v>27</v>
      </c>
      <c r="I30" s="15" t="s">
        <v>100</v>
      </c>
      <c r="J30" s="15">
        <v>4</v>
      </c>
      <c r="K30" s="15">
        <v>8</v>
      </c>
      <c r="L30" s="15">
        <v>1</v>
      </c>
      <c r="M30" s="15"/>
      <c r="N30" s="15"/>
      <c r="O30" s="15"/>
      <c r="P30" s="15"/>
      <c r="Q30" s="15" t="s">
        <v>90</v>
      </c>
      <c r="R30" s="15">
        <v>80</v>
      </c>
      <c r="S30" s="15">
        <v>40</v>
      </c>
    </row>
    <row r="31" spans="2:19" x14ac:dyDescent="0.35">
      <c r="B31" s="15" t="s">
        <v>150</v>
      </c>
      <c r="C31" s="15" t="s">
        <v>150</v>
      </c>
      <c r="D31" s="15" t="s">
        <v>151</v>
      </c>
      <c r="E31" s="15" t="s">
        <v>35</v>
      </c>
      <c r="F31" s="15" t="s">
        <v>40</v>
      </c>
      <c r="G31" s="15" t="s">
        <v>35</v>
      </c>
      <c r="H31" s="15" t="s">
        <v>84</v>
      </c>
      <c r="I31" s="15" t="s">
        <v>100</v>
      </c>
      <c r="J31" s="15">
        <v>1</v>
      </c>
      <c r="K31" s="15">
        <v>8</v>
      </c>
      <c r="L31" s="15">
        <v>1</v>
      </c>
      <c r="M31" s="15"/>
      <c r="N31" s="15"/>
      <c r="O31" s="15"/>
      <c r="P31" s="15"/>
      <c r="Q31" s="15" t="s">
        <v>90</v>
      </c>
      <c r="R31" s="15">
        <v>80</v>
      </c>
      <c r="S31" s="15">
        <v>40</v>
      </c>
    </row>
    <row r="32" spans="2:19" x14ac:dyDescent="0.35">
      <c r="B32" s="15" t="s">
        <v>152</v>
      </c>
      <c r="C32" s="15" t="s">
        <v>152</v>
      </c>
      <c r="D32" s="15" t="s">
        <v>153</v>
      </c>
      <c r="E32" s="15" t="s">
        <v>35</v>
      </c>
      <c r="F32" s="15" t="s">
        <v>40</v>
      </c>
      <c r="G32" s="15" t="s">
        <v>35</v>
      </c>
      <c r="H32" s="15" t="s">
        <v>86</v>
      </c>
      <c r="I32" s="15" t="s">
        <v>100</v>
      </c>
      <c r="J32" s="15">
        <v>2</v>
      </c>
      <c r="K32" s="15">
        <v>8</v>
      </c>
      <c r="L32" s="15">
        <v>1</v>
      </c>
      <c r="M32" s="15"/>
      <c r="N32" s="15"/>
      <c r="O32" s="15"/>
      <c r="P32" s="15"/>
      <c r="Q32" s="15" t="s">
        <v>90</v>
      </c>
      <c r="R32" s="15">
        <v>80</v>
      </c>
      <c r="S32" s="15">
        <v>40</v>
      </c>
    </row>
    <row r="33" spans="2:19" x14ac:dyDescent="0.35">
      <c r="B33" s="15" t="s">
        <v>154</v>
      </c>
      <c r="C33" s="15" t="s">
        <v>154</v>
      </c>
      <c r="D33" s="15" t="s">
        <v>155</v>
      </c>
      <c r="E33" s="15" t="s">
        <v>35</v>
      </c>
      <c r="F33" s="15" t="s">
        <v>40</v>
      </c>
      <c r="G33" s="15" t="s">
        <v>35</v>
      </c>
      <c r="H33" s="15" t="s">
        <v>90</v>
      </c>
      <c r="I33" s="15" t="s">
        <v>100</v>
      </c>
      <c r="J33" s="15">
        <v>1</v>
      </c>
      <c r="K33" s="15">
        <v>8</v>
      </c>
      <c r="L33" s="15">
        <v>1</v>
      </c>
      <c r="M33" s="15"/>
      <c r="N33" s="15"/>
      <c r="O33" s="15"/>
      <c r="P33" s="15"/>
      <c r="Q33" s="15" t="s">
        <v>90</v>
      </c>
      <c r="R33" s="15">
        <v>80</v>
      </c>
      <c r="S33" s="15">
        <v>40</v>
      </c>
    </row>
    <row r="34" spans="2:19" x14ac:dyDescent="0.35">
      <c r="B34" s="15" t="s">
        <v>156</v>
      </c>
      <c r="C34" s="15" t="s">
        <v>156</v>
      </c>
      <c r="D34" s="15" t="s">
        <v>157</v>
      </c>
      <c r="E34" s="15" t="s">
        <v>35</v>
      </c>
      <c r="F34" s="15" t="s">
        <v>40</v>
      </c>
      <c r="G34" s="15" t="s">
        <v>35</v>
      </c>
      <c r="H34" s="15" t="s">
        <v>60</v>
      </c>
      <c r="I34" s="15" t="s">
        <v>100</v>
      </c>
      <c r="J34" s="15">
        <v>2</v>
      </c>
      <c r="K34" s="15">
        <v>8</v>
      </c>
      <c r="L34" s="15">
        <v>1</v>
      </c>
      <c r="M34" s="15"/>
      <c r="N34" s="15"/>
      <c r="O34" s="15"/>
      <c r="P34" s="15"/>
      <c r="Q34" s="15" t="s">
        <v>90</v>
      </c>
      <c r="R34" s="15">
        <v>80</v>
      </c>
      <c r="S34" s="15">
        <v>40</v>
      </c>
    </row>
    <row r="35" spans="2:19" x14ac:dyDescent="0.35">
      <c r="B35" s="15" t="s">
        <v>158</v>
      </c>
      <c r="C35" s="15" t="s">
        <v>158</v>
      </c>
      <c r="D35" s="15" t="s">
        <v>159</v>
      </c>
      <c r="E35" s="15" t="s">
        <v>35</v>
      </c>
      <c r="F35" s="15" t="s">
        <v>40</v>
      </c>
      <c r="G35" s="15" t="s">
        <v>35</v>
      </c>
      <c r="H35" s="15" t="s">
        <v>29</v>
      </c>
      <c r="I35" s="15" t="s">
        <v>100</v>
      </c>
      <c r="J35" s="15">
        <v>5</v>
      </c>
      <c r="K35" s="15">
        <v>8</v>
      </c>
      <c r="L35" s="15">
        <v>1</v>
      </c>
      <c r="M35" s="15"/>
      <c r="N35" s="15"/>
      <c r="O35" s="15"/>
      <c r="P35" s="15"/>
      <c r="Q35" s="15" t="s">
        <v>90</v>
      </c>
      <c r="R35" s="15">
        <v>80</v>
      </c>
      <c r="S35" s="15">
        <v>40</v>
      </c>
    </row>
    <row r="36" spans="2:19" x14ac:dyDescent="0.35">
      <c r="B36" s="15" t="s">
        <v>160</v>
      </c>
      <c r="C36" s="15" t="s">
        <v>160</v>
      </c>
      <c r="D36" s="15" t="s">
        <v>161</v>
      </c>
      <c r="E36" s="15" t="s">
        <v>35</v>
      </c>
      <c r="F36" s="15" t="s">
        <v>43</v>
      </c>
      <c r="G36" s="15" t="s">
        <v>35</v>
      </c>
      <c r="H36" s="15" t="s">
        <v>84</v>
      </c>
      <c r="I36" s="15" t="s">
        <v>100</v>
      </c>
      <c r="J36" s="15">
        <v>5</v>
      </c>
      <c r="K36" s="15">
        <v>8</v>
      </c>
      <c r="L36" s="15">
        <v>1</v>
      </c>
      <c r="M36" s="15"/>
      <c r="N36" s="15"/>
      <c r="O36" s="15"/>
      <c r="P36" s="15"/>
      <c r="Q36" s="15" t="s">
        <v>90</v>
      </c>
      <c r="R36" s="15">
        <v>80</v>
      </c>
      <c r="S36" s="15">
        <v>40</v>
      </c>
    </row>
    <row r="37" spans="2:19" x14ac:dyDescent="0.35">
      <c r="B37" s="15" t="s">
        <v>162</v>
      </c>
      <c r="C37" s="15" t="s">
        <v>162</v>
      </c>
      <c r="D37" s="15" t="s">
        <v>163</v>
      </c>
      <c r="E37" s="15" t="s">
        <v>35</v>
      </c>
      <c r="F37" s="15" t="s">
        <v>43</v>
      </c>
      <c r="G37" s="15" t="s">
        <v>35</v>
      </c>
      <c r="H37" s="15" t="s">
        <v>90</v>
      </c>
      <c r="I37" s="15" t="s">
        <v>100</v>
      </c>
      <c r="J37" s="15">
        <v>5</v>
      </c>
      <c r="K37" s="15">
        <v>8</v>
      </c>
      <c r="L37" s="15">
        <v>1</v>
      </c>
      <c r="M37" s="15"/>
      <c r="N37" s="15"/>
      <c r="O37" s="15"/>
      <c r="P37" s="15"/>
      <c r="Q37" s="15" t="s">
        <v>90</v>
      </c>
      <c r="R37" s="15">
        <v>80</v>
      </c>
      <c r="S37" s="15">
        <v>40</v>
      </c>
    </row>
    <row r="38" spans="2:19" x14ac:dyDescent="0.35">
      <c r="B38" s="15" t="s">
        <v>164</v>
      </c>
      <c r="C38" s="15" t="s">
        <v>164</v>
      </c>
      <c r="D38" s="15" t="s">
        <v>165</v>
      </c>
      <c r="E38" s="15" t="s">
        <v>35</v>
      </c>
      <c r="F38" s="15" t="s">
        <v>43</v>
      </c>
      <c r="G38" s="15" t="s">
        <v>35</v>
      </c>
      <c r="H38" s="15" t="s">
        <v>60</v>
      </c>
      <c r="I38" s="15" t="s">
        <v>100</v>
      </c>
      <c r="J38" s="15">
        <v>5</v>
      </c>
      <c r="K38" s="15">
        <v>8</v>
      </c>
      <c r="L38" s="15">
        <v>1</v>
      </c>
      <c r="M38" s="15"/>
      <c r="N38" s="15"/>
      <c r="O38" s="15"/>
      <c r="P38" s="15"/>
      <c r="Q38" s="15" t="s">
        <v>90</v>
      </c>
      <c r="R38" s="15">
        <v>80</v>
      </c>
      <c r="S38" s="15">
        <v>40</v>
      </c>
    </row>
    <row r="39" spans="2:19" x14ac:dyDescent="0.35">
      <c r="B39" s="15" t="s">
        <v>166</v>
      </c>
      <c r="C39" s="15" t="s">
        <v>166</v>
      </c>
      <c r="D39" s="15" t="s">
        <v>167</v>
      </c>
      <c r="E39" s="15" t="s">
        <v>35</v>
      </c>
      <c r="F39" s="15" t="s">
        <v>44</v>
      </c>
      <c r="G39" s="15" t="s">
        <v>35</v>
      </c>
      <c r="H39" s="15" t="s">
        <v>84</v>
      </c>
      <c r="I39" s="15" t="s">
        <v>100</v>
      </c>
      <c r="J39" s="15">
        <v>3</v>
      </c>
      <c r="K39" s="15">
        <v>8</v>
      </c>
      <c r="L39" s="15">
        <v>1</v>
      </c>
      <c r="M39" s="15"/>
      <c r="N39" s="15"/>
      <c r="O39" s="15"/>
      <c r="P39" s="15"/>
      <c r="Q39" s="15" t="s">
        <v>90</v>
      </c>
      <c r="R39" s="15">
        <v>80</v>
      </c>
      <c r="S39" s="15">
        <v>40</v>
      </c>
    </row>
    <row r="40" spans="2:19" x14ac:dyDescent="0.35">
      <c r="B40" s="15" t="s">
        <v>168</v>
      </c>
      <c r="C40" s="15" t="s">
        <v>168</v>
      </c>
      <c r="D40" s="15" t="s">
        <v>169</v>
      </c>
      <c r="E40" s="15" t="s">
        <v>35</v>
      </c>
      <c r="F40" s="15" t="s">
        <v>44</v>
      </c>
      <c r="G40" s="15" t="s">
        <v>35</v>
      </c>
      <c r="H40" s="15" t="s">
        <v>90</v>
      </c>
      <c r="I40" s="15" t="s">
        <v>100</v>
      </c>
      <c r="J40" s="15">
        <v>3</v>
      </c>
      <c r="K40" s="15">
        <v>8</v>
      </c>
      <c r="L40" s="15">
        <v>1</v>
      </c>
      <c r="M40" s="15"/>
      <c r="N40" s="15"/>
      <c r="O40" s="15"/>
      <c r="P40" s="15"/>
      <c r="Q40" s="15" t="s">
        <v>90</v>
      </c>
      <c r="R40" s="15">
        <v>80</v>
      </c>
      <c r="S40" s="15">
        <v>40</v>
      </c>
    </row>
    <row r="41" spans="2:19" x14ac:dyDescent="0.35">
      <c r="B41" s="15" t="s">
        <v>170</v>
      </c>
      <c r="C41" s="15" t="s">
        <v>170</v>
      </c>
      <c r="D41" s="15" t="s">
        <v>171</v>
      </c>
      <c r="E41" s="15" t="s">
        <v>35</v>
      </c>
      <c r="F41" s="15" t="s">
        <v>44</v>
      </c>
      <c r="G41" s="15" t="s">
        <v>35</v>
      </c>
      <c r="H41" s="15" t="s">
        <v>29</v>
      </c>
      <c r="I41" s="15" t="s">
        <v>100</v>
      </c>
      <c r="J41" s="15">
        <v>5</v>
      </c>
      <c r="K41" s="15">
        <v>8</v>
      </c>
      <c r="L41" s="15">
        <v>1</v>
      </c>
      <c r="M41" s="15"/>
      <c r="N41" s="15"/>
      <c r="O41" s="15"/>
      <c r="P41" s="15"/>
      <c r="Q41" s="15" t="s">
        <v>90</v>
      </c>
      <c r="R41" s="15">
        <v>80</v>
      </c>
      <c r="S41" s="15">
        <v>40</v>
      </c>
    </row>
    <row r="42" spans="2:19" x14ac:dyDescent="0.35">
      <c r="B42" s="15" t="s">
        <v>172</v>
      </c>
      <c r="C42" s="15" t="s">
        <v>172</v>
      </c>
      <c r="D42" s="15" t="s">
        <v>173</v>
      </c>
      <c r="E42" s="15" t="s">
        <v>35</v>
      </c>
      <c r="F42" s="15" t="s">
        <v>45</v>
      </c>
      <c r="G42" s="15" t="s">
        <v>35</v>
      </c>
      <c r="H42" s="15" t="s">
        <v>27</v>
      </c>
      <c r="I42" s="15" t="s">
        <v>100</v>
      </c>
      <c r="J42" s="15">
        <v>6</v>
      </c>
      <c r="K42" s="15">
        <v>8</v>
      </c>
      <c r="L42" s="15">
        <v>1</v>
      </c>
      <c r="M42" s="15"/>
      <c r="N42" s="15"/>
      <c r="O42" s="15"/>
      <c r="P42" s="15"/>
      <c r="Q42" s="15" t="s">
        <v>90</v>
      </c>
      <c r="R42" s="15">
        <v>80</v>
      </c>
      <c r="S42" s="15">
        <v>40</v>
      </c>
    </row>
    <row r="43" spans="2:19" x14ac:dyDescent="0.35">
      <c r="B43" s="15" t="s">
        <v>174</v>
      </c>
      <c r="C43" s="15" t="s">
        <v>174</v>
      </c>
      <c r="D43" s="15" t="s">
        <v>175</v>
      </c>
      <c r="E43" s="15" t="s">
        <v>35</v>
      </c>
      <c r="F43" s="15" t="s">
        <v>45</v>
      </c>
      <c r="G43" s="15" t="s">
        <v>35</v>
      </c>
      <c r="H43" s="15" t="s">
        <v>84</v>
      </c>
      <c r="I43" s="15" t="s">
        <v>100</v>
      </c>
      <c r="J43" s="15">
        <v>4</v>
      </c>
      <c r="K43" s="15">
        <v>8</v>
      </c>
      <c r="L43" s="15">
        <v>1</v>
      </c>
      <c r="M43" s="15"/>
      <c r="N43" s="15"/>
      <c r="O43" s="15"/>
      <c r="P43" s="15"/>
      <c r="Q43" s="15" t="s">
        <v>90</v>
      </c>
      <c r="R43" s="15">
        <v>80</v>
      </c>
      <c r="S43" s="15">
        <v>40</v>
      </c>
    </row>
    <row r="44" spans="2:19" x14ac:dyDescent="0.35">
      <c r="B44" s="15" t="s">
        <v>176</v>
      </c>
      <c r="C44" s="15" t="s">
        <v>176</v>
      </c>
      <c r="D44" s="15" t="s">
        <v>177</v>
      </c>
      <c r="E44" s="15" t="s">
        <v>35</v>
      </c>
      <c r="F44" s="15" t="s">
        <v>45</v>
      </c>
      <c r="G44" s="15" t="s">
        <v>35</v>
      </c>
      <c r="H44" s="15" t="s">
        <v>90</v>
      </c>
      <c r="I44" s="15" t="s">
        <v>100</v>
      </c>
      <c r="J44" s="15">
        <v>4</v>
      </c>
      <c r="K44" s="15">
        <v>8</v>
      </c>
      <c r="L44" s="15">
        <v>1</v>
      </c>
      <c r="M44" s="15"/>
      <c r="N44" s="15"/>
      <c r="O44" s="15"/>
      <c r="P44" s="15"/>
      <c r="Q44" s="15" t="s">
        <v>90</v>
      </c>
      <c r="R44" s="15">
        <v>80</v>
      </c>
      <c r="S44" s="15">
        <v>40</v>
      </c>
    </row>
    <row r="45" spans="2:19" x14ac:dyDescent="0.35">
      <c r="B45" s="15" t="s">
        <v>178</v>
      </c>
      <c r="C45" s="15" t="s">
        <v>178</v>
      </c>
      <c r="D45" s="15" t="s">
        <v>179</v>
      </c>
      <c r="E45" s="15" t="s">
        <v>35</v>
      </c>
      <c r="F45" s="15" t="s">
        <v>45</v>
      </c>
      <c r="G45" s="15" t="s">
        <v>35</v>
      </c>
      <c r="H45" s="15" t="s">
        <v>29</v>
      </c>
      <c r="I45" s="15" t="s">
        <v>100</v>
      </c>
      <c r="J45" s="15">
        <v>7</v>
      </c>
      <c r="K45" s="15">
        <v>8</v>
      </c>
      <c r="L45" s="15">
        <v>1</v>
      </c>
      <c r="M45" s="15"/>
      <c r="N45" s="15"/>
      <c r="O45" s="15"/>
      <c r="P45" s="15"/>
      <c r="Q45" s="15" t="s">
        <v>90</v>
      </c>
      <c r="R45" s="15">
        <v>80</v>
      </c>
      <c r="S45" s="15">
        <v>40</v>
      </c>
    </row>
    <row r="46" spans="2:19" x14ac:dyDescent="0.35">
      <c r="B46" s="15" t="s">
        <v>180</v>
      </c>
      <c r="C46" s="15" t="s">
        <v>180</v>
      </c>
      <c r="D46" s="15" t="s">
        <v>181</v>
      </c>
      <c r="E46" s="15" t="s">
        <v>35</v>
      </c>
      <c r="F46" s="15" t="s">
        <v>27</v>
      </c>
      <c r="G46" s="15" t="s">
        <v>35</v>
      </c>
      <c r="H46" s="15" t="s">
        <v>42</v>
      </c>
      <c r="I46" s="15" t="s">
        <v>100</v>
      </c>
      <c r="J46" s="15">
        <v>2</v>
      </c>
      <c r="K46" s="15">
        <v>8</v>
      </c>
      <c r="L46" s="15">
        <v>1</v>
      </c>
      <c r="M46" s="15"/>
      <c r="N46" s="15"/>
      <c r="O46" s="15"/>
      <c r="P46" s="15"/>
      <c r="Q46" s="15" t="s">
        <v>90</v>
      </c>
      <c r="R46" s="15">
        <v>80</v>
      </c>
      <c r="S46" s="15">
        <v>40</v>
      </c>
    </row>
    <row r="47" spans="2:19" x14ac:dyDescent="0.35">
      <c r="B47" s="15" t="s">
        <v>182</v>
      </c>
      <c r="C47" s="15" t="s">
        <v>182</v>
      </c>
      <c r="D47" s="15" t="s">
        <v>183</v>
      </c>
      <c r="E47" s="15" t="s">
        <v>35</v>
      </c>
      <c r="F47" s="15" t="s">
        <v>27</v>
      </c>
      <c r="G47" s="15" t="s">
        <v>35</v>
      </c>
      <c r="H47" s="15" t="s">
        <v>43</v>
      </c>
      <c r="I47" s="15" t="s">
        <v>100</v>
      </c>
      <c r="J47" s="15">
        <v>3</v>
      </c>
      <c r="K47" s="15">
        <v>8</v>
      </c>
      <c r="L47" s="15">
        <v>1</v>
      </c>
      <c r="M47" s="15"/>
      <c r="N47" s="15"/>
      <c r="O47" s="15"/>
      <c r="P47" s="15"/>
      <c r="Q47" s="15" t="s">
        <v>90</v>
      </c>
      <c r="R47" s="15">
        <v>80</v>
      </c>
      <c r="S47" s="15">
        <v>40</v>
      </c>
    </row>
    <row r="48" spans="2:19" x14ac:dyDescent="0.35">
      <c r="B48" s="15" t="s">
        <v>184</v>
      </c>
      <c r="C48" s="15" t="s">
        <v>184</v>
      </c>
      <c r="D48" s="15" t="s">
        <v>185</v>
      </c>
      <c r="E48" s="15" t="s">
        <v>35</v>
      </c>
      <c r="F48" s="15" t="s">
        <v>27</v>
      </c>
      <c r="G48" s="15" t="s">
        <v>35</v>
      </c>
      <c r="H48" s="15" t="s">
        <v>59</v>
      </c>
      <c r="I48" s="15" t="s">
        <v>100</v>
      </c>
      <c r="J48" s="15">
        <v>2</v>
      </c>
      <c r="K48" s="15">
        <v>8</v>
      </c>
      <c r="L48" s="15">
        <v>1</v>
      </c>
      <c r="M48" s="15"/>
      <c r="N48" s="15"/>
      <c r="O48" s="15"/>
      <c r="P48" s="15"/>
      <c r="Q48" s="15" t="s">
        <v>90</v>
      </c>
      <c r="R48" s="15">
        <v>80</v>
      </c>
      <c r="S48" s="15">
        <v>40</v>
      </c>
    </row>
    <row r="49" spans="2:19" x14ac:dyDescent="0.35">
      <c r="B49" s="15" t="s">
        <v>186</v>
      </c>
      <c r="C49" s="15" t="s">
        <v>186</v>
      </c>
      <c r="D49" s="15" t="s">
        <v>187</v>
      </c>
      <c r="E49" s="15" t="s">
        <v>35</v>
      </c>
      <c r="F49" s="15" t="s">
        <v>27</v>
      </c>
      <c r="G49" s="15" t="s">
        <v>35</v>
      </c>
      <c r="H49" s="15" t="s">
        <v>60</v>
      </c>
      <c r="I49" s="15" t="s">
        <v>100</v>
      </c>
      <c r="J49" s="15">
        <v>2</v>
      </c>
      <c r="K49" s="15">
        <v>8</v>
      </c>
      <c r="L49" s="15">
        <v>1</v>
      </c>
      <c r="M49" s="15"/>
      <c r="N49" s="15"/>
      <c r="O49" s="15"/>
      <c r="P49" s="15"/>
      <c r="Q49" s="15" t="s">
        <v>90</v>
      </c>
      <c r="R49" s="15">
        <v>80</v>
      </c>
      <c r="S49" s="15">
        <v>40</v>
      </c>
    </row>
    <row r="50" spans="2:19" x14ac:dyDescent="0.35">
      <c r="B50" s="15" t="s">
        <v>188</v>
      </c>
      <c r="C50" s="15" t="s">
        <v>188</v>
      </c>
      <c r="D50" s="15" t="s">
        <v>189</v>
      </c>
      <c r="E50" s="15" t="s">
        <v>35</v>
      </c>
      <c r="F50" s="15" t="s">
        <v>84</v>
      </c>
      <c r="G50" s="15" t="s">
        <v>35</v>
      </c>
      <c r="H50" s="15" t="s">
        <v>82</v>
      </c>
      <c r="I50" s="15" t="s">
        <v>100</v>
      </c>
      <c r="J50" s="15">
        <v>5</v>
      </c>
      <c r="K50" s="15">
        <v>8</v>
      </c>
      <c r="L50" s="15">
        <v>1</v>
      </c>
      <c r="M50" s="15"/>
      <c r="N50" s="15"/>
      <c r="O50" s="15"/>
      <c r="P50" s="15"/>
      <c r="Q50" s="15" t="s">
        <v>90</v>
      </c>
      <c r="R50" s="15">
        <v>80</v>
      </c>
      <c r="S50" s="15">
        <v>40</v>
      </c>
    </row>
    <row r="51" spans="2:19" x14ac:dyDescent="0.35">
      <c r="B51" s="15" t="s">
        <v>190</v>
      </c>
      <c r="C51" s="15" t="s">
        <v>190</v>
      </c>
      <c r="D51" s="15" t="s">
        <v>191</v>
      </c>
      <c r="E51" s="15" t="s">
        <v>35</v>
      </c>
      <c r="F51" s="15" t="s">
        <v>84</v>
      </c>
      <c r="G51" s="15" t="s">
        <v>35</v>
      </c>
      <c r="H51" s="15" t="s">
        <v>42</v>
      </c>
      <c r="I51" s="15" t="s">
        <v>100</v>
      </c>
      <c r="J51" s="15">
        <v>5</v>
      </c>
      <c r="K51" s="15">
        <v>8</v>
      </c>
      <c r="L51" s="15">
        <v>1</v>
      </c>
      <c r="M51" s="15"/>
      <c r="N51" s="15"/>
      <c r="O51" s="15"/>
      <c r="P51" s="15"/>
      <c r="Q51" s="15" t="s">
        <v>90</v>
      </c>
      <c r="R51" s="15">
        <v>80</v>
      </c>
      <c r="S51" s="15">
        <v>40</v>
      </c>
    </row>
    <row r="52" spans="2:19" x14ac:dyDescent="0.35">
      <c r="B52" s="15" t="s">
        <v>192</v>
      </c>
      <c r="C52" s="15" t="s">
        <v>192</v>
      </c>
      <c r="D52" s="15" t="s">
        <v>193</v>
      </c>
      <c r="E52" s="15" t="s">
        <v>35</v>
      </c>
      <c r="F52" s="15" t="s">
        <v>84</v>
      </c>
      <c r="G52" s="15" t="s">
        <v>35</v>
      </c>
      <c r="H52" s="15" t="s">
        <v>86</v>
      </c>
      <c r="I52" s="15" t="s">
        <v>100</v>
      </c>
      <c r="J52" s="15">
        <v>5</v>
      </c>
      <c r="K52" s="15">
        <v>8</v>
      </c>
      <c r="L52" s="15">
        <v>1</v>
      </c>
      <c r="M52" s="15"/>
      <c r="N52" s="15"/>
      <c r="O52" s="15"/>
      <c r="P52" s="15"/>
      <c r="Q52" s="15" t="s">
        <v>90</v>
      </c>
      <c r="R52" s="15">
        <v>80</v>
      </c>
      <c r="S52" s="15">
        <v>40</v>
      </c>
    </row>
    <row r="53" spans="2:19" x14ac:dyDescent="0.35">
      <c r="B53" s="15" t="s">
        <v>194</v>
      </c>
      <c r="C53" s="15" t="s">
        <v>194</v>
      </c>
      <c r="D53" s="15" t="s">
        <v>195</v>
      </c>
      <c r="E53" s="15" t="s">
        <v>35</v>
      </c>
      <c r="F53" s="15" t="s">
        <v>84</v>
      </c>
      <c r="G53" s="15" t="s">
        <v>35</v>
      </c>
      <c r="H53" s="15" t="s">
        <v>88</v>
      </c>
      <c r="I53" s="15" t="s">
        <v>100</v>
      </c>
      <c r="J53" s="15">
        <v>3</v>
      </c>
      <c r="K53" s="15">
        <v>8</v>
      </c>
      <c r="L53" s="15">
        <v>1</v>
      </c>
      <c r="M53" s="15"/>
      <c r="N53" s="15"/>
      <c r="O53" s="15"/>
      <c r="P53" s="15"/>
      <c r="Q53" s="15" t="s">
        <v>90</v>
      </c>
      <c r="R53" s="15">
        <v>80</v>
      </c>
      <c r="S53" s="15">
        <v>40</v>
      </c>
    </row>
    <row r="54" spans="2:19" x14ac:dyDescent="0.35">
      <c r="B54" s="15" t="s">
        <v>196</v>
      </c>
      <c r="C54" s="15" t="s">
        <v>196</v>
      </c>
      <c r="D54" s="15" t="s">
        <v>197</v>
      </c>
      <c r="E54" s="15" t="s">
        <v>35</v>
      </c>
      <c r="F54" s="15" t="s">
        <v>46</v>
      </c>
      <c r="G54" s="15" t="s">
        <v>35</v>
      </c>
      <c r="H54" s="15" t="s">
        <v>27</v>
      </c>
      <c r="I54" s="15" t="s">
        <v>100</v>
      </c>
      <c r="J54" s="15">
        <v>4</v>
      </c>
      <c r="K54" s="15">
        <v>8</v>
      </c>
      <c r="L54" s="15">
        <v>1</v>
      </c>
      <c r="M54" s="15"/>
      <c r="N54" s="15"/>
      <c r="O54" s="15"/>
      <c r="P54" s="15"/>
      <c r="Q54" s="15" t="s">
        <v>90</v>
      </c>
      <c r="R54" s="15">
        <v>80</v>
      </c>
      <c r="S54" s="15">
        <v>40</v>
      </c>
    </row>
    <row r="55" spans="2:19" x14ac:dyDescent="0.35">
      <c r="B55" s="15" t="s">
        <v>198</v>
      </c>
      <c r="C55" s="15" t="s">
        <v>198</v>
      </c>
      <c r="D55" s="15" t="s">
        <v>199</v>
      </c>
      <c r="E55" s="15" t="s">
        <v>35</v>
      </c>
      <c r="F55" s="15" t="s">
        <v>46</v>
      </c>
      <c r="G55" s="15" t="s">
        <v>35</v>
      </c>
      <c r="H55" s="15" t="s">
        <v>84</v>
      </c>
      <c r="I55" s="15" t="s">
        <v>100</v>
      </c>
      <c r="J55" s="15">
        <v>2</v>
      </c>
      <c r="K55" s="15">
        <v>8</v>
      </c>
      <c r="L55" s="15">
        <v>1</v>
      </c>
      <c r="M55" s="15"/>
      <c r="N55" s="15"/>
      <c r="O55" s="15"/>
      <c r="P55" s="15"/>
      <c r="Q55" s="15" t="s">
        <v>90</v>
      </c>
      <c r="R55" s="15">
        <v>80</v>
      </c>
      <c r="S55" s="15">
        <v>40</v>
      </c>
    </row>
    <row r="56" spans="2:19" x14ac:dyDescent="0.35">
      <c r="B56" s="15" t="s">
        <v>200</v>
      </c>
      <c r="C56" s="15" t="s">
        <v>200</v>
      </c>
      <c r="D56" s="15" t="s">
        <v>201</v>
      </c>
      <c r="E56" s="15" t="s">
        <v>35</v>
      </c>
      <c r="F56" s="15" t="s">
        <v>46</v>
      </c>
      <c r="G56" s="15" t="s">
        <v>35</v>
      </c>
      <c r="H56" s="15" t="s">
        <v>90</v>
      </c>
      <c r="I56" s="15" t="s">
        <v>100</v>
      </c>
      <c r="J56" s="15">
        <v>2</v>
      </c>
      <c r="K56" s="15">
        <v>8</v>
      </c>
      <c r="L56" s="15">
        <v>1</v>
      </c>
      <c r="M56" s="15"/>
      <c r="N56" s="15"/>
      <c r="O56" s="15"/>
      <c r="P56" s="15"/>
      <c r="Q56" s="15" t="s">
        <v>90</v>
      </c>
      <c r="R56" s="15">
        <v>80</v>
      </c>
      <c r="S56" s="15">
        <v>40</v>
      </c>
    </row>
    <row r="57" spans="2:19" x14ac:dyDescent="0.35">
      <c r="B57" s="15" t="s">
        <v>202</v>
      </c>
      <c r="C57" s="15" t="s">
        <v>202</v>
      </c>
      <c r="D57" s="15" t="s">
        <v>203</v>
      </c>
      <c r="E57" s="15" t="s">
        <v>35</v>
      </c>
      <c r="F57" s="15" t="s">
        <v>46</v>
      </c>
      <c r="G57" s="15" t="s">
        <v>35</v>
      </c>
      <c r="H57" s="15" t="s">
        <v>29</v>
      </c>
      <c r="I57" s="15" t="s">
        <v>100</v>
      </c>
      <c r="J57" s="15">
        <v>5</v>
      </c>
      <c r="K57" s="15">
        <v>8</v>
      </c>
      <c r="L57" s="15">
        <v>1</v>
      </c>
      <c r="M57" s="15"/>
      <c r="N57" s="15"/>
      <c r="O57" s="15"/>
      <c r="P57" s="15"/>
      <c r="Q57" s="15" t="s">
        <v>90</v>
      </c>
      <c r="R57" s="15">
        <v>80</v>
      </c>
      <c r="S57" s="15">
        <v>40</v>
      </c>
    </row>
    <row r="58" spans="2:19" x14ac:dyDescent="0.35">
      <c r="B58" s="15" t="s">
        <v>204</v>
      </c>
      <c r="C58" s="15" t="s">
        <v>204</v>
      </c>
      <c r="D58" s="15" t="s">
        <v>205</v>
      </c>
      <c r="E58" s="15" t="s">
        <v>35</v>
      </c>
      <c r="F58" s="15" t="s">
        <v>47</v>
      </c>
      <c r="G58" s="15" t="s">
        <v>35</v>
      </c>
      <c r="H58" s="15" t="s">
        <v>27</v>
      </c>
      <c r="I58" s="15" t="s">
        <v>100</v>
      </c>
      <c r="J58" s="15">
        <v>7</v>
      </c>
      <c r="K58" s="15">
        <v>8</v>
      </c>
      <c r="L58" s="15">
        <v>1</v>
      </c>
      <c r="M58" s="15"/>
      <c r="N58" s="15"/>
      <c r="O58" s="15"/>
      <c r="P58" s="15"/>
      <c r="Q58" s="15" t="s">
        <v>90</v>
      </c>
      <c r="R58" s="15">
        <v>80</v>
      </c>
      <c r="S58" s="15">
        <v>40</v>
      </c>
    </row>
    <row r="59" spans="2:19" x14ac:dyDescent="0.35">
      <c r="B59" s="15" t="s">
        <v>206</v>
      </c>
      <c r="C59" s="15" t="s">
        <v>206</v>
      </c>
      <c r="D59" s="15" t="s">
        <v>207</v>
      </c>
      <c r="E59" s="15" t="s">
        <v>35</v>
      </c>
      <c r="F59" s="15" t="s">
        <v>47</v>
      </c>
      <c r="G59" s="15" t="s">
        <v>35</v>
      </c>
      <c r="H59" s="15" t="s">
        <v>84</v>
      </c>
      <c r="I59" s="15" t="s">
        <v>100</v>
      </c>
      <c r="J59" s="15">
        <v>4</v>
      </c>
      <c r="K59" s="15">
        <v>8</v>
      </c>
      <c r="L59" s="15">
        <v>1</v>
      </c>
      <c r="M59" s="15"/>
      <c r="N59" s="15"/>
      <c r="O59" s="15"/>
      <c r="P59" s="15"/>
      <c r="Q59" s="15" t="s">
        <v>90</v>
      </c>
      <c r="R59" s="15">
        <v>80</v>
      </c>
      <c r="S59" s="15">
        <v>40</v>
      </c>
    </row>
    <row r="60" spans="2:19" x14ac:dyDescent="0.35">
      <c r="B60" s="15" t="s">
        <v>208</v>
      </c>
      <c r="C60" s="15" t="s">
        <v>208</v>
      </c>
      <c r="D60" s="15" t="s">
        <v>209</v>
      </c>
      <c r="E60" s="15" t="s">
        <v>35</v>
      </c>
      <c r="F60" s="15" t="s">
        <v>47</v>
      </c>
      <c r="G60" s="15" t="s">
        <v>35</v>
      </c>
      <c r="H60" s="15" t="s">
        <v>90</v>
      </c>
      <c r="I60" s="15" t="s">
        <v>100</v>
      </c>
      <c r="J60" s="15">
        <v>4</v>
      </c>
      <c r="K60" s="15">
        <v>8</v>
      </c>
      <c r="L60" s="15">
        <v>1</v>
      </c>
      <c r="M60" s="15"/>
      <c r="N60" s="15"/>
      <c r="O60" s="15"/>
      <c r="P60" s="15"/>
      <c r="Q60" s="15" t="s">
        <v>90</v>
      </c>
      <c r="R60" s="15">
        <v>80</v>
      </c>
      <c r="S60" s="15">
        <v>40</v>
      </c>
    </row>
    <row r="61" spans="2:19" x14ac:dyDescent="0.35">
      <c r="B61" s="15" t="s">
        <v>210</v>
      </c>
      <c r="C61" s="15" t="s">
        <v>210</v>
      </c>
      <c r="D61" s="15" t="s">
        <v>211</v>
      </c>
      <c r="E61" s="15" t="s">
        <v>35</v>
      </c>
      <c r="F61" s="15" t="s">
        <v>47</v>
      </c>
      <c r="G61" s="15" t="s">
        <v>35</v>
      </c>
      <c r="H61" s="15" t="s">
        <v>29</v>
      </c>
      <c r="I61" s="15" t="s">
        <v>100</v>
      </c>
      <c r="J61" s="15">
        <v>8</v>
      </c>
      <c r="K61" s="15">
        <v>8</v>
      </c>
      <c r="L61" s="15">
        <v>1</v>
      </c>
      <c r="M61" s="15"/>
      <c r="N61" s="15"/>
      <c r="O61" s="15"/>
      <c r="P61" s="15"/>
      <c r="Q61" s="15" t="s">
        <v>90</v>
      </c>
      <c r="R61" s="15">
        <v>80</v>
      </c>
      <c r="S61" s="15">
        <v>40</v>
      </c>
    </row>
    <row r="62" spans="2:19" x14ac:dyDescent="0.35">
      <c r="B62" s="15" t="s">
        <v>212</v>
      </c>
      <c r="C62" s="15" t="s">
        <v>212</v>
      </c>
      <c r="D62" s="15" t="s">
        <v>213</v>
      </c>
      <c r="E62" s="15" t="s">
        <v>35</v>
      </c>
      <c r="F62" s="15" t="s">
        <v>50</v>
      </c>
      <c r="G62" s="15" t="s">
        <v>35</v>
      </c>
      <c r="H62" s="15" t="s">
        <v>27</v>
      </c>
      <c r="I62" s="15" t="s">
        <v>100</v>
      </c>
      <c r="J62" s="15">
        <v>8</v>
      </c>
      <c r="K62" s="15">
        <v>8</v>
      </c>
      <c r="L62" s="15">
        <v>1</v>
      </c>
      <c r="M62" s="15"/>
      <c r="N62" s="15"/>
      <c r="O62" s="15"/>
      <c r="P62" s="15"/>
      <c r="Q62" s="15" t="s">
        <v>90</v>
      </c>
      <c r="R62" s="15">
        <v>80</v>
      </c>
      <c r="S62" s="15">
        <v>40</v>
      </c>
    </row>
    <row r="63" spans="2:19" x14ac:dyDescent="0.35">
      <c r="B63" s="15" t="s">
        <v>214</v>
      </c>
      <c r="C63" s="15" t="s">
        <v>214</v>
      </c>
      <c r="D63" s="15" t="s">
        <v>215</v>
      </c>
      <c r="E63" s="15" t="s">
        <v>35</v>
      </c>
      <c r="F63" s="15" t="s">
        <v>50</v>
      </c>
      <c r="G63" s="15" t="s">
        <v>35</v>
      </c>
      <c r="H63" s="15" t="s">
        <v>84</v>
      </c>
      <c r="I63" s="15" t="s">
        <v>100</v>
      </c>
      <c r="J63" s="15">
        <v>5</v>
      </c>
      <c r="K63" s="15">
        <v>8</v>
      </c>
      <c r="L63" s="15">
        <v>1</v>
      </c>
      <c r="M63" s="15"/>
      <c r="N63" s="15"/>
      <c r="O63" s="15"/>
      <c r="P63" s="15"/>
      <c r="Q63" s="15" t="s">
        <v>90</v>
      </c>
      <c r="R63" s="15">
        <v>80</v>
      </c>
      <c r="S63" s="15">
        <v>40</v>
      </c>
    </row>
    <row r="64" spans="2:19" x14ac:dyDescent="0.35">
      <c r="B64" s="15" t="s">
        <v>216</v>
      </c>
      <c r="C64" s="15" t="s">
        <v>216</v>
      </c>
      <c r="D64" s="15" t="s">
        <v>217</v>
      </c>
      <c r="E64" s="15" t="s">
        <v>35</v>
      </c>
      <c r="F64" s="15" t="s">
        <v>50</v>
      </c>
      <c r="G64" s="15" t="s">
        <v>35</v>
      </c>
      <c r="H64" s="15" t="s">
        <v>90</v>
      </c>
      <c r="I64" s="15" t="s">
        <v>100</v>
      </c>
      <c r="J64" s="15">
        <v>5</v>
      </c>
      <c r="K64" s="15">
        <v>8</v>
      </c>
      <c r="L64" s="15">
        <v>1</v>
      </c>
      <c r="M64" s="15"/>
      <c r="N64" s="15"/>
      <c r="O64" s="15"/>
      <c r="P64" s="15"/>
      <c r="Q64" s="15" t="s">
        <v>90</v>
      </c>
      <c r="R64" s="15">
        <v>80</v>
      </c>
      <c r="S64" s="15">
        <v>40</v>
      </c>
    </row>
    <row r="65" spans="2:19" x14ac:dyDescent="0.35">
      <c r="B65" s="15" t="s">
        <v>218</v>
      </c>
      <c r="C65" s="15" t="s">
        <v>218</v>
      </c>
      <c r="D65" s="15" t="s">
        <v>219</v>
      </c>
      <c r="E65" s="15" t="s">
        <v>35</v>
      </c>
      <c r="F65" s="15" t="s">
        <v>50</v>
      </c>
      <c r="G65" s="15" t="s">
        <v>35</v>
      </c>
      <c r="H65" s="15" t="s">
        <v>29</v>
      </c>
      <c r="I65" s="15" t="s">
        <v>100</v>
      </c>
      <c r="J65" s="15">
        <v>8</v>
      </c>
      <c r="K65" s="15">
        <v>8</v>
      </c>
      <c r="L65" s="15">
        <v>1</v>
      </c>
      <c r="M65" s="15"/>
      <c r="N65" s="15"/>
      <c r="O65" s="15"/>
      <c r="P65" s="15"/>
      <c r="Q65" s="15" t="s">
        <v>90</v>
      </c>
      <c r="R65" s="15">
        <v>80</v>
      </c>
      <c r="S65" s="15">
        <v>40</v>
      </c>
    </row>
    <row r="66" spans="2:19" x14ac:dyDescent="0.35">
      <c r="B66" s="15" t="s">
        <v>220</v>
      </c>
      <c r="C66" s="15" t="s">
        <v>220</v>
      </c>
      <c r="D66" s="15" t="s">
        <v>221</v>
      </c>
      <c r="E66" s="15" t="s">
        <v>35</v>
      </c>
      <c r="F66" s="15" t="s">
        <v>51</v>
      </c>
      <c r="G66" s="15" t="s">
        <v>35</v>
      </c>
      <c r="H66" s="15" t="s">
        <v>27</v>
      </c>
      <c r="I66" s="15" t="s">
        <v>100</v>
      </c>
      <c r="J66" s="15">
        <v>8</v>
      </c>
      <c r="K66" s="15">
        <v>8</v>
      </c>
      <c r="L66" s="15">
        <v>1</v>
      </c>
      <c r="M66" s="15"/>
      <c r="N66" s="15"/>
      <c r="O66" s="15"/>
      <c r="P66" s="15"/>
      <c r="Q66" s="15" t="s">
        <v>90</v>
      </c>
      <c r="R66" s="15">
        <v>80</v>
      </c>
      <c r="S66" s="15">
        <v>40</v>
      </c>
    </row>
    <row r="67" spans="2:19" x14ac:dyDescent="0.35">
      <c r="B67" s="15" t="s">
        <v>6</v>
      </c>
      <c r="C67" s="15" t="s">
        <v>6</v>
      </c>
      <c r="D67" s="15" t="s">
        <v>222</v>
      </c>
      <c r="E67" s="15" t="s">
        <v>35</v>
      </c>
      <c r="F67" s="15" t="s">
        <v>51</v>
      </c>
      <c r="G67" s="15" t="s">
        <v>35</v>
      </c>
      <c r="H67" s="15" t="s">
        <v>84</v>
      </c>
      <c r="I67" s="15" t="s">
        <v>100</v>
      </c>
      <c r="J67" s="15">
        <v>6</v>
      </c>
      <c r="K67" s="15">
        <v>8</v>
      </c>
      <c r="L67" s="15">
        <v>1</v>
      </c>
      <c r="M67" s="15"/>
      <c r="N67" s="15"/>
      <c r="O67" s="15"/>
      <c r="P67" s="15"/>
      <c r="Q67" s="15" t="s">
        <v>90</v>
      </c>
      <c r="R67" s="15">
        <v>80</v>
      </c>
      <c r="S67" s="15">
        <v>40</v>
      </c>
    </row>
    <row r="68" spans="2:19" x14ac:dyDescent="0.35">
      <c r="B68" s="15" t="s">
        <v>223</v>
      </c>
      <c r="C68" s="15" t="s">
        <v>223</v>
      </c>
      <c r="D68" s="15" t="s">
        <v>224</v>
      </c>
      <c r="E68" s="15" t="s">
        <v>35</v>
      </c>
      <c r="F68" s="15" t="s">
        <v>51</v>
      </c>
      <c r="G68" s="15" t="s">
        <v>35</v>
      </c>
      <c r="H68" s="15" t="s">
        <v>90</v>
      </c>
      <c r="I68" s="15" t="s">
        <v>100</v>
      </c>
      <c r="J68" s="15">
        <v>6</v>
      </c>
      <c r="K68" s="15">
        <v>8</v>
      </c>
      <c r="L68" s="15">
        <v>1</v>
      </c>
      <c r="M68" s="15"/>
      <c r="N68" s="15"/>
      <c r="O68" s="15"/>
      <c r="P68" s="15"/>
      <c r="Q68" s="15" t="s">
        <v>90</v>
      </c>
      <c r="R68" s="15">
        <v>80</v>
      </c>
      <c r="S68" s="15">
        <v>40</v>
      </c>
    </row>
    <row r="69" spans="2:19" x14ac:dyDescent="0.35">
      <c r="B69" s="15" t="s">
        <v>225</v>
      </c>
      <c r="C69" s="15" t="s">
        <v>225</v>
      </c>
      <c r="D69" s="15" t="s">
        <v>226</v>
      </c>
      <c r="E69" s="15" t="s">
        <v>35</v>
      </c>
      <c r="F69" s="15" t="s">
        <v>51</v>
      </c>
      <c r="G69" s="15" t="s">
        <v>35</v>
      </c>
      <c r="H69" s="15" t="s">
        <v>29</v>
      </c>
      <c r="I69" s="15" t="s">
        <v>100</v>
      </c>
      <c r="J69" s="15">
        <v>9</v>
      </c>
      <c r="K69" s="15">
        <v>8</v>
      </c>
      <c r="L69" s="15">
        <v>1</v>
      </c>
      <c r="M69" s="15"/>
      <c r="N69" s="15"/>
      <c r="O69" s="15"/>
      <c r="P69" s="15"/>
      <c r="Q69" s="15" t="s">
        <v>90</v>
      </c>
      <c r="R69" s="15">
        <v>80</v>
      </c>
      <c r="S69" s="15">
        <v>40</v>
      </c>
    </row>
    <row r="70" spans="2:19" x14ac:dyDescent="0.35">
      <c r="B70" s="15" t="s">
        <v>227</v>
      </c>
      <c r="C70" s="15" t="s">
        <v>227</v>
      </c>
      <c r="D70" s="15" t="s">
        <v>228</v>
      </c>
      <c r="E70" s="15" t="s">
        <v>35</v>
      </c>
      <c r="F70" s="15" t="s">
        <v>64</v>
      </c>
      <c r="G70" s="15" t="s">
        <v>35</v>
      </c>
      <c r="H70" s="15" t="s">
        <v>27</v>
      </c>
      <c r="I70" s="15" t="s">
        <v>100</v>
      </c>
      <c r="J70" s="15">
        <v>5</v>
      </c>
      <c r="K70" s="15">
        <v>8</v>
      </c>
      <c r="L70" s="15">
        <v>1</v>
      </c>
      <c r="M70" s="15"/>
      <c r="N70" s="15"/>
      <c r="O70" s="15"/>
      <c r="P70" s="15"/>
      <c r="Q70" s="15" t="s">
        <v>90</v>
      </c>
      <c r="R70" s="15">
        <v>80</v>
      </c>
      <c r="S70" s="15">
        <v>40</v>
      </c>
    </row>
    <row r="71" spans="2:19" x14ac:dyDescent="0.35">
      <c r="B71" s="15" t="s">
        <v>229</v>
      </c>
      <c r="C71" s="15" t="s">
        <v>229</v>
      </c>
      <c r="D71" s="15" t="s">
        <v>230</v>
      </c>
      <c r="E71" s="15" t="s">
        <v>35</v>
      </c>
      <c r="F71" s="15" t="s">
        <v>64</v>
      </c>
      <c r="G71" s="15" t="s">
        <v>35</v>
      </c>
      <c r="H71" s="15" t="s">
        <v>86</v>
      </c>
      <c r="I71" s="15" t="s">
        <v>100</v>
      </c>
      <c r="J71" s="15">
        <v>5</v>
      </c>
      <c r="K71" s="15">
        <v>8</v>
      </c>
      <c r="L71" s="15">
        <v>1</v>
      </c>
      <c r="M71" s="15"/>
      <c r="N71" s="15"/>
      <c r="O71" s="15"/>
      <c r="P71" s="15"/>
      <c r="Q71" s="15" t="s">
        <v>90</v>
      </c>
      <c r="R71" s="15">
        <v>80</v>
      </c>
      <c r="S71" s="15">
        <v>40</v>
      </c>
    </row>
    <row r="72" spans="2:19" x14ac:dyDescent="0.35">
      <c r="B72" s="15" t="s">
        <v>231</v>
      </c>
      <c r="C72" s="15" t="s">
        <v>231</v>
      </c>
      <c r="D72" s="15" t="s">
        <v>232</v>
      </c>
      <c r="E72" s="15" t="s">
        <v>35</v>
      </c>
      <c r="F72" s="15" t="s">
        <v>64</v>
      </c>
      <c r="G72" s="15" t="s">
        <v>35</v>
      </c>
      <c r="H72" s="15" t="s">
        <v>60</v>
      </c>
      <c r="I72" s="15" t="s">
        <v>100</v>
      </c>
      <c r="J72" s="15">
        <v>5</v>
      </c>
      <c r="K72" s="15">
        <v>8</v>
      </c>
      <c r="L72" s="15">
        <v>1</v>
      </c>
      <c r="M72" s="15"/>
      <c r="N72" s="15"/>
      <c r="O72" s="15"/>
      <c r="P72" s="15"/>
      <c r="Q72" s="15" t="s">
        <v>90</v>
      </c>
      <c r="R72" s="15">
        <v>80</v>
      </c>
      <c r="S72" s="15">
        <v>40</v>
      </c>
    </row>
    <row r="73" spans="2:19" x14ac:dyDescent="0.35">
      <c r="B73" s="15" t="s">
        <v>233</v>
      </c>
      <c r="C73" s="15" t="s">
        <v>233</v>
      </c>
      <c r="D73" s="15" t="s">
        <v>234</v>
      </c>
      <c r="E73" s="15" t="s">
        <v>35</v>
      </c>
      <c r="F73" s="15" t="s">
        <v>52</v>
      </c>
      <c r="G73" s="15" t="s">
        <v>35</v>
      </c>
      <c r="H73" s="15" t="s">
        <v>27</v>
      </c>
      <c r="I73" s="15" t="s">
        <v>100</v>
      </c>
      <c r="J73" s="15">
        <v>8</v>
      </c>
      <c r="K73" s="15">
        <v>8</v>
      </c>
      <c r="L73" s="15">
        <v>1</v>
      </c>
      <c r="M73" s="15"/>
      <c r="N73" s="15"/>
      <c r="O73" s="15"/>
      <c r="P73" s="15"/>
      <c r="Q73" s="15" t="s">
        <v>90</v>
      </c>
      <c r="R73" s="15">
        <v>80</v>
      </c>
      <c r="S73" s="15">
        <v>40</v>
      </c>
    </row>
    <row r="74" spans="2:19" x14ac:dyDescent="0.35">
      <c r="B74" s="15" t="s">
        <v>235</v>
      </c>
      <c r="C74" s="15" t="s">
        <v>235</v>
      </c>
      <c r="D74" s="15" t="s">
        <v>236</v>
      </c>
      <c r="E74" s="15" t="s">
        <v>35</v>
      </c>
      <c r="F74" s="15" t="s">
        <v>52</v>
      </c>
      <c r="G74" s="15" t="s">
        <v>35</v>
      </c>
      <c r="H74" s="15" t="s">
        <v>84</v>
      </c>
      <c r="I74" s="15" t="s">
        <v>100</v>
      </c>
      <c r="J74" s="15">
        <v>6</v>
      </c>
      <c r="K74" s="15">
        <v>8</v>
      </c>
      <c r="L74" s="15">
        <v>1</v>
      </c>
      <c r="M74" s="15"/>
      <c r="N74" s="15"/>
      <c r="O74" s="15"/>
      <c r="P74" s="15"/>
      <c r="Q74" s="15" t="s">
        <v>90</v>
      </c>
      <c r="R74" s="15">
        <v>80</v>
      </c>
      <c r="S74" s="15">
        <v>40</v>
      </c>
    </row>
    <row r="75" spans="2:19" x14ac:dyDescent="0.35">
      <c r="B75" s="15" t="s">
        <v>237</v>
      </c>
      <c r="C75" s="15" t="s">
        <v>237</v>
      </c>
      <c r="D75" s="15" t="s">
        <v>238</v>
      </c>
      <c r="E75" s="15" t="s">
        <v>35</v>
      </c>
      <c r="F75" s="15" t="s">
        <v>52</v>
      </c>
      <c r="G75" s="15" t="s">
        <v>35</v>
      </c>
      <c r="H75" s="15" t="s">
        <v>90</v>
      </c>
      <c r="I75" s="15" t="s">
        <v>100</v>
      </c>
      <c r="J75" s="15">
        <v>6</v>
      </c>
      <c r="K75" s="15">
        <v>8</v>
      </c>
      <c r="L75" s="15">
        <v>1</v>
      </c>
      <c r="M75" s="15"/>
      <c r="N75" s="15"/>
      <c r="O75" s="15"/>
      <c r="P75" s="15"/>
      <c r="Q75" s="15" t="s">
        <v>90</v>
      </c>
      <c r="R75" s="15">
        <v>80</v>
      </c>
      <c r="S75" s="15">
        <v>40</v>
      </c>
    </row>
    <row r="76" spans="2:19" x14ac:dyDescent="0.35">
      <c r="B76" s="15" t="s">
        <v>239</v>
      </c>
      <c r="C76" s="15" t="s">
        <v>239</v>
      </c>
      <c r="D76" s="15" t="s">
        <v>240</v>
      </c>
      <c r="E76" s="15" t="s">
        <v>35</v>
      </c>
      <c r="F76" s="15" t="s">
        <v>52</v>
      </c>
      <c r="G76" s="15" t="s">
        <v>35</v>
      </c>
      <c r="H76" s="15" t="s">
        <v>29</v>
      </c>
      <c r="I76" s="15" t="s">
        <v>100</v>
      </c>
      <c r="J76" s="15">
        <v>9</v>
      </c>
      <c r="K76" s="15">
        <v>8</v>
      </c>
      <c r="L76" s="15">
        <v>1</v>
      </c>
      <c r="M76" s="15"/>
      <c r="N76" s="15"/>
      <c r="O76" s="15"/>
      <c r="P76" s="15"/>
      <c r="Q76" s="15" t="s">
        <v>90</v>
      </c>
      <c r="R76" s="15">
        <v>80</v>
      </c>
      <c r="S76" s="15">
        <v>40</v>
      </c>
    </row>
    <row r="77" spans="2:19" x14ac:dyDescent="0.35">
      <c r="B77" s="15" t="s">
        <v>241</v>
      </c>
      <c r="C77" s="15" t="s">
        <v>241</v>
      </c>
      <c r="D77" s="15" t="s">
        <v>242</v>
      </c>
      <c r="E77" s="15" t="s">
        <v>35</v>
      </c>
      <c r="F77" s="15" t="s">
        <v>53</v>
      </c>
      <c r="G77" s="15" t="s">
        <v>35</v>
      </c>
      <c r="H77" s="15" t="s">
        <v>27</v>
      </c>
      <c r="I77" s="15" t="s">
        <v>100</v>
      </c>
      <c r="J77" s="15">
        <v>8</v>
      </c>
      <c r="K77" s="15">
        <v>8</v>
      </c>
      <c r="L77" s="15">
        <v>1</v>
      </c>
      <c r="M77" s="15"/>
      <c r="N77" s="15"/>
      <c r="O77" s="15"/>
      <c r="P77" s="15"/>
      <c r="Q77" s="15" t="s">
        <v>90</v>
      </c>
      <c r="R77" s="15">
        <v>80</v>
      </c>
      <c r="S77" s="15">
        <v>40</v>
      </c>
    </row>
    <row r="78" spans="2:19" x14ac:dyDescent="0.35">
      <c r="B78" s="15" t="s">
        <v>243</v>
      </c>
      <c r="C78" s="15" t="s">
        <v>243</v>
      </c>
      <c r="D78" s="15" t="s">
        <v>244</v>
      </c>
      <c r="E78" s="15" t="s">
        <v>35</v>
      </c>
      <c r="F78" s="15" t="s">
        <v>53</v>
      </c>
      <c r="G78" s="15" t="s">
        <v>35</v>
      </c>
      <c r="H78" s="15" t="s">
        <v>84</v>
      </c>
      <c r="I78" s="15" t="s">
        <v>100</v>
      </c>
      <c r="J78" s="15">
        <v>6</v>
      </c>
      <c r="K78" s="15">
        <v>8</v>
      </c>
      <c r="L78" s="15">
        <v>1</v>
      </c>
      <c r="M78" s="15"/>
      <c r="N78" s="15"/>
      <c r="O78" s="15"/>
      <c r="P78" s="15"/>
      <c r="Q78" s="15" t="s">
        <v>90</v>
      </c>
      <c r="R78" s="15">
        <v>80</v>
      </c>
      <c r="S78" s="15">
        <v>40</v>
      </c>
    </row>
    <row r="79" spans="2:19" x14ac:dyDescent="0.35">
      <c r="B79" s="15" t="s">
        <v>245</v>
      </c>
      <c r="C79" s="15" t="s">
        <v>245</v>
      </c>
      <c r="D79" s="15" t="s">
        <v>246</v>
      </c>
      <c r="E79" s="15" t="s">
        <v>35</v>
      </c>
      <c r="F79" s="15" t="s">
        <v>53</v>
      </c>
      <c r="G79" s="15" t="s">
        <v>35</v>
      </c>
      <c r="H79" s="15" t="s">
        <v>90</v>
      </c>
      <c r="I79" s="15" t="s">
        <v>100</v>
      </c>
      <c r="J79" s="15">
        <v>6</v>
      </c>
      <c r="K79" s="15">
        <v>8</v>
      </c>
      <c r="L79" s="15">
        <v>1</v>
      </c>
      <c r="M79" s="15"/>
      <c r="N79" s="15"/>
      <c r="O79" s="15"/>
      <c r="P79" s="15"/>
      <c r="Q79" s="15" t="s">
        <v>90</v>
      </c>
      <c r="R79" s="15">
        <v>80</v>
      </c>
      <c r="S79" s="15">
        <v>40</v>
      </c>
    </row>
    <row r="80" spans="2:19" x14ac:dyDescent="0.35">
      <c r="B80" s="15" t="s">
        <v>247</v>
      </c>
      <c r="C80" s="15" t="s">
        <v>247</v>
      </c>
      <c r="D80" s="15" t="s">
        <v>248</v>
      </c>
      <c r="E80" s="15" t="s">
        <v>35</v>
      </c>
      <c r="F80" s="15" t="s">
        <v>53</v>
      </c>
      <c r="G80" s="15" t="s">
        <v>35</v>
      </c>
      <c r="H80" s="15" t="s">
        <v>29</v>
      </c>
      <c r="I80" s="15" t="s">
        <v>100</v>
      </c>
      <c r="J80" s="15">
        <v>9</v>
      </c>
      <c r="K80" s="15">
        <v>8</v>
      </c>
      <c r="L80" s="15">
        <v>1</v>
      </c>
      <c r="M80" s="15"/>
      <c r="N80" s="15"/>
      <c r="O80" s="15"/>
      <c r="P80" s="15"/>
      <c r="Q80" s="15" t="s">
        <v>90</v>
      </c>
      <c r="R80" s="15">
        <v>80</v>
      </c>
      <c r="S80" s="15">
        <v>40</v>
      </c>
    </row>
    <row r="81" spans="2:19" x14ac:dyDescent="0.35">
      <c r="B81" s="15" t="s">
        <v>249</v>
      </c>
      <c r="C81" s="15" t="s">
        <v>249</v>
      </c>
      <c r="D81" s="15" t="s">
        <v>250</v>
      </c>
      <c r="E81" s="15" t="s">
        <v>35</v>
      </c>
      <c r="F81" s="15" t="s">
        <v>54</v>
      </c>
      <c r="G81" s="15" t="s">
        <v>35</v>
      </c>
      <c r="H81" s="15" t="s">
        <v>27</v>
      </c>
      <c r="I81" s="15" t="s">
        <v>100</v>
      </c>
      <c r="J81" s="15">
        <v>7</v>
      </c>
      <c r="K81" s="15">
        <v>8</v>
      </c>
      <c r="L81" s="15">
        <v>1</v>
      </c>
      <c r="M81" s="15"/>
      <c r="N81" s="15"/>
      <c r="O81" s="15"/>
      <c r="P81" s="15"/>
      <c r="Q81" s="15" t="s">
        <v>90</v>
      </c>
      <c r="R81" s="15">
        <v>80</v>
      </c>
      <c r="S81" s="15">
        <v>40</v>
      </c>
    </row>
    <row r="82" spans="2:19" x14ac:dyDescent="0.35">
      <c r="B82" s="15" t="s">
        <v>251</v>
      </c>
      <c r="C82" s="15" t="s">
        <v>251</v>
      </c>
      <c r="D82" s="15" t="s">
        <v>252</v>
      </c>
      <c r="E82" s="15" t="s">
        <v>35</v>
      </c>
      <c r="F82" s="15" t="s">
        <v>54</v>
      </c>
      <c r="G82" s="15" t="s">
        <v>35</v>
      </c>
      <c r="H82" s="15" t="s">
        <v>84</v>
      </c>
      <c r="I82" s="15" t="s">
        <v>100</v>
      </c>
      <c r="J82" s="15">
        <v>5</v>
      </c>
      <c r="K82" s="15">
        <v>8</v>
      </c>
      <c r="L82" s="15">
        <v>1</v>
      </c>
      <c r="M82" s="15"/>
      <c r="N82" s="15"/>
      <c r="O82" s="15"/>
      <c r="P82" s="15"/>
      <c r="Q82" s="15" t="s">
        <v>90</v>
      </c>
      <c r="R82" s="15">
        <v>80</v>
      </c>
      <c r="S82" s="15">
        <v>40</v>
      </c>
    </row>
    <row r="83" spans="2:19" x14ac:dyDescent="0.35">
      <c r="B83" s="15" t="s">
        <v>253</v>
      </c>
      <c r="C83" s="15" t="s">
        <v>253</v>
      </c>
      <c r="D83" s="15" t="s">
        <v>254</v>
      </c>
      <c r="E83" s="15" t="s">
        <v>35</v>
      </c>
      <c r="F83" s="15" t="s">
        <v>54</v>
      </c>
      <c r="G83" s="15" t="s">
        <v>35</v>
      </c>
      <c r="H83" s="15" t="s">
        <v>90</v>
      </c>
      <c r="I83" s="15" t="s">
        <v>100</v>
      </c>
      <c r="J83" s="15">
        <v>5</v>
      </c>
      <c r="K83" s="15">
        <v>8</v>
      </c>
      <c r="L83" s="15">
        <v>1</v>
      </c>
      <c r="M83" s="15"/>
      <c r="N83" s="15"/>
      <c r="O83" s="15"/>
      <c r="P83" s="15"/>
      <c r="Q83" s="15" t="s">
        <v>90</v>
      </c>
      <c r="R83" s="15">
        <v>80</v>
      </c>
      <c r="S83" s="15">
        <v>40</v>
      </c>
    </row>
    <row r="84" spans="2:19" x14ac:dyDescent="0.35">
      <c r="B84" s="15" t="s">
        <v>255</v>
      </c>
      <c r="C84" s="15" t="s">
        <v>255</v>
      </c>
      <c r="D84" s="15" t="s">
        <v>256</v>
      </c>
      <c r="E84" s="15" t="s">
        <v>35</v>
      </c>
      <c r="F84" s="15" t="s">
        <v>54</v>
      </c>
      <c r="G84" s="15" t="s">
        <v>35</v>
      </c>
      <c r="H84" s="15" t="s">
        <v>29</v>
      </c>
      <c r="I84" s="15" t="s">
        <v>100</v>
      </c>
      <c r="J84" s="15">
        <v>8</v>
      </c>
      <c r="K84" s="15">
        <v>8</v>
      </c>
      <c r="L84" s="15">
        <v>1</v>
      </c>
      <c r="M84" s="15"/>
      <c r="N84" s="15"/>
      <c r="O84" s="15"/>
      <c r="P84" s="15"/>
      <c r="Q84" s="15" t="s">
        <v>90</v>
      </c>
      <c r="R84" s="15">
        <v>80</v>
      </c>
      <c r="S84" s="15">
        <v>40</v>
      </c>
    </row>
    <row r="85" spans="2:19" x14ac:dyDescent="0.35">
      <c r="B85" s="15" t="s">
        <v>257</v>
      </c>
      <c r="C85" s="15" t="s">
        <v>257</v>
      </c>
      <c r="D85" s="15" t="s">
        <v>258</v>
      </c>
      <c r="E85" s="15" t="s">
        <v>35</v>
      </c>
      <c r="F85" s="15" t="s">
        <v>55</v>
      </c>
      <c r="G85" s="15" t="s">
        <v>35</v>
      </c>
      <c r="H85" s="15" t="s">
        <v>27</v>
      </c>
      <c r="I85" s="15" t="s">
        <v>100</v>
      </c>
      <c r="J85" s="15">
        <v>6</v>
      </c>
      <c r="K85" s="15">
        <v>8</v>
      </c>
      <c r="L85" s="15">
        <v>1</v>
      </c>
      <c r="M85" s="15"/>
      <c r="N85" s="15"/>
      <c r="O85" s="15"/>
      <c r="P85" s="15"/>
      <c r="Q85" s="15" t="s">
        <v>90</v>
      </c>
      <c r="R85" s="15">
        <v>80</v>
      </c>
      <c r="S85" s="15">
        <v>40</v>
      </c>
    </row>
    <row r="86" spans="2:19" x14ac:dyDescent="0.35">
      <c r="B86" s="15" t="s">
        <v>4</v>
      </c>
      <c r="C86" s="15" t="s">
        <v>4</v>
      </c>
      <c r="D86" s="15" t="s">
        <v>259</v>
      </c>
      <c r="E86" s="15" t="s">
        <v>35</v>
      </c>
      <c r="F86" s="15" t="s">
        <v>55</v>
      </c>
      <c r="G86" s="15" t="s">
        <v>35</v>
      </c>
      <c r="H86" s="15" t="s">
        <v>84</v>
      </c>
      <c r="I86" s="15" t="s">
        <v>100</v>
      </c>
      <c r="J86" s="15">
        <v>2</v>
      </c>
      <c r="K86" s="15">
        <v>8</v>
      </c>
      <c r="L86" s="15">
        <v>1</v>
      </c>
      <c r="M86" s="15"/>
      <c r="N86" s="15"/>
      <c r="O86" s="15"/>
      <c r="P86" s="15"/>
      <c r="Q86" s="15" t="s">
        <v>90</v>
      </c>
      <c r="R86" s="15">
        <v>80</v>
      </c>
      <c r="S86" s="15">
        <v>40</v>
      </c>
    </row>
    <row r="87" spans="2:19" x14ac:dyDescent="0.35">
      <c r="B87" s="15" t="s">
        <v>260</v>
      </c>
      <c r="C87" s="15" t="s">
        <v>260</v>
      </c>
      <c r="D87" s="15" t="s">
        <v>261</v>
      </c>
      <c r="E87" s="15" t="s">
        <v>35</v>
      </c>
      <c r="F87" s="15" t="s">
        <v>55</v>
      </c>
      <c r="G87" s="15" t="s">
        <v>35</v>
      </c>
      <c r="H87" s="15" t="s">
        <v>90</v>
      </c>
      <c r="I87" s="15" t="s">
        <v>100</v>
      </c>
      <c r="J87" s="15">
        <v>2</v>
      </c>
      <c r="K87" s="15">
        <v>8</v>
      </c>
      <c r="L87" s="15">
        <v>1</v>
      </c>
      <c r="M87" s="15"/>
      <c r="N87" s="15"/>
      <c r="O87" s="15"/>
      <c r="P87" s="15"/>
      <c r="Q87" s="15" t="s">
        <v>90</v>
      </c>
      <c r="R87" s="15">
        <v>80</v>
      </c>
      <c r="S87" s="15">
        <v>40</v>
      </c>
    </row>
    <row r="88" spans="2:19" x14ac:dyDescent="0.35">
      <c r="B88" s="15" t="s">
        <v>262</v>
      </c>
      <c r="C88" s="15" t="s">
        <v>262</v>
      </c>
      <c r="D88" s="15" t="s">
        <v>263</v>
      </c>
      <c r="E88" s="15" t="s">
        <v>35</v>
      </c>
      <c r="F88" s="15" t="s">
        <v>55</v>
      </c>
      <c r="G88" s="15" t="s">
        <v>35</v>
      </c>
      <c r="H88" s="15" t="s">
        <v>29</v>
      </c>
      <c r="I88" s="15" t="s">
        <v>100</v>
      </c>
      <c r="J88" s="15">
        <v>6</v>
      </c>
      <c r="K88" s="15">
        <v>8</v>
      </c>
      <c r="L88" s="15">
        <v>1</v>
      </c>
      <c r="M88" s="15"/>
      <c r="N88" s="15"/>
      <c r="O88" s="15"/>
      <c r="P88" s="15"/>
      <c r="Q88" s="15" t="s">
        <v>90</v>
      </c>
      <c r="R88" s="15">
        <v>80</v>
      </c>
      <c r="S88" s="15">
        <v>40</v>
      </c>
    </row>
    <row r="89" spans="2:19" x14ac:dyDescent="0.35">
      <c r="B89" s="15" t="s">
        <v>264</v>
      </c>
      <c r="C89" s="15" t="s">
        <v>264</v>
      </c>
      <c r="D89" s="15" t="s">
        <v>265</v>
      </c>
      <c r="E89" s="15" t="s">
        <v>35</v>
      </c>
      <c r="F89" s="15" t="s">
        <v>56</v>
      </c>
      <c r="G89" s="15" t="s">
        <v>35</v>
      </c>
      <c r="H89" s="15" t="s">
        <v>27</v>
      </c>
      <c r="I89" s="15" t="s">
        <v>100</v>
      </c>
      <c r="J89" s="15">
        <v>7</v>
      </c>
      <c r="K89" s="15">
        <v>8</v>
      </c>
      <c r="L89" s="15">
        <v>1</v>
      </c>
      <c r="M89" s="15"/>
      <c r="N89" s="15"/>
      <c r="O89" s="15"/>
      <c r="P89" s="15"/>
      <c r="Q89" s="15" t="s">
        <v>90</v>
      </c>
      <c r="R89" s="15">
        <v>80</v>
      </c>
      <c r="S89" s="15">
        <v>40</v>
      </c>
    </row>
    <row r="90" spans="2:19" x14ac:dyDescent="0.35">
      <c r="B90" s="15" t="s">
        <v>266</v>
      </c>
      <c r="C90" s="15" t="s">
        <v>266</v>
      </c>
      <c r="D90" s="15" t="s">
        <v>267</v>
      </c>
      <c r="E90" s="15" t="s">
        <v>35</v>
      </c>
      <c r="F90" s="15" t="s">
        <v>56</v>
      </c>
      <c r="G90" s="15" t="s">
        <v>35</v>
      </c>
      <c r="H90" s="15" t="s">
        <v>84</v>
      </c>
      <c r="I90" s="15" t="s">
        <v>100</v>
      </c>
      <c r="J90" s="15">
        <v>5</v>
      </c>
      <c r="K90" s="15">
        <v>8</v>
      </c>
      <c r="L90" s="15">
        <v>1</v>
      </c>
      <c r="M90" s="15"/>
      <c r="N90" s="15"/>
      <c r="O90" s="15"/>
      <c r="P90" s="15"/>
      <c r="Q90" s="15" t="s">
        <v>90</v>
      </c>
      <c r="R90" s="15">
        <v>80</v>
      </c>
      <c r="S90" s="15">
        <v>40</v>
      </c>
    </row>
    <row r="91" spans="2:19" x14ac:dyDescent="0.35">
      <c r="B91" s="15" t="s">
        <v>268</v>
      </c>
      <c r="C91" s="15" t="s">
        <v>268</v>
      </c>
      <c r="D91" s="15" t="s">
        <v>269</v>
      </c>
      <c r="E91" s="15" t="s">
        <v>35</v>
      </c>
      <c r="F91" s="15" t="s">
        <v>56</v>
      </c>
      <c r="G91" s="15" t="s">
        <v>35</v>
      </c>
      <c r="H91" s="15" t="s">
        <v>90</v>
      </c>
      <c r="I91" s="15" t="s">
        <v>100</v>
      </c>
      <c r="J91" s="15">
        <v>5</v>
      </c>
      <c r="K91" s="15">
        <v>8</v>
      </c>
      <c r="L91" s="15">
        <v>1</v>
      </c>
      <c r="M91" s="15"/>
      <c r="N91" s="15"/>
      <c r="O91" s="15"/>
      <c r="P91" s="15"/>
      <c r="Q91" s="15" t="s">
        <v>90</v>
      </c>
      <c r="R91" s="15">
        <v>80</v>
      </c>
      <c r="S91" s="15">
        <v>40</v>
      </c>
    </row>
    <row r="92" spans="2:19" x14ac:dyDescent="0.35">
      <c r="B92" s="15" t="s">
        <v>270</v>
      </c>
      <c r="C92" s="15" t="s">
        <v>270</v>
      </c>
      <c r="D92" s="15" t="s">
        <v>271</v>
      </c>
      <c r="E92" s="15" t="s">
        <v>35</v>
      </c>
      <c r="F92" s="15" t="s">
        <v>56</v>
      </c>
      <c r="G92" s="15" t="s">
        <v>35</v>
      </c>
      <c r="H92" s="15" t="s">
        <v>29</v>
      </c>
      <c r="I92" s="15" t="s">
        <v>100</v>
      </c>
      <c r="J92" s="15">
        <v>7</v>
      </c>
      <c r="K92" s="15">
        <v>8</v>
      </c>
      <c r="L92" s="15">
        <v>1</v>
      </c>
      <c r="M92" s="15"/>
      <c r="N92" s="15"/>
      <c r="O92" s="15"/>
      <c r="P92" s="15"/>
      <c r="Q92" s="15" t="s">
        <v>90</v>
      </c>
      <c r="R92" s="15">
        <v>80</v>
      </c>
      <c r="S92" s="15">
        <v>40</v>
      </c>
    </row>
    <row r="93" spans="2:19" x14ac:dyDescent="0.35">
      <c r="B93" s="15" t="s">
        <v>272</v>
      </c>
      <c r="C93" s="15" t="s">
        <v>272</v>
      </c>
      <c r="D93" s="15" t="s">
        <v>273</v>
      </c>
      <c r="E93" s="15" t="s">
        <v>35</v>
      </c>
      <c r="F93" s="15" t="s">
        <v>57</v>
      </c>
      <c r="G93" s="15" t="s">
        <v>35</v>
      </c>
      <c r="H93" s="15" t="s">
        <v>27</v>
      </c>
      <c r="I93" s="15" t="s">
        <v>100</v>
      </c>
      <c r="J93" s="15">
        <v>8</v>
      </c>
      <c r="K93" s="15">
        <v>8</v>
      </c>
      <c r="L93" s="15">
        <v>1</v>
      </c>
      <c r="M93" s="15"/>
      <c r="N93" s="15"/>
      <c r="O93" s="15"/>
      <c r="P93" s="15"/>
      <c r="Q93" s="15" t="s">
        <v>90</v>
      </c>
      <c r="R93" s="15">
        <v>80</v>
      </c>
      <c r="S93" s="15">
        <v>40</v>
      </c>
    </row>
    <row r="94" spans="2:19" x14ac:dyDescent="0.35">
      <c r="B94" s="15" t="s">
        <v>5</v>
      </c>
      <c r="C94" s="15" t="s">
        <v>5</v>
      </c>
      <c r="D94" s="15" t="s">
        <v>274</v>
      </c>
      <c r="E94" s="15" t="s">
        <v>35</v>
      </c>
      <c r="F94" s="15" t="s">
        <v>57</v>
      </c>
      <c r="G94" s="15" t="s">
        <v>35</v>
      </c>
      <c r="H94" s="15" t="s">
        <v>84</v>
      </c>
      <c r="I94" s="15" t="s">
        <v>100</v>
      </c>
      <c r="J94" s="15">
        <v>5</v>
      </c>
      <c r="K94" s="15">
        <v>8</v>
      </c>
      <c r="L94" s="15">
        <v>1</v>
      </c>
      <c r="M94" s="15"/>
      <c r="N94" s="15"/>
      <c r="O94" s="15"/>
      <c r="P94" s="15"/>
      <c r="Q94" s="15" t="s">
        <v>90</v>
      </c>
      <c r="R94" s="15">
        <v>80</v>
      </c>
      <c r="S94" s="15">
        <v>40</v>
      </c>
    </row>
    <row r="95" spans="2:19" x14ac:dyDescent="0.35">
      <c r="B95" s="15" t="s">
        <v>275</v>
      </c>
      <c r="C95" s="15" t="s">
        <v>275</v>
      </c>
      <c r="D95" s="15" t="s">
        <v>276</v>
      </c>
      <c r="E95" s="15" t="s">
        <v>35</v>
      </c>
      <c r="F95" s="15" t="s">
        <v>57</v>
      </c>
      <c r="G95" s="15" t="s">
        <v>35</v>
      </c>
      <c r="H95" s="15" t="s">
        <v>90</v>
      </c>
      <c r="I95" s="15" t="s">
        <v>100</v>
      </c>
      <c r="J95" s="15">
        <v>5</v>
      </c>
      <c r="K95" s="15">
        <v>8</v>
      </c>
      <c r="L95" s="15">
        <v>1</v>
      </c>
      <c r="M95" s="15"/>
      <c r="N95" s="15"/>
      <c r="O95" s="15"/>
      <c r="P95" s="15"/>
      <c r="Q95" s="15" t="s">
        <v>90</v>
      </c>
      <c r="R95" s="15">
        <v>80</v>
      </c>
      <c r="S95" s="15">
        <v>40</v>
      </c>
    </row>
    <row r="96" spans="2:19" x14ac:dyDescent="0.35">
      <c r="B96" s="15" t="s">
        <v>277</v>
      </c>
      <c r="C96" s="15" t="s">
        <v>277</v>
      </c>
      <c r="D96" s="15" t="s">
        <v>278</v>
      </c>
      <c r="E96" s="15" t="s">
        <v>35</v>
      </c>
      <c r="F96" s="15" t="s">
        <v>57</v>
      </c>
      <c r="G96" s="15" t="s">
        <v>35</v>
      </c>
      <c r="H96" s="15" t="s">
        <v>29</v>
      </c>
      <c r="I96" s="15" t="s">
        <v>100</v>
      </c>
      <c r="J96" s="15">
        <v>10</v>
      </c>
      <c r="K96" s="15">
        <v>8</v>
      </c>
      <c r="L96" s="15">
        <v>1</v>
      </c>
      <c r="M96" s="15"/>
      <c r="N96" s="15"/>
      <c r="O96" s="15"/>
      <c r="P96" s="15"/>
      <c r="Q96" s="15" t="s">
        <v>90</v>
      </c>
      <c r="R96" s="15">
        <v>80</v>
      </c>
      <c r="S96" s="15">
        <v>40</v>
      </c>
    </row>
    <row r="97" spans="2:19" x14ac:dyDescent="0.35">
      <c r="B97" s="15" t="s">
        <v>279</v>
      </c>
      <c r="C97" s="15" t="s">
        <v>279</v>
      </c>
      <c r="D97" s="15" t="s">
        <v>280</v>
      </c>
      <c r="E97" s="15" t="s">
        <v>35</v>
      </c>
      <c r="F97" s="15" t="s">
        <v>58</v>
      </c>
      <c r="G97" s="15" t="s">
        <v>35</v>
      </c>
      <c r="H97" s="15" t="s">
        <v>27</v>
      </c>
      <c r="I97" s="15" t="s">
        <v>100</v>
      </c>
      <c r="J97" s="15">
        <v>8</v>
      </c>
      <c r="K97" s="15">
        <v>8</v>
      </c>
      <c r="L97" s="15">
        <v>1</v>
      </c>
      <c r="M97" s="15"/>
      <c r="N97" s="15"/>
      <c r="O97" s="15"/>
      <c r="P97" s="15"/>
      <c r="Q97" s="15" t="s">
        <v>90</v>
      </c>
      <c r="R97" s="15">
        <v>80</v>
      </c>
      <c r="S97" s="15">
        <v>40</v>
      </c>
    </row>
    <row r="98" spans="2:19" x14ac:dyDescent="0.35">
      <c r="B98" s="15" t="s">
        <v>281</v>
      </c>
      <c r="C98" s="15" t="s">
        <v>281</v>
      </c>
      <c r="D98" s="15" t="s">
        <v>282</v>
      </c>
      <c r="E98" s="15" t="s">
        <v>35</v>
      </c>
      <c r="F98" s="15" t="s">
        <v>58</v>
      </c>
      <c r="G98" s="15" t="s">
        <v>35</v>
      </c>
      <c r="H98" s="15" t="s">
        <v>84</v>
      </c>
      <c r="I98" s="15" t="s">
        <v>100</v>
      </c>
      <c r="J98" s="15">
        <v>6</v>
      </c>
      <c r="K98" s="15">
        <v>8</v>
      </c>
      <c r="L98" s="15">
        <v>1</v>
      </c>
      <c r="M98" s="15"/>
      <c r="N98" s="15"/>
      <c r="O98" s="15"/>
      <c r="P98" s="15"/>
      <c r="Q98" s="15" t="s">
        <v>90</v>
      </c>
      <c r="R98" s="15">
        <v>80</v>
      </c>
      <c r="S98" s="15">
        <v>40</v>
      </c>
    </row>
    <row r="99" spans="2:19" x14ac:dyDescent="0.35">
      <c r="B99" s="15" t="s">
        <v>283</v>
      </c>
      <c r="C99" s="15" t="s">
        <v>283</v>
      </c>
      <c r="D99" s="15" t="s">
        <v>284</v>
      </c>
      <c r="E99" s="15" t="s">
        <v>35</v>
      </c>
      <c r="F99" s="15" t="s">
        <v>58</v>
      </c>
      <c r="G99" s="15" t="s">
        <v>35</v>
      </c>
      <c r="H99" s="15" t="s">
        <v>90</v>
      </c>
      <c r="I99" s="15" t="s">
        <v>100</v>
      </c>
      <c r="J99" s="15">
        <v>6</v>
      </c>
      <c r="K99" s="15">
        <v>8</v>
      </c>
      <c r="L99" s="15">
        <v>1</v>
      </c>
      <c r="M99" s="15"/>
      <c r="N99" s="15"/>
      <c r="O99" s="15"/>
      <c r="P99" s="15"/>
      <c r="Q99" s="15" t="s">
        <v>90</v>
      </c>
      <c r="R99" s="15">
        <v>80</v>
      </c>
      <c r="S99" s="15">
        <v>40</v>
      </c>
    </row>
    <row r="100" spans="2:19" x14ac:dyDescent="0.35">
      <c r="B100" s="15" t="s">
        <v>285</v>
      </c>
      <c r="C100" s="15" t="s">
        <v>285</v>
      </c>
      <c r="D100" s="15" t="s">
        <v>286</v>
      </c>
      <c r="E100" s="15" t="s">
        <v>35</v>
      </c>
      <c r="F100" s="15" t="s">
        <v>58</v>
      </c>
      <c r="G100" s="15" t="s">
        <v>35</v>
      </c>
      <c r="H100" s="15" t="s">
        <v>29</v>
      </c>
      <c r="I100" s="15" t="s">
        <v>100</v>
      </c>
      <c r="J100" s="15">
        <v>10</v>
      </c>
      <c r="K100" s="15">
        <v>8</v>
      </c>
      <c r="L100" s="15">
        <v>1</v>
      </c>
      <c r="M100" s="15"/>
      <c r="N100" s="15"/>
      <c r="O100" s="15"/>
      <c r="P100" s="15"/>
      <c r="Q100" s="15" t="s">
        <v>90</v>
      </c>
      <c r="R100" s="15">
        <v>80</v>
      </c>
      <c r="S100" s="15">
        <v>40</v>
      </c>
    </row>
    <row r="101" spans="2:19" x14ac:dyDescent="0.35">
      <c r="B101" s="15" t="s">
        <v>287</v>
      </c>
      <c r="C101" s="15" t="s">
        <v>287</v>
      </c>
      <c r="D101" s="15" t="s">
        <v>288</v>
      </c>
      <c r="E101" s="15" t="s">
        <v>35</v>
      </c>
      <c r="F101" s="15" t="s">
        <v>59</v>
      </c>
      <c r="G101" s="15" t="s">
        <v>35</v>
      </c>
      <c r="H101" s="15" t="s">
        <v>84</v>
      </c>
      <c r="I101" s="15" t="s">
        <v>100</v>
      </c>
      <c r="J101" s="15">
        <v>4</v>
      </c>
      <c r="K101" s="15">
        <v>8</v>
      </c>
      <c r="L101" s="15">
        <v>1</v>
      </c>
      <c r="M101" s="15"/>
      <c r="N101" s="15"/>
      <c r="O101" s="15"/>
      <c r="P101" s="15"/>
      <c r="Q101" s="15" t="s">
        <v>90</v>
      </c>
      <c r="R101" s="15">
        <v>80</v>
      </c>
      <c r="S101" s="15">
        <v>40</v>
      </c>
    </row>
    <row r="102" spans="2:19" x14ac:dyDescent="0.35">
      <c r="B102" s="15" t="s">
        <v>289</v>
      </c>
      <c r="C102" s="15" t="s">
        <v>289</v>
      </c>
      <c r="D102" s="15" t="s">
        <v>290</v>
      </c>
      <c r="E102" s="15" t="s">
        <v>35</v>
      </c>
      <c r="F102" s="15" t="s">
        <v>90</v>
      </c>
      <c r="G102" s="15" t="s">
        <v>35</v>
      </c>
      <c r="H102" s="15" t="s">
        <v>42</v>
      </c>
      <c r="I102" s="15" t="s">
        <v>100</v>
      </c>
      <c r="J102" s="15">
        <v>5</v>
      </c>
      <c r="K102" s="15">
        <v>8</v>
      </c>
      <c r="L102" s="15">
        <v>1</v>
      </c>
      <c r="M102" s="15"/>
      <c r="N102" s="15"/>
      <c r="O102" s="15"/>
      <c r="P102" s="15"/>
      <c r="Q102" s="15" t="s">
        <v>90</v>
      </c>
      <c r="R102" s="15">
        <v>80</v>
      </c>
      <c r="S102" s="15">
        <v>40</v>
      </c>
    </row>
    <row r="103" spans="2:19" x14ac:dyDescent="0.35">
      <c r="B103" s="15" t="s">
        <v>291</v>
      </c>
      <c r="C103" s="15" t="s">
        <v>291</v>
      </c>
      <c r="D103" s="15" t="s">
        <v>292</v>
      </c>
      <c r="E103" s="15" t="s">
        <v>35</v>
      </c>
      <c r="F103" s="15" t="s">
        <v>59</v>
      </c>
      <c r="G103" s="15" t="s">
        <v>35</v>
      </c>
      <c r="H103" s="15" t="s">
        <v>90</v>
      </c>
      <c r="I103" s="15" t="s">
        <v>100</v>
      </c>
      <c r="J103" s="15">
        <v>4</v>
      </c>
      <c r="K103" s="15">
        <v>8</v>
      </c>
      <c r="L103" s="15">
        <v>1</v>
      </c>
      <c r="M103" s="15"/>
      <c r="N103" s="15"/>
      <c r="O103" s="15"/>
      <c r="P103" s="15"/>
      <c r="Q103" s="15" t="s">
        <v>90</v>
      </c>
      <c r="R103" s="15">
        <v>80</v>
      </c>
      <c r="S103" s="15">
        <v>40</v>
      </c>
    </row>
    <row r="104" spans="2:19" x14ac:dyDescent="0.35">
      <c r="B104" s="15" t="s">
        <v>293</v>
      </c>
      <c r="C104" s="15" t="s">
        <v>293</v>
      </c>
      <c r="D104" s="15" t="s">
        <v>294</v>
      </c>
      <c r="E104" s="15" t="s">
        <v>35</v>
      </c>
      <c r="F104" s="15" t="s">
        <v>59</v>
      </c>
      <c r="G104" s="15" t="s">
        <v>35</v>
      </c>
      <c r="H104" s="15" t="s">
        <v>60</v>
      </c>
      <c r="I104" s="15" t="s">
        <v>100</v>
      </c>
      <c r="J104" s="15">
        <v>4</v>
      </c>
      <c r="K104" s="15">
        <v>8</v>
      </c>
      <c r="L104" s="15">
        <v>1</v>
      </c>
      <c r="M104" s="15"/>
      <c r="N104" s="15"/>
      <c r="O104" s="15"/>
      <c r="P104" s="15"/>
      <c r="Q104" s="15" t="s">
        <v>90</v>
      </c>
      <c r="R104" s="15">
        <v>80</v>
      </c>
      <c r="S104" s="15">
        <v>40</v>
      </c>
    </row>
    <row r="105" spans="2:19" x14ac:dyDescent="0.35">
      <c r="B105" s="15" t="s">
        <v>295</v>
      </c>
      <c r="C105" s="15" t="s">
        <v>295</v>
      </c>
      <c r="D105" s="15" t="s">
        <v>296</v>
      </c>
      <c r="E105" s="15" t="s">
        <v>35</v>
      </c>
      <c r="F105" s="15" t="s">
        <v>60</v>
      </c>
      <c r="G105" s="15" t="s">
        <v>35</v>
      </c>
      <c r="H105" s="15" t="s">
        <v>82</v>
      </c>
      <c r="I105" s="15" t="s">
        <v>100</v>
      </c>
      <c r="J105" s="15">
        <v>4</v>
      </c>
      <c r="K105" s="15">
        <v>8</v>
      </c>
      <c r="L105" s="15">
        <v>1</v>
      </c>
      <c r="M105" s="15"/>
      <c r="N105" s="15"/>
      <c r="O105" s="15"/>
      <c r="P105" s="15"/>
      <c r="Q105" s="15" t="s">
        <v>90</v>
      </c>
      <c r="R105" s="15">
        <v>80</v>
      </c>
      <c r="S105" s="15">
        <v>40</v>
      </c>
    </row>
    <row r="106" spans="2:19" x14ac:dyDescent="0.35">
      <c r="B106" s="15" t="s">
        <v>297</v>
      </c>
      <c r="C106" s="15" t="s">
        <v>297</v>
      </c>
      <c r="D106" s="15" t="s">
        <v>298</v>
      </c>
      <c r="E106" s="15" t="s">
        <v>35</v>
      </c>
      <c r="F106" s="15" t="s">
        <v>60</v>
      </c>
      <c r="G106" s="15" t="s">
        <v>35</v>
      </c>
      <c r="H106" s="15" t="s">
        <v>42</v>
      </c>
      <c r="I106" s="15" t="s">
        <v>100</v>
      </c>
      <c r="J106" s="15">
        <v>5</v>
      </c>
      <c r="K106" s="15">
        <v>8</v>
      </c>
      <c r="L106" s="15">
        <v>1</v>
      </c>
      <c r="M106" s="15"/>
      <c r="N106" s="15"/>
      <c r="O106" s="15"/>
      <c r="P106" s="15"/>
      <c r="Q106" s="15" t="s">
        <v>90</v>
      </c>
      <c r="R106" s="15">
        <v>80</v>
      </c>
      <c r="S106" s="15">
        <v>40</v>
      </c>
    </row>
    <row r="107" spans="2:19" x14ac:dyDescent="0.35">
      <c r="B107" s="15" t="s">
        <v>8</v>
      </c>
      <c r="C107" s="15" t="s">
        <v>8</v>
      </c>
      <c r="D107" s="15" t="s">
        <v>299</v>
      </c>
      <c r="E107" s="15" t="s">
        <v>35</v>
      </c>
      <c r="F107" s="15" t="s">
        <v>60</v>
      </c>
      <c r="G107" s="15" t="s">
        <v>35</v>
      </c>
      <c r="H107" s="15" t="s">
        <v>84</v>
      </c>
      <c r="I107" s="15" t="s">
        <v>100</v>
      </c>
      <c r="J107" s="15">
        <v>4</v>
      </c>
      <c r="K107" s="15">
        <v>8</v>
      </c>
      <c r="L107" s="15">
        <v>1</v>
      </c>
      <c r="M107" s="15"/>
      <c r="N107" s="15"/>
      <c r="O107" s="15"/>
      <c r="P107" s="15"/>
      <c r="Q107" s="15" t="s">
        <v>90</v>
      </c>
      <c r="R107" s="15">
        <v>80</v>
      </c>
      <c r="S107" s="15">
        <v>40</v>
      </c>
    </row>
    <row r="108" spans="2:19" x14ac:dyDescent="0.35">
      <c r="B108" s="15" t="s">
        <v>300</v>
      </c>
      <c r="C108" s="15" t="s">
        <v>300</v>
      </c>
      <c r="D108" s="15" t="s">
        <v>301</v>
      </c>
      <c r="E108" s="15" t="s">
        <v>35</v>
      </c>
      <c r="F108" s="15" t="s">
        <v>60</v>
      </c>
      <c r="G108" s="15" t="s">
        <v>35</v>
      </c>
      <c r="H108" s="15" t="s">
        <v>86</v>
      </c>
      <c r="I108" s="15" t="s">
        <v>100</v>
      </c>
      <c r="J108" s="15">
        <v>4</v>
      </c>
      <c r="K108" s="15">
        <v>8</v>
      </c>
      <c r="L108" s="15">
        <v>1</v>
      </c>
      <c r="M108" s="15"/>
      <c r="N108" s="15"/>
      <c r="O108" s="15"/>
      <c r="P108" s="15"/>
      <c r="Q108" s="15" t="s">
        <v>90</v>
      </c>
      <c r="R108" s="15">
        <v>80</v>
      </c>
      <c r="S108" s="15">
        <v>40</v>
      </c>
    </row>
    <row r="109" spans="2:19" x14ac:dyDescent="0.35">
      <c r="B109" s="15" t="s">
        <v>302</v>
      </c>
      <c r="C109" s="15" t="s">
        <v>302</v>
      </c>
      <c r="D109" s="15" t="s">
        <v>303</v>
      </c>
      <c r="E109" s="15" t="s">
        <v>35</v>
      </c>
      <c r="F109" s="15" t="s">
        <v>60</v>
      </c>
      <c r="G109" s="15" t="s">
        <v>35</v>
      </c>
      <c r="H109" s="15" t="s">
        <v>88</v>
      </c>
      <c r="I109" s="15" t="s">
        <v>100</v>
      </c>
      <c r="J109" s="15">
        <v>3</v>
      </c>
      <c r="K109" s="15">
        <v>8</v>
      </c>
      <c r="L109" s="15">
        <v>1</v>
      </c>
      <c r="M109" s="15"/>
      <c r="N109" s="15"/>
      <c r="O109" s="15"/>
      <c r="P109" s="15"/>
      <c r="Q109" s="15" t="s">
        <v>90</v>
      </c>
      <c r="R109" s="15">
        <v>80</v>
      </c>
      <c r="S109" s="15">
        <v>40</v>
      </c>
    </row>
    <row r="110" spans="2:19" x14ac:dyDescent="0.35">
      <c r="B110" s="15" t="s">
        <v>304</v>
      </c>
      <c r="C110" s="15" t="s">
        <v>305</v>
      </c>
      <c r="D110" s="15" t="s">
        <v>306</v>
      </c>
      <c r="E110" s="15" t="s">
        <v>35</v>
      </c>
      <c r="F110" s="15" t="s">
        <v>60</v>
      </c>
      <c r="G110" s="15" t="s">
        <v>35</v>
      </c>
      <c r="H110" s="15" t="s">
        <v>90</v>
      </c>
      <c r="I110" s="15" t="s">
        <v>100</v>
      </c>
      <c r="J110" s="15">
        <v>4</v>
      </c>
      <c r="K110" s="15">
        <v>8</v>
      </c>
      <c r="L110" s="15">
        <v>1</v>
      </c>
      <c r="M110" s="15"/>
      <c r="N110" s="15"/>
      <c r="O110" s="15"/>
      <c r="P110" s="15"/>
      <c r="Q110" s="15" t="s">
        <v>90</v>
      </c>
      <c r="R110" s="15">
        <v>80</v>
      </c>
      <c r="S110" s="15">
        <v>40</v>
      </c>
    </row>
    <row r="111" spans="2:19" x14ac:dyDescent="0.35">
      <c r="B111" s="15" t="s">
        <v>307</v>
      </c>
      <c r="C111" s="15" t="s">
        <v>307</v>
      </c>
      <c r="D111" s="15" t="s">
        <v>308</v>
      </c>
      <c r="E111" s="15" t="s">
        <v>35</v>
      </c>
      <c r="F111" s="15" t="s">
        <v>61</v>
      </c>
      <c r="G111" s="15" t="s">
        <v>35</v>
      </c>
      <c r="H111" s="15" t="s">
        <v>27</v>
      </c>
      <c r="I111" s="15" t="s">
        <v>100</v>
      </c>
      <c r="J111" s="15">
        <v>7</v>
      </c>
      <c r="K111" s="15">
        <v>8</v>
      </c>
      <c r="L111" s="15">
        <v>1</v>
      </c>
      <c r="M111" s="15"/>
      <c r="N111" s="15"/>
      <c r="O111" s="15"/>
      <c r="P111" s="15"/>
      <c r="Q111" s="15" t="s">
        <v>90</v>
      </c>
      <c r="R111" s="15">
        <v>80</v>
      </c>
      <c r="S111" s="15">
        <v>40</v>
      </c>
    </row>
    <row r="112" spans="2:19" x14ac:dyDescent="0.35">
      <c r="B112" s="15" t="s">
        <v>309</v>
      </c>
      <c r="C112" s="15" t="s">
        <v>309</v>
      </c>
      <c r="D112" s="15" t="s">
        <v>310</v>
      </c>
      <c r="E112" s="15" t="s">
        <v>35</v>
      </c>
      <c r="F112" s="15" t="s">
        <v>61</v>
      </c>
      <c r="G112" s="15" t="s">
        <v>35</v>
      </c>
      <c r="H112" s="15" t="s">
        <v>84</v>
      </c>
      <c r="I112" s="15" t="s">
        <v>100</v>
      </c>
      <c r="J112" s="15">
        <v>4</v>
      </c>
      <c r="K112" s="15">
        <v>8</v>
      </c>
      <c r="L112" s="15">
        <v>1</v>
      </c>
      <c r="M112" s="15"/>
      <c r="N112" s="15"/>
      <c r="O112" s="15"/>
      <c r="P112" s="15"/>
      <c r="Q112" s="15" t="s">
        <v>90</v>
      </c>
      <c r="R112" s="15">
        <v>80</v>
      </c>
      <c r="S112" s="15">
        <v>40</v>
      </c>
    </row>
    <row r="113" spans="2:19" x14ac:dyDescent="0.35">
      <c r="B113" s="15" t="s">
        <v>311</v>
      </c>
      <c r="C113" s="15" t="s">
        <v>311</v>
      </c>
      <c r="D113" s="15" t="s">
        <v>312</v>
      </c>
      <c r="E113" s="15" t="s">
        <v>35</v>
      </c>
      <c r="F113" s="15" t="s">
        <v>61</v>
      </c>
      <c r="G113" s="15" t="s">
        <v>35</v>
      </c>
      <c r="H113" s="15" t="s">
        <v>90</v>
      </c>
      <c r="I113" s="15" t="s">
        <v>100</v>
      </c>
      <c r="J113" s="15">
        <v>4</v>
      </c>
      <c r="K113" s="15">
        <v>8</v>
      </c>
      <c r="L113" s="15">
        <v>1</v>
      </c>
      <c r="M113" s="15"/>
      <c r="N113" s="15"/>
      <c r="O113" s="15"/>
      <c r="P113" s="15"/>
      <c r="Q113" s="15" t="s">
        <v>90</v>
      </c>
      <c r="R113" s="15">
        <v>80</v>
      </c>
      <c r="S113" s="15">
        <v>40</v>
      </c>
    </row>
    <row r="114" spans="2:19" x14ac:dyDescent="0.35">
      <c r="B114" s="15" t="s">
        <v>313</v>
      </c>
      <c r="C114" s="15" t="s">
        <v>313</v>
      </c>
      <c r="D114" s="15" t="s">
        <v>314</v>
      </c>
      <c r="E114" s="15" t="s">
        <v>35</v>
      </c>
      <c r="F114" s="15" t="s">
        <v>61</v>
      </c>
      <c r="G114" s="15" t="s">
        <v>35</v>
      </c>
      <c r="H114" s="15" t="s">
        <v>29</v>
      </c>
      <c r="I114" s="15" t="s">
        <v>100</v>
      </c>
      <c r="J114" s="15">
        <v>8</v>
      </c>
      <c r="K114" s="15">
        <v>8</v>
      </c>
      <c r="L114" s="15">
        <v>1</v>
      </c>
      <c r="M114" s="15"/>
      <c r="N114" s="15"/>
      <c r="O114" s="15"/>
      <c r="P114" s="15"/>
      <c r="Q114" s="15" t="s">
        <v>90</v>
      </c>
      <c r="R114" s="15">
        <v>80</v>
      </c>
      <c r="S114" s="15">
        <v>40</v>
      </c>
    </row>
    <row r="115" spans="2:19" x14ac:dyDescent="0.35">
      <c r="B115" s="15" t="s">
        <v>315</v>
      </c>
      <c r="C115" s="15" t="s">
        <v>315</v>
      </c>
      <c r="D115" s="15" t="s">
        <v>316</v>
      </c>
      <c r="E115" s="15" t="s">
        <v>35</v>
      </c>
      <c r="F115" s="15" t="s">
        <v>29</v>
      </c>
      <c r="G115" s="15" t="s">
        <v>35</v>
      </c>
      <c r="H115" s="15" t="s">
        <v>42</v>
      </c>
      <c r="I115" s="15" t="s">
        <v>100</v>
      </c>
      <c r="J115" s="15">
        <v>1</v>
      </c>
      <c r="K115" s="15">
        <v>8</v>
      </c>
      <c r="L115" s="15">
        <v>1</v>
      </c>
      <c r="M115" s="15"/>
      <c r="N115" s="15"/>
      <c r="O115" s="15"/>
      <c r="P115" s="15"/>
      <c r="Q115" s="15" t="s">
        <v>90</v>
      </c>
      <c r="R115" s="15">
        <v>80</v>
      </c>
      <c r="S115" s="15">
        <v>40</v>
      </c>
    </row>
    <row r="116" spans="2:19" x14ac:dyDescent="0.35">
      <c r="B116" s="15" t="s">
        <v>317</v>
      </c>
      <c r="C116" s="15" t="s">
        <v>317</v>
      </c>
      <c r="D116" s="15" t="s">
        <v>318</v>
      </c>
      <c r="E116" s="15" t="s">
        <v>35</v>
      </c>
      <c r="F116" s="15" t="s">
        <v>29</v>
      </c>
      <c r="G116" s="15" t="s">
        <v>35</v>
      </c>
      <c r="H116" s="15" t="s">
        <v>43</v>
      </c>
      <c r="I116" s="15" t="s">
        <v>100</v>
      </c>
      <c r="J116" s="15">
        <v>1</v>
      </c>
      <c r="K116" s="15">
        <v>8</v>
      </c>
      <c r="L116" s="15">
        <v>1</v>
      </c>
      <c r="M116" s="15"/>
      <c r="N116" s="15"/>
      <c r="O116" s="15"/>
      <c r="P116" s="15"/>
      <c r="Q116" s="15" t="s">
        <v>90</v>
      </c>
      <c r="R116" s="15">
        <v>80</v>
      </c>
      <c r="S116" s="15">
        <v>40</v>
      </c>
    </row>
    <row r="117" spans="2:19" x14ac:dyDescent="0.35">
      <c r="B117" s="15" t="s">
        <v>319</v>
      </c>
      <c r="C117" s="15" t="s">
        <v>319</v>
      </c>
      <c r="D117" s="15" t="s">
        <v>320</v>
      </c>
      <c r="E117" s="15" t="s">
        <v>35</v>
      </c>
      <c r="F117" s="15" t="s">
        <v>29</v>
      </c>
      <c r="G117" s="15" t="s">
        <v>35</v>
      </c>
      <c r="H117" s="15" t="s">
        <v>59</v>
      </c>
      <c r="I117" s="15" t="s">
        <v>100</v>
      </c>
      <c r="J117" s="15">
        <v>2</v>
      </c>
      <c r="K117" s="15">
        <v>8</v>
      </c>
      <c r="L117" s="15">
        <v>1</v>
      </c>
      <c r="M117" s="15"/>
      <c r="N117" s="15"/>
      <c r="O117" s="15"/>
      <c r="P117" s="15"/>
      <c r="Q117" s="15" t="s">
        <v>90</v>
      </c>
      <c r="R117" s="15">
        <v>80</v>
      </c>
      <c r="S117" s="15">
        <v>40</v>
      </c>
    </row>
    <row r="118" spans="2:19" x14ac:dyDescent="0.35">
      <c r="B118" s="15" t="s">
        <v>321</v>
      </c>
      <c r="C118" s="15" t="s">
        <v>321</v>
      </c>
      <c r="D118" s="15" t="s">
        <v>322</v>
      </c>
      <c r="E118" s="15" t="s">
        <v>35</v>
      </c>
      <c r="F118" s="15" t="s">
        <v>29</v>
      </c>
      <c r="G118" s="15" t="s">
        <v>35</v>
      </c>
      <c r="H118" s="15" t="s">
        <v>60</v>
      </c>
      <c r="I118" s="15" t="s">
        <v>100</v>
      </c>
      <c r="J118" s="15">
        <v>1</v>
      </c>
      <c r="K118" s="15">
        <v>8</v>
      </c>
      <c r="L118" s="15">
        <v>1</v>
      </c>
      <c r="M118" s="15"/>
      <c r="N118" s="15"/>
      <c r="O118" s="15"/>
      <c r="P118" s="15"/>
      <c r="Q118" s="15" t="s">
        <v>90</v>
      </c>
      <c r="R118" s="15">
        <v>80</v>
      </c>
      <c r="S118" s="15">
        <v>40</v>
      </c>
    </row>
    <row r="119" spans="2:19" x14ac:dyDescent="0.35">
      <c r="B119" s="15" t="s">
        <v>7</v>
      </c>
      <c r="C119" s="15" t="s">
        <v>7</v>
      </c>
      <c r="D119" s="15" t="s">
        <v>323</v>
      </c>
      <c r="E119" s="15" t="s">
        <v>35</v>
      </c>
      <c r="F119" s="15" t="s">
        <v>72</v>
      </c>
      <c r="G119" s="15" t="s">
        <v>35</v>
      </c>
      <c r="H119" s="15" t="s">
        <v>84</v>
      </c>
      <c r="I119" s="15" t="s">
        <v>100</v>
      </c>
      <c r="J119" s="15">
        <v>7</v>
      </c>
      <c r="K119" s="15">
        <v>8</v>
      </c>
      <c r="L119" s="15">
        <v>1</v>
      </c>
      <c r="M119" s="15"/>
      <c r="N119" s="15"/>
      <c r="O119" s="15"/>
      <c r="P119" s="15"/>
      <c r="Q119" s="15" t="s">
        <v>90</v>
      </c>
      <c r="R119" s="15">
        <v>80</v>
      </c>
      <c r="S119" s="15">
        <v>40</v>
      </c>
    </row>
    <row r="120" spans="2:19" x14ac:dyDescent="0.35">
      <c r="B120" s="15" t="s">
        <v>324</v>
      </c>
      <c r="C120" s="15" t="s">
        <v>324</v>
      </c>
      <c r="D120" s="15" t="s">
        <v>325</v>
      </c>
      <c r="E120" s="15" t="s">
        <v>35</v>
      </c>
      <c r="F120" s="15" t="s">
        <v>72</v>
      </c>
      <c r="G120" s="15" t="s">
        <v>35</v>
      </c>
      <c r="H120" s="15" t="s">
        <v>90</v>
      </c>
      <c r="I120" s="15" t="s">
        <v>100</v>
      </c>
      <c r="J120" s="15">
        <v>7</v>
      </c>
      <c r="K120" s="15">
        <v>8</v>
      </c>
      <c r="L120" s="15">
        <v>1</v>
      </c>
      <c r="M120" s="15"/>
      <c r="N120" s="15"/>
      <c r="O120" s="15"/>
      <c r="P120" s="15"/>
      <c r="Q120" s="15" t="s">
        <v>90</v>
      </c>
      <c r="R120" s="15">
        <v>80</v>
      </c>
      <c r="S120" s="15">
        <v>40</v>
      </c>
    </row>
    <row r="121" spans="2:19" x14ac:dyDescent="0.35">
      <c r="B121" s="15" t="s">
        <v>326</v>
      </c>
      <c r="C121" s="15" t="s">
        <v>327</v>
      </c>
      <c r="D121" s="15" t="s">
        <v>328</v>
      </c>
      <c r="E121" s="15" t="s">
        <v>35</v>
      </c>
      <c r="F121" s="15" t="s">
        <v>62</v>
      </c>
      <c r="G121" s="15" t="s">
        <v>35</v>
      </c>
      <c r="H121" s="15" t="s">
        <v>27</v>
      </c>
      <c r="I121" s="15" t="s">
        <v>100</v>
      </c>
      <c r="J121" s="15">
        <v>6</v>
      </c>
      <c r="K121" s="15">
        <v>8</v>
      </c>
      <c r="L121" s="15">
        <v>1</v>
      </c>
      <c r="M121" s="15"/>
      <c r="N121" s="15"/>
      <c r="O121" s="15"/>
      <c r="P121" s="15"/>
      <c r="Q121" s="15" t="s">
        <v>90</v>
      </c>
      <c r="R121" s="15">
        <v>80</v>
      </c>
      <c r="S121" s="15">
        <v>40</v>
      </c>
    </row>
    <row r="122" spans="2:19" x14ac:dyDescent="0.35">
      <c r="B122" s="15" t="s">
        <v>329</v>
      </c>
      <c r="C122" s="15" t="s">
        <v>330</v>
      </c>
      <c r="D122" s="15" t="s">
        <v>331</v>
      </c>
      <c r="E122" s="15" t="s">
        <v>35</v>
      </c>
      <c r="F122" s="15" t="s">
        <v>62</v>
      </c>
      <c r="G122" s="15" t="s">
        <v>35</v>
      </c>
      <c r="H122" s="15" t="s">
        <v>29</v>
      </c>
      <c r="I122" s="15" t="s">
        <v>100</v>
      </c>
      <c r="J122" s="15">
        <v>6</v>
      </c>
      <c r="K122" s="15">
        <v>8</v>
      </c>
      <c r="L122" s="15">
        <v>1</v>
      </c>
      <c r="M122" s="15"/>
      <c r="N122" s="15"/>
      <c r="O122" s="15"/>
      <c r="P122" s="15"/>
      <c r="Q122" s="15" t="s">
        <v>90</v>
      </c>
      <c r="R122" s="15">
        <v>80</v>
      </c>
      <c r="S122" s="15">
        <v>40</v>
      </c>
    </row>
    <row r="123" spans="2:19" x14ac:dyDescent="0.35">
      <c r="B123" s="15" t="s">
        <v>332</v>
      </c>
      <c r="C123" s="15" t="s">
        <v>333</v>
      </c>
      <c r="D123" s="15" t="s">
        <v>334</v>
      </c>
      <c r="E123" s="15" t="s">
        <v>35</v>
      </c>
      <c r="F123" s="15" t="s">
        <v>62</v>
      </c>
      <c r="G123" s="15" t="s">
        <v>35</v>
      </c>
      <c r="H123" s="15" t="s">
        <v>84</v>
      </c>
      <c r="I123" s="15" t="s">
        <v>100</v>
      </c>
      <c r="J123" s="15">
        <v>3</v>
      </c>
      <c r="K123" s="15">
        <v>8</v>
      </c>
      <c r="L123" s="15">
        <v>1</v>
      </c>
      <c r="M123" s="15"/>
      <c r="N123" s="15"/>
      <c r="O123" s="15"/>
      <c r="P123" s="15"/>
      <c r="Q123" s="15" t="s">
        <v>90</v>
      </c>
      <c r="R123" s="15">
        <v>80</v>
      </c>
      <c r="S123" s="15">
        <v>40</v>
      </c>
    </row>
    <row r="124" spans="2:19" x14ac:dyDescent="0.35">
      <c r="B124" s="15" t="s">
        <v>335</v>
      </c>
      <c r="C124" s="15" t="s">
        <v>336</v>
      </c>
      <c r="D124" s="15" t="s">
        <v>337</v>
      </c>
      <c r="E124" s="15" t="s">
        <v>35</v>
      </c>
      <c r="F124" s="15" t="s">
        <v>62</v>
      </c>
      <c r="G124" s="15" t="s">
        <v>35</v>
      </c>
      <c r="H124" s="15" t="s">
        <v>90</v>
      </c>
      <c r="I124" s="15" t="s">
        <v>100</v>
      </c>
      <c r="J124" s="15">
        <v>3</v>
      </c>
      <c r="K124" s="15">
        <v>8</v>
      </c>
      <c r="L124" s="15">
        <v>1</v>
      </c>
      <c r="M124" s="15"/>
      <c r="N124" s="15"/>
      <c r="O124" s="15"/>
      <c r="P124" s="15"/>
      <c r="Q124" s="15" t="s">
        <v>90</v>
      </c>
      <c r="R124" s="15">
        <v>80</v>
      </c>
      <c r="S124" s="15">
        <v>40</v>
      </c>
    </row>
    <row r="125" spans="2:19" x14ac:dyDescent="0.35">
      <c r="B125" s="15" t="s">
        <v>338</v>
      </c>
      <c r="C125" s="15" t="s">
        <v>339</v>
      </c>
      <c r="D125" s="15" t="s">
        <v>340</v>
      </c>
      <c r="E125" s="15" t="s">
        <v>35</v>
      </c>
      <c r="F125" s="15" t="s">
        <v>27</v>
      </c>
      <c r="G125" s="15" t="s">
        <v>35</v>
      </c>
      <c r="H125" s="15" t="s">
        <v>29</v>
      </c>
      <c r="I125" s="15" t="s">
        <v>100</v>
      </c>
      <c r="J125" s="15">
        <v>5</v>
      </c>
      <c r="K125" s="15">
        <v>8</v>
      </c>
      <c r="L125" s="15">
        <v>1</v>
      </c>
      <c r="M125" s="15"/>
      <c r="N125" s="15"/>
      <c r="O125" s="15"/>
      <c r="P125" s="15"/>
      <c r="Q125" s="15" t="s">
        <v>90</v>
      </c>
      <c r="R125" s="15">
        <v>80</v>
      </c>
      <c r="S125" s="15">
        <v>40</v>
      </c>
    </row>
    <row r="126" spans="2:19" x14ac:dyDescent="0.35">
      <c r="B126" s="15" t="s">
        <v>341</v>
      </c>
      <c r="C126" s="15" t="s">
        <v>342</v>
      </c>
      <c r="D126" s="15"/>
      <c r="E126" s="15" t="s">
        <v>35</v>
      </c>
      <c r="F126" s="15" t="s">
        <v>27</v>
      </c>
      <c r="G126" s="15" t="s">
        <v>35</v>
      </c>
      <c r="H126" s="15" t="s">
        <v>29</v>
      </c>
      <c r="I126" s="15" t="s">
        <v>100</v>
      </c>
      <c r="J126" s="15">
        <v>6</v>
      </c>
      <c r="K126" s="15">
        <v>8</v>
      </c>
      <c r="L126" s="15">
        <v>1</v>
      </c>
      <c r="M126" s="15"/>
      <c r="N126" s="15"/>
      <c r="O126" s="15"/>
      <c r="P126" s="15"/>
      <c r="Q126" s="15" t="s">
        <v>90</v>
      </c>
      <c r="R126" s="15">
        <v>80</v>
      </c>
      <c r="S126" s="15">
        <v>40</v>
      </c>
    </row>
    <row r="127" spans="2:19" x14ac:dyDescent="0.35">
      <c r="B127" s="15" t="s">
        <v>343</v>
      </c>
      <c r="C127" s="15" t="s">
        <v>344</v>
      </c>
      <c r="D127" s="15" t="s">
        <v>345</v>
      </c>
      <c r="E127" s="15" t="s">
        <v>35</v>
      </c>
      <c r="F127" s="15" t="s">
        <v>27</v>
      </c>
      <c r="G127" s="15" t="s">
        <v>35</v>
      </c>
      <c r="H127" s="15" t="s">
        <v>82</v>
      </c>
      <c r="I127" s="15" t="s">
        <v>100</v>
      </c>
      <c r="J127" s="15">
        <v>2</v>
      </c>
      <c r="K127" s="15">
        <v>8</v>
      </c>
      <c r="L127" s="15">
        <v>1</v>
      </c>
      <c r="M127" s="15"/>
      <c r="N127" s="15"/>
      <c r="O127" s="15"/>
      <c r="P127" s="15"/>
      <c r="Q127" s="15" t="s">
        <v>90</v>
      </c>
      <c r="R127" s="15">
        <v>80</v>
      </c>
      <c r="S127" s="15">
        <v>40</v>
      </c>
    </row>
    <row r="128" spans="2:19" x14ac:dyDescent="0.35">
      <c r="B128" s="15" t="s">
        <v>346</v>
      </c>
      <c r="C128" s="15" t="s">
        <v>347</v>
      </c>
      <c r="D128" s="15"/>
      <c r="E128" s="15" t="s">
        <v>35</v>
      </c>
      <c r="F128" s="15" t="s">
        <v>27</v>
      </c>
      <c r="G128" s="15" t="s">
        <v>35</v>
      </c>
      <c r="H128" s="15" t="s">
        <v>82</v>
      </c>
      <c r="I128" s="15" t="s">
        <v>100</v>
      </c>
      <c r="J128" s="15">
        <v>5</v>
      </c>
      <c r="K128" s="15">
        <v>8</v>
      </c>
      <c r="L128" s="15">
        <v>1</v>
      </c>
      <c r="M128" s="15"/>
      <c r="N128" s="15"/>
      <c r="O128" s="15"/>
      <c r="P128" s="15"/>
      <c r="Q128" s="15" t="s">
        <v>90</v>
      </c>
      <c r="R128" s="15">
        <v>80</v>
      </c>
      <c r="S128" s="15">
        <v>40</v>
      </c>
    </row>
    <row r="129" spans="2:19" x14ac:dyDescent="0.35">
      <c r="B129" s="15" t="s">
        <v>1</v>
      </c>
      <c r="C129" s="15" t="s">
        <v>348</v>
      </c>
      <c r="D129" s="15" t="s">
        <v>349</v>
      </c>
      <c r="E129" s="15" t="s">
        <v>35</v>
      </c>
      <c r="F129" s="15" t="s">
        <v>27</v>
      </c>
      <c r="G129" s="15" t="s">
        <v>35</v>
      </c>
      <c r="H129" s="15" t="s">
        <v>84</v>
      </c>
      <c r="I129" s="15" t="s">
        <v>100</v>
      </c>
      <c r="J129" s="15">
        <v>2</v>
      </c>
      <c r="K129" s="15">
        <v>8</v>
      </c>
      <c r="L129" s="15">
        <v>1</v>
      </c>
      <c r="M129" s="15"/>
      <c r="N129" s="15"/>
      <c r="O129" s="15"/>
      <c r="P129" s="15"/>
      <c r="Q129" s="15" t="s">
        <v>90</v>
      </c>
      <c r="R129" s="15">
        <v>80</v>
      </c>
      <c r="S129" s="15">
        <v>40</v>
      </c>
    </row>
    <row r="130" spans="2:19" x14ac:dyDescent="0.35">
      <c r="B130" s="15" t="s">
        <v>350</v>
      </c>
      <c r="C130" s="15" t="s">
        <v>351</v>
      </c>
      <c r="D130" s="15"/>
      <c r="E130" s="15" t="s">
        <v>35</v>
      </c>
      <c r="F130" s="15" t="s">
        <v>27</v>
      </c>
      <c r="G130" s="15" t="s">
        <v>35</v>
      </c>
      <c r="H130" s="15" t="s">
        <v>84</v>
      </c>
      <c r="I130" s="15" t="s">
        <v>100</v>
      </c>
      <c r="J130" s="15">
        <v>5</v>
      </c>
      <c r="K130" s="15">
        <v>8</v>
      </c>
      <c r="L130" s="15">
        <v>1</v>
      </c>
      <c r="M130" s="15"/>
      <c r="N130" s="15"/>
      <c r="O130" s="15"/>
      <c r="P130" s="15"/>
      <c r="Q130" s="15" t="s">
        <v>90</v>
      </c>
      <c r="R130" s="15">
        <v>80</v>
      </c>
      <c r="S130" s="15">
        <v>40</v>
      </c>
    </row>
    <row r="131" spans="2:19" x14ac:dyDescent="0.35">
      <c r="B131" s="15" t="s">
        <v>352</v>
      </c>
      <c r="C131" s="15" t="s">
        <v>353</v>
      </c>
      <c r="D131" s="15" t="s">
        <v>354</v>
      </c>
      <c r="E131" s="15" t="s">
        <v>35</v>
      </c>
      <c r="F131" s="15" t="s">
        <v>27</v>
      </c>
      <c r="G131" s="15" t="s">
        <v>35</v>
      </c>
      <c r="H131" s="15" t="s">
        <v>86</v>
      </c>
      <c r="I131" s="15" t="s">
        <v>100</v>
      </c>
      <c r="J131" s="15">
        <v>2</v>
      </c>
      <c r="K131" s="15">
        <v>8</v>
      </c>
      <c r="L131" s="15">
        <v>1</v>
      </c>
      <c r="M131" s="15"/>
      <c r="N131" s="15"/>
      <c r="O131" s="15"/>
      <c r="P131" s="15"/>
      <c r="Q131" s="15" t="s">
        <v>90</v>
      </c>
      <c r="R131" s="15">
        <v>80</v>
      </c>
      <c r="S131" s="15">
        <v>40</v>
      </c>
    </row>
    <row r="132" spans="2:19" x14ac:dyDescent="0.35">
      <c r="B132" s="15" t="s">
        <v>355</v>
      </c>
      <c r="C132" s="15" t="s">
        <v>356</v>
      </c>
      <c r="D132" s="15"/>
      <c r="E132" s="15" t="s">
        <v>35</v>
      </c>
      <c r="F132" s="15" t="s">
        <v>27</v>
      </c>
      <c r="G132" s="15" t="s">
        <v>35</v>
      </c>
      <c r="H132" s="15" t="s">
        <v>86</v>
      </c>
      <c r="I132" s="15" t="s">
        <v>100</v>
      </c>
      <c r="J132" s="15">
        <v>5</v>
      </c>
      <c r="K132" s="15">
        <v>8</v>
      </c>
      <c r="L132" s="15">
        <v>1</v>
      </c>
      <c r="M132" s="15"/>
      <c r="N132" s="15"/>
      <c r="O132" s="15"/>
      <c r="P132" s="15"/>
      <c r="Q132" s="15" t="s">
        <v>90</v>
      </c>
      <c r="R132" s="15">
        <v>80</v>
      </c>
      <c r="S132" s="15">
        <v>40</v>
      </c>
    </row>
    <row r="133" spans="2:19" x14ac:dyDescent="0.35">
      <c r="B133" s="15" t="s">
        <v>357</v>
      </c>
      <c r="C133" s="15" t="s">
        <v>358</v>
      </c>
      <c r="D133" s="15" t="s">
        <v>359</v>
      </c>
      <c r="E133" s="15" t="s">
        <v>35</v>
      </c>
      <c r="F133" s="15" t="s">
        <v>27</v>
      </c>
      <c r="G133" s="15" t="s">
        <v>35</v>
      </c>
      <c r="H133" s="15" t="s">
        <v>88</v>
      </c>
      <c r="I133" s="15" t="s">
        <v>100</v>
      </c>
      <c r="J133" s="15">
        <v>0</v>
      </c>
      <c r="K133" s="15">
        <v>8</v>
      </c>
      <c r="L133" s="15">
        <v>1</v>
      </c>
      <c r="M133" s="15"/>
      <c r="N133" s="15"/>
      <c r="O133" s="15"/>
      <c r="P133" s="15"/>
      <c r="Q133" s="15" t="s">
        <v>90</v>
      </c>
      <c r="R133" s="15">
        <v>80</v>
      </c>
      <c r="S133" s="15">
        <v>40</v>
      </c>
    </row>
    <row r="134" spans="2:19" x14ac:dyDescent="0.35">
      <c r="B134" s="15" t="s">
        <v>360</v>
      </c>
      <c r="C134" s="15" t="s">
        <v>361</v>
      </c>
      <c r="D134" s="15"/>
      <c r="E134" s="15" t="s">
        <v>35</v>
      </c>
      <c r="F134" s="15" t="s">
        <v>27</v>
      </c>
      <c r="G134" s="15" t="s">
        <v>35</v>
      </c>
      <c r="H134" s="15" t="s">
        <v>88</v>
      </c>
      <c r="I134" s="15" t="s">
        <v>100</v>
      </c>
      <c r="J134" s="15">
        <v>3</v>
      </c>
      <c r="K134" s="15">
        <v>8</v>
      </c>
      <c r="L134" s="15">
        <v>1</v>
      </c>
      <c r="M134" s="15"/>
      <c r="N134" s="15"/>
      <c r="O134" s="15"/>
      <c r="P134" s="15"/>
      <c r="Q134" s="15" t="s">
        <v>90</v>
      </c>
      <c r="R134" s="15">
        <v>80</v>
      </c>
      <c r="S134" s="15">
        <v>40</v>
      </c>
    </row>
    <row r="135" spans="2:19" x14ac:dyDescent="0.35">
      <c r="B135" s="15" t="s">
        <v>362</v>
      </c>
      <c r="C135" s="15" t="s">
        <v>363</v>
      </c>
      <c r="D135" s="15" t="s">
        <v>364</v>
      </c>
      <c r="E135" s="15" t="s">
        <v>35</v>
      </c>
      <c r="F135" s="15" t="s">
        <v>27</v>
      </c>
      <c r="G135" s="15" t="s">
        <v>35</v>
      </c>
      <c r="H135" s="15" t="s">
        <v>90</v>
      </c>
      <c r="I135" s="15" t="s">
        <v>100</v>
      </c>
      <c r="J135" s="15">
        <v>2</v>
      </c>
      <c r="K135" s="15">
        <v>8</v>
      </c>
      <c r="L135" s="15">
        <v>1</v>
      </c>
      <c r="M135" s="15"/>
      <c r="N135" s="15"/>
      <c r="O135" s="15"/>
      <c r="P135" s="15"/>
      <c r="Q135" s="15" t="s">
        <v>90</v>
      </c>
      <c r="R135" s="15">
        <v>80</v>
      </c>
      <c r="S135" s="15">
        <v>40</v>
      </c>
    </row>
    <row r="136" spans="2:19" x14ac:dyDescent="0.35">
      <c r="B136" s="15" t="s">
        <v>365</v>
      </c>
      <c r="C136" s="15" t="s">
        <v>366</v>
      </c>
      <c r="D136" s="15"/>
      <c r="E136" s="15" t="s">
        <v>35</v>
      </c>
      <c r="F136" s="15" t="s">
        <v>27</v>
      </c>
      <c r="G136" s="15" t="s">
        <v>35</v>
      </c>
      <c r="H136" s="15" t="s">
        <v>90</v>
      </c>
      <c r="I136" s="15" t="s">
        <v>100</v>
      </c>
      <c r="J136" s="15">
        <v>5</v>
      </c>
      <c r="K136" s="15">
        <v>8</v>
      </c>
      <c r="L136" s="15">
        <v>1</v>
      </c>
      <c r="M136" s="15"/>
      <c r="N136" s="15"/>
      <c r="O136" s="15"/>
      <c r="P136" s="15"/>
      <c r="Q136" s="15" t="s">
        <v>90</v>
      </c>
      <c r="R136" s="15">
        <v>80</v>
      </c>
      <c r="S136" s="15">
        <v>40</v>
      </c>
    </row>
    <row r="137" spans="2:19" x14ac:dyDescent="0.35">
      <c r="B137" s="15" t="s">
        <v>367</v>
      </c>
      <c r="C137" s="15" t="s">
        <v>368</v>
      </c>
      <c r="D137" s="15" t="s">
        <v>369</v>
      </c>
      <c r="E137" s="15" t="s">
        <v>35</v>
      </c>
      <c r="F137" s="15" t="s">
        <v>64</v>
      </c>
      <c r="G137" s="15" t="s">
        <v>35</v>
      </c>
      <c r="H137" s="15" t="s">
        <v>29</v>
      </c>
      <c r="I137" s="15" t="s">
        <v>100</v>
      </c>
      <c r="J137" s="15">
        <v>6</v>
      </c>
      <c r="K137" s="15">
        <v>8</v>
      </c>
      <c r="L137" s="15">
        <v>1</v>
      </c>
      <c r="M137" s="15"/>
      <c r="N137" s="15"/>
      <c r="O137" s="15"/>
      <c r="P137" s="15"/>
      <c r="Q137" s="15" t="s">
        <v>90</v>
      </c>
      <c r="R137" s="15">
        <v>80</v>
      </c>
      <c r="S137" s="15">
        <v>40</v>
      </c>
    </row>
    <row r="138" spans="2:19" x14ac:dyDescent="0.35">
      <c r="B138" s="15" t="s">
        <v>370</v>
      </c>
      <c r="C138" s="15" t="s">
        <v>371</v>
      </c>
      <c r="D138" s="15" t="s">
        <v>372</v>
      </c>
      <c r="E138" s="15" t="s">
        <v>35</v>
      </c>
      <c r="F138" s="15" t="s">
        <v>64</v>
      </c>
      <c r="G138" s="15" t="s">
        <v>35</v>
      </c>
      <c r="H138" s="15" t="s">
        <v>84</v>
      </c>
      <c r="I138" s="15" t="s">
        <v>100</v>
      </c>
      <c r="J138" s="15">
        <v>2</v>
      </c>
      <c r="K138" s="15">
        <v>8</v>
      </c>
      <c r="L138" s="15">
        <v>1</v>
      </c>
      <c r="M138" s="15"/>
      <c r="N138" s="15"/>
      <c r="O138" s="15"/>
      <c r="P138" s="15"/>
      <c r="Q138" s="15" t="s">
        <v>90</v>
      </c>
      <c r="R138" s="15">
        <v>80</v>
      </c>
      <c r="S138" s="15">
        <v>40</v>
      </c>
    </row>
    <row r="139" spans="2:19" x14ac:dyDescent="0.35">
      <c r="B139" s="15" t="s">
        <v>373</v>
      </c>
      <c r="C139" s="15" t="s">
        <v>374</v>
      </c>
      <c r="D139" s="15" t="s">
        <v>375</v>
      </c>
      <c r="E139" s="15" t="s">
        <v>35</v>
      </c>
      <c r="F139" s="15" t="s">
        <v>64</v>
      </c>
      <c r="G139" s="15" t="s">
        <v>35</v>
      </c>
      <c r="H139" s="15" t="s">
        <v>90</v>
      </c>
      <c r="I139" s="15" t="s">
        <v>100</v>
      </c>
      <c r="J139" s="15">
        <v>2</v>
      </c>
      <c r="K139" s="15">
        <v>8</v>
      </c>
      <c r="L139" s="15">
        <v>1</v>
      </c>
      <c r="M139" s="15"/>
      <c r="N139" s="15"/>
      <c r="O139" s="15"/>
      <c r="P139" s="15"/>
      <c r="Q139" s="15" t="s">
        <v>90</v>
      </c>
      <c r="R139" s="15">
        <v>80</v>
      </c>
      <c r="S139" s="15">
        <v>40</v>
      </c>
    </row>
    <row r="140" spans="2:19" x14ac:dyDescent="0.35">
      <c r="B140" s="15" t="s">
        <v>376</v>
      </c>
      <c r="C140" s="15" t="s">
        <v>377</v>
      </c>
      <c r="D140" s="15" t="s">
        <v>378</v>
      </c>
      <c r="E140" s="15" t="s">
        <v>35</v>
      </c>
      <c r="F140" s="15" t="s">
        <v>66</v>
      </c>
      <c r="G140" s="15" t="s">
        <v>35</v>
      </c>
      <c r="H140" s="15" t="s">
        <v>27</v>
      </c>
      <c r="I140" s="15" t="s">
        <v>100</v>
      </c>
      <c r="J140" s="15">
        <v>5</v>
      </c>
      <c r="K140" s="15">
        <v>8</v>
      </c>
      <c r="L140" s="15">
        <v>1</v>
      </c>
      <c r="M140" s="15"/>
      <c r="N140" s="15"/>
      <c r="O140" s="15"/>
      <c r="P140" s="15"/>
      <c r="Q140" s="15" t="s">
        <v>90</v>
      </c>
      <c r="R140" s="15">
        <v>80</v>
      </c>
      <c r="S140" s="15">
        <v>40</v>
      </c>
    </row>
    <row r="141" spans="2:19" x14ac:dyDescent="0.35">
      <c r="B141" s="15" t="s">
        <v>379</v>
      </c>
      <c r="C141" s="15" t="s">
        <v>380</v>
      </c>
      <c r="D141" s="15" t="s">
        <v>381</v>
      </c>
      <c r="E141" s="15" t="s">
        <v>35</v>
      </c>
      <c r="F141" s="15" t="s">
        <v>66</v>
      </c>
      <c r="G141" s="15" t="s">
        <v>35</v>
      </c>
      <c r="H141" s="15" t="s">
        <v>29</v>
      </c>
      <c r="I141" s="15" t="s">
        <v>100</v>
      </c>
      <c r="J141" s="15">
        <v>6</v>
      </c>
      <c r="K141" s="15">
        <v>8</v>
      </c>
      <c r="L141" s="15">
        <v>1</v>
      </c>
      <c r="M141" s="15"/>
      <c r="N141" s="15"/>
      <c r="O141" s="15"/>
      <c r="P141" s="15"/>
      <c r="Q141" s="15" t="s">
        <v>90</v>
      </c>
      <c r="R141" s="15">
        <v>80</v>
      </c>
      <c r="S141" s="15">
        <v>40</v>
      </c>
    </row>
    <row r="142" spans="2:19" x14ac:dyDescent="0.35">
      <c r="B142" s="15" t="s">
        <v>382</v>
      </c>
      <c r="C142" s="15" t="s">
        <v>383</v>
      </c>
      <c r="D142" s="15" t="s">
        <v>384</v>
      </c>
      <c r="E142" s="15" t="s">
        <v>35</v>
      </c>
      <c r="F142" s="15" t="s">
        <v>66</v>
      </c>
      <c r="G142" s="15" t="s">
        <v>35</v>
      </c>
      <c r="H142" s="15" t="s">
        <v>84</v>
      </c>
      <c r="I142" s="15" t="s">
        <v>100</v>
      </c>
      <c r="J142" s="15">
        <v>3</v>
      </c>
      <c r="K142" s="15">
        <v>8</v>
      </c>
      <c r="L142" s="15">
        <v>1</v>
      </c>
      <c r="M142" s="15"/>
      <c r="N142" s="15"/>
      <c r="O142" s="15"/>
      <c r="P142" s="15"/>
      <c r="Q142" s="15" t="s">
        <v>90</v>
      </c>
      <c r="R142" s="15">
        <v>80</v>
      </c>
      <c r="S142" s="15">
        <v>40</v>
      </c>
    </row>
    <row r="143" spans="2:19" x14ac:dyDescent="0.35">
      <c r="B143" s="15" t="s">
        <v>385</v>
      </c>
      <c r="C143" s="15" t="s">
        <v>386</v>
      </c>
      <c r="D143" s="15" t="s">
        <v>387</v>
      </c>
      <c r="E143" s="15" t="s">
        <v>35</v>
      </c>
      <c r="F143" s="15" t="s">
        <v>66</v>
      </c>
      <c r="G143" s="15" t="s">
        <v>35</v>
      </c>
      <c r="H143" s="15" t="s">
        <v>90</v>
      </c>
      <c r="I143" s="15" t="s">
        <v>100</v>
      </c>
      <c r="J143" s="15">
        <v>3</v>
      </c>
      <c r="K143" s="15">
        <v>8</v>
      </c>
      <c r="L143" s="15">
        <v>1</v>
      </c>
      <c r="M143" s="15"/>
      <c r="N143" s="15"/>
      <c r="O143" s="15"/>
      <c r="P143" s="15"/>
      <c r="Q143" s="15" t="s">
        <v>90</v>
      </c>
      <c r="R143" s="15">
        <v>80</v>
      </c>
      <c r="S143" s="15">
        <v>40</v>
      </c>
    </row>
    <row r="144" spans="2:19" x14ac:dyDescent="0.35">
      <c r="B144" s="15" t="s">
        <v>388</v>
      </c>
      <c r="C144" s="15" t="s">
        <v>389</v>
      </c>
      <c r="D144" s="15" t="s">
        <v>390</v>
      </c>
      <c r="E144" s="15" t="s">
        <v>35</v>
      </c>
      <c r="F144" s="15" t="s">
        <v>68</v>
      </c>
      <c r="G144" s="15" t="s">
        <v>35</v>
      </c>
      <c r="H144" s="15" t="s">
        <v>27</v>
      </c>
      <c r="I144" s="15" t="s">
        <v>100</v>
      </c>
      <c r="J144" s="15">
        <v>5</v>
      </c>
      <c r="K144" s="15">
        <v>8</v>
      </c>
      <c r="L144" s="15">
        <v>1</v>
      </c>
      <c r="M144" s="15"/>
      <c r="N144" s="15"/>
      <c r="O144" s="15"/>
      <c r="P144" s="15"/>
      <c r="Q144" s="15" t="s">
        <v>90</v>
      </c>
      <c r="R144" s="15">
        <v>80</v>
      </c>
      <c r="S144" s="15">
        <v>40</v>
      </c>
    </row>
    <row r="145" spans="2:19" x14ac:dyDescent="0.35">
      <c r="B145" s="15" t="s">
        <v>391</v>
      </c>
      <c r="C145" s="15" t="s">
        <v>392</v>
      </c>
      <c r="D145" s="15" t="s">
        <v>393</v>
      </c>
      <c r="E145" s="15" t="s">
        <v>35</v>
      </c>
      <c r="F145" s="15" t="s">
        <v>68</v>
      </c>
      <c r="G145" s="15" t="s">
        <v>35</v>
      </c>
      <c r="H145" s="15" t="s">
        <v>29</v>
      </c>
      <c r="I145" s="15" t="s">
        <v>100</v>
      </c>
      <c r="J145" s="15">
        <v>6</v>
      </c>
      <c r="K145" s="15">
        <v>8</v>
      </c>
      <c r="L145" s="15">
        <v>1</v>
      </c>
      <c r="M145" s="15"/>
      <c r="N145" s="15"/>
      <c r="O145" s="15"/>
      <c r="P145" s="15"/>
      <c r="Q145" s="15" t="s">
        <v>90</v>
      </c>
      <c r="R145" s="15">
        <v>80</v>
      </c>
      <c r="S145" s="15">
        <v>40</v>
      </c>
    </row>
    <row r="146" spans="2:19" x14ac:dyDescent="0.35">
      <c r="B146" s="15" t="s">
        <v>394</v>
      </c>
      <c r="C146" s="15" t="s">
        <v>395</v>
      </c>
      <c r="D146" s="15" t="s">
        <v>396</v>
      </c>
      <c r="E146" s="15" t="s">
        <v>35</v>
      </c>
      <c r="F146" s="15" t="s">
        <v>68</v>
      </c>
      <c r="G146" s="15" t="s">
        <v>35</v>
      </c>
      <c r="H146" s="15" t="s">
        <v>84</v>
      </c>
      <c r="I146" s="15" t="s">
        <v>100</v>
      </c>
      <c r="J146" s="15">
        <v>3</v>
      </c>
      <c r="K146" s="15">
        <v>8</v>
      </c>
      <c r="L146" s="15">
        <v>1</v>
      </c>
      <c r="M146" s="15"/>
      <c r="N146" s="15"/>
      <c r="O146" s="15"/>
      <c r="P146" s="15"/>
      <c r="Q146" s="15" t="s">
        <v>90</v>
      </c>
      <c r="R146" s="15">
        <v>80</v>
      </c>
      <c r="S146" s="15">
        <v>40</v>
      </c>
    </row>
    <row r="147" spans="2:19" x14ac:dyDescent="0.35">
      <c r="B147" s="15" t="s">
        <v>397</v>
      </c>
      <c r="C147" s="15" t="s">
        <v>398</v>
      </c>
      <c r="D147" s="15" t="s">
        <v>399</v>
      </c>
      <c r="E147" s="15" t="s">
        <v>35</v>
      </c>
      <c r="F147" s="15" t="s">
        <v>68</v>
      </c>
      <c r="G147" s="15" t="s">
        <v>35</v>
      </c>
      <c r="H147" s="15" t="s">
        <v>90</v>
      </c>
      <c r="I147" s="15" t="s">
        <v>100</v>
      </c>
      <c r="J147" s="15">
        <v>3</v>
      </c>
      <c r="K147" s="15">
        <v>8</v>
      </c>
      <c r="L147" s="15">
        <v>1</v>
      </c>
      <c r="M147" s="15"/>
      <c r="N147" s="15"/>
      <c r="O147" s="15"/>
      <c r="P147" s="15"/>
      <c r="Q147" s="15" t="s">
        <v>90</v>
      </c>
      <c r="R147" s="15">
        <v>80</v>
      </c>
      <c r="S147" s="15">
        <v>40</v>
      </c>
    </row>
    <row r="148" spans="2:19" x14ac:dyDescent="0.35">
      <c r="B148" s="15" t="s">
        <v>400</v>
      </c>
      <c r="C148" s="15" t="s">
        <v>400</v>
      </c>
      <c r="D148" s="15" t="s">
        <v>401</v>
      </c>
      <c r="E148" s="15" t="s">
        <v>35</v>
      </c>
      <c r="F148" s="15" t="s">
        <v>78</v>
      </c>
      <c r="G148" s="15" t="s">
        <v>35</v>
      </c>
      <c r="H148" s="15" t="s">
        <v>27</v>
      </c>
      <c r="I148" s="15" t="s">
        <v>100</v>
      </c>
      <c r="J148" s="15">
        <v>7</v>
      </c>
      <c r="K148" s="15">
        <v>8</v>
      </c>
      <c r="L148" s="15">
        <v>1</v>
      </c>
      <c r="M148" s="15"/>
      <c r="N148" s="15"/>
      <c r="O148" s="15"/>
      <c r="P148" s="15"/>
      <c r="Q148" s="15" t="s">
        <v>90</v>
      </c>
      <c r="R148" s="15">
        <v>80</v>
      </c>
      <c r="S148" s="15">
        <v>40</v>
      </c>
    </row>
    <row r="149" spans="2:19" x14ac:dyDescent="0.35">
      <c r="B149" s="15" t="s">
        <v>402</v>
      </c>
      <c r="C149" s="15" t="s">
        <v>402</v>
      </c>
      <c r="D149" s="15" t="s">
        <v>403</v>
      </c>
      <c r="E149" s="15" t="s">
        <v>35</v>
      </c>
      <c r="F149" s="15" t="s">
        <v>78</v>
      </c>
      <c r="G149" s="15" t="s">
        <v>35</v>
      </c>
      <c r="H149" s="15" t="s">
        <v>86</v>
      </c>
      <c r="I149" s="15" t="s">
        <v>100</v>
      </c>
      <c r="J149" s="15">
        <v>5</v>
      </c>
      <c r="K149" s="15">
        <v>8</v>
      </c>
      <c r="L149" s="15">
        <v>1</v>
      </c>
      <c r="M149" s="15"/>
      <c r="N149" s="15"/>
      <c r="O149" s="15"/>
      <c r="P149" s="15"/>
      <c r="Q149" s="15" t="s">
        <v>90</v>
      </c>
      <c r="R149" s="15">
        <v>80</v>
      </c>
      <c r="S149" s="15">
        <v>40</v>
      </c>
    </row>
    <row r="150" spans="2:19" x14ac:dyDescent="0.35">
      <c r="B150" s="15" t="s">
        <v>404</v>
      </c>
      <c r="C150" s="15" t="s">
        <v>404</v>
      </c>
      <c r="D150" s="15" t="s">
        <v>405</v>
      </c>
      <c r="E150" s="15" t="s">
        <v>35</v>
      </c>
      <c r="F150" s="15" t="s">
        <v>78</v>
      </c>
      <c r="G150" s="15" t="s">
        <v>35</v>
      </c>
      <c r="H150" s="15" t="s">
        <v>60</v>
      </c>
      <c r="I150" s="15" t="s">
        <v>100</v>
      </c>
      <c r="J150" s="15">
        <v>5</v>
      </c>
      <c r="K150" s="15">
        <v>8</v>
      </c>
      <c r="L150" s="15">
        <v>1</v>
      </c>
      <c r="M150" s="15"/>
      <c r="N150" s="15"/>
      <c r="O150" s="15"/>
      <c r="P150" s="15"/>
      <c r="Q150" s="15" t="s">
        <v>90</v>
      </c>
      <c r="R150" s="15">
        <v>80</v>
      </c>
      <c r="S150" s="15">
        <v>40</v>
      </c>
    </row>
    <row r="151" spans="2:19" x14ac:dyDescent="0.35">
      <c r="B151" s="15" t="s">
        <v>406</v>
      </c>
      <c r="C151" s="15" t="s">
        <v>406</v>
      </c>
      <c r="D151" s="15" t="s">
        <v>407</v>
      </c>
      <c r="E151" s="15" t="s">
        <v>35</v>
      </c>
      <c r="F151" s="15" t="s">
        <v>70</v>
      </c>
      <c r="G151" s="15" t="s">
        <v>35</v>
      </c>
      <c r="H151" s="15" t="s">
        <v>27</v>
      </c>
      <c r="I151" s="15" t="s">
        <v>100</v>
      </c>
      <c r="J151" s="15">
        <v>7</v>
      </c>
      <c r="K151" s="15">
        <v>8</v>
      </c>
      <c r="L151" s="15">
        <v>1</v>
      </c>
      <c r="M151" s="15"/>
      <c r="N151" s="15"/>
      <c r="O151" s="15"/>
      <c r="P151" s="15"/>
      <c r="Q151" s="15" t="s">
        <v>90</v>
      </c>
      <c r="R151" s="15">
        <v>80</v>
      </c>
      <c r="S151" s="15">
        <v>40</v>
      </c>
    </row>
    <row r="152" spans="2:19" x14ac:dyDescent="0.35">
      <c r="B152" s="15" t="s">
        <v>3</v>
      </c>
      <c r="C152" s="15" t="s">
        <v>3</v>
      </c>
      <c r="D152" s="15" t="s">
        <v>408</v>
      </c>
      <c r="E152" s="15" t="s">
        <v>35</v>
      </c>
      <c r="F152" s="15" t="s">
        <v>70</v>
      </c>
      <c r="G152" s="15" t="s">
        <v>35</v>
      </c>
      <c r="H152" s="15" t="s">
        <v>84</v>
      </c>
      <c r="I152" s="15" t="s">
        <v>100</v>
      </c>
      <c r="J152" s="15">
        <v>4</v>
      </c>
      <c r="K152" s="15">
        <v>8</v>
      </c>
      <c r="L152" s="15">
        <v>1</v>
      </c>
      <c r="M152" s="15"/>
      <c r="N152" s="15"/>
      <c r="O152" s="15"/>
      <c r="P152" s="15"/>
      <c r="Q152" s="15" t="s">
        <v>90</v>
      </c>
      <c r="R152" s="15">
        <v>80</v>
      </c>
      <c r="S152" s="15">
        <v>40</v>
      </c>
    </row>
    <row r="153" spans="2:19" x14ac:dyDescent="0.35">
      <c r="B153" s="15" t="s">
        <v>409</v>
      </c>
      <c r="C153" s="15" t="s">
        <v>409</v>
      </c>
      <c r="D153" s="15" t="s">
        <v>410</v>
      </c>
      <c r="E153" s="15" t="s">
        <v>35</v>
      </c>
      <c r="F153" s="15" t="s">
        <v>70</v>
      </c>
      <c r="G153" s="15" t="s">
        <v>35</v>
      </c>
      <c r="H153" s="15" t="s">
        <v>90</v>
      </c>
      <c r="I153" s="15" t="s">
        <v>100</v>
      </c>
      <c r="J153" s="15">
        <v>4</v>
      </c>
      <c r="K153" s="15">
        <v>8</v>
      </c>
      <c r="L153" s="15">
        <v>1</v>
      </c>
      <c r="M153" s="15"/>
      <c r="N153" s="15"/>
      <c r="O153" s="15"/>
      <c r="P153" s="15"/>
      <c r="Q153" s="15" t="s">
        <v>90</v>
      </c>
      <c r="R153" s="15">
        <v>80</v>
      </c>
      <c r="S153" s="15">
        <v>40</v>
      </c>
    </row>
    <row r="154" spans="2:19" x14ac:dyDescent="0.35">
      <c r="B154" s="15" t="s">
        <v>411</v>
      </c>
      <c r="C154" s="15" t="s">
        <v>411</v>
      </c>
      <c r="D154" s="15" t="s">
        <v>412</v>
      </c>
      <c r="E154" s="15" t="s">
        <v>35</v>
      </c>
      <c r="F154" s="15" t="s">
        <v>70</v>
      </c>
      <c r="G154" s="15" t="s">
        <v>35</v>
      </c>
      <c r="H154" s="15" t="s">
        <v>29</v>
      </c>
      <c r="I154" s="15" t="s">
        <v>100</v>
      </c>
      <c r="J154" s="15">
        <v>7</v>
      </c>
      <c r="K154" s="15">
        <v>8</v>
      </c>
      <c r="L154" s="15">
        <v>1</v>
      </c>
      <c r="M154" s="15"/>
      <c r="N154" s="15"/>
      <c r="O154" s="15"/>
      <c r="P154" s="15"/>
      <c r="Q154" s="15" t="s">
        <v>90</v>
      </c>
      <c r="R154" s="15">
        <v>80</v>
      </c>
      <c r="S154" s="15">
        <v>40</v>
      </c>
    </row>
    <row r="155" spans="2:19" x14ac:dyDescent="0.35">
      <c r="B155" s="15" t="s">
        <v>413</v>
      </c>
      <c r="C155" s="15" t="s">
        <v>414</v>
      </c>
      <c r="D155" s="15" t="s">
        <v>415</v>
      </c>
      <c r="E155" s="15" t="s">
        <v>35</v>
      </c>
      <c r="F155" s="15" t="s">
        <v>29</v>
      </c>
      <c r="G155" s="15" t="s">
        <v>35</v>
      </c>
      <c r="H155" s="15" t="s">
        <v>82</v>
      </c>
      <c r="I155" s="15" t="s">
        <v>100</v>
      </c>
      <c r="J155" s="15">
        <v>1</v>
      </c>
      <c r="K155" s="15">
        <v>8</v>
      </c>
      <c r="L155" s="15">
        <v>1</v>
      </c>
      <c r="M155" s="15"/>
      <c r="N155" s="15"/>
      <c r="O155" s="15"/>
      <c r="P155" s="15"/>
      <c r="Q155" s="15" t="s">
        <v>90</v>
      </c>
      <c r="R155" s="15">
        <v>80</v>
      </c>
      <c r="S155" s="15">
        <v>40</v>
      </c>
    </row>
    <row r="156" spans="2:19" x14ac:dyDescent="0.35">
      <c r="B156" s="15" t="s">
        <v>416</v>
      </c>
      <c r="C156" s="15" t="s">
        <v>417</v>
      </c>
      <c r="D156" s="15"/>
      <c r="E156" s="15" t="s">
        <v>35</v>
      </c>
      <c r="F156" s="15" t="s">
        <v>29</v>
      </c>
      <c r="G156" s="15" t="s">
        <v>35</v>
      </c>
      <c r="H156" s="15" t="s">
        <v>82</v>
      </c>
      <c r="I156" s="15" t="s">
        <v>100</v>
      </c>
      <c r="J156" s="15">
        <v>3</v>
      </c>
      <c r="K156" s="15">
        <v>8</v>
      </c>
      <c r="L156" s="15">
        <v>1</v>
      </c>
      <c r="M156" s="15"/>
      <c r="N156" s="15"/>
      <c r="O156" s="15"/>
      <c r="P156" s="15"/>
      <c r="Q156" s="15" t="s">
        <v>90</v>
      </c>
      <c r="R156" s="15">
        <v>80</v>
      </c>
      <c r="S156" s="15">
        <v>40</v>
      </c>
    </row>
    <row r="157" spans="2:19" x14ac:dyDescent="0.35">
      <c r="B157" s="15" t="s">
        <v>0</v>
      </c>
      <c r="C157" s="15" t="s">
        <v>98</v>
      </c>
      <c r="D157" s="15" t="s">
        <v>99</v>
      </c>
      <c r="E157" s="15" t="s">
        <v>35</v>
      </c>
      <c r="F157" s="15" t="s">
        <v>29</v>
      </c>
      <c r="G157" s="15" t="s">
        <v>35</v>
      </c>
      <c r="H157" s="15" t="s">
        <v>84</v>
      </c>
      <c r="I157" s="15" t="s">
        <v>100</v>
      </c>
      <c r="J157" s="15">
        <v>1</v>
      </c>
      <c r="K157" s="15">
        <v>8</v>
      </c>
      <c r="L157" s="15">
        <v>1</v>
      </c>
      <c r="M157" s="15"/>
      <c r="N157" s="15"/>
      <c r="O157" s="15"/>
      <c r="P157" s="15"/>
      <c r="Q157" s="15" t="s">
        <v>90</v>
      </c>
      <c r="R157" s="15">
        <v>80</v>
      </c>
      <c r="S157" s="15">
        <v>40</v>
      </c>
    </row>
    <row r="158" spans="2:19" x14ac:dyDescent="0.35">
      <c r="B158" s="15" t="s">
        <v>418</v>
      </c>
      <c r="C158" s="15" t="s">
        <v>419</v>
      </c>
      <c r="D158" s="15"/>
      <c r="E158" s="15" t="s">
        <v>35</v>
      </c>
      <c r="F158" s="15" t="s">
        <v>29</v>
      </c>
      <c r="G158" s="15" t="s">
        <v>35</v>
      </c>
      <c r="H158" s="15" t="s">
        <v>84</v>
      </c>
      <c r="I158" s="15" t="s">
        <v>100</v>
      </c>
      <c r="J158" s="15">
        <v>2</v>
      </c>
      <c r="K158" s="15">
        <v>8</v>
      </c>
      <c r="L158" s="15">
        <v>1</v>
      </c>
      <c r="M158" s="15"/>
      <c r="N158" s="15"/>
      <c r="O158" s="15"/>
      <c r="P158" s="15"/>
      <c r="Q158" s="15" t="s">
        <v>90</v>
      </c>
      <c r="R158" s="15">
        <v>80</v>
      </c>
      <c r="S158" s="15">
        <v>40</v>
      </c>
    </row>
    <row r="159" spans="2:19" x14ac:dyDescent="0.35">
      <c r="B159" s="15" t="s">
        <v>420</v>
      </c>
      <c r="C159" s="15" t="s">
        <v>421</v>
      </c>
      <c r="D159" s="15" t="s">
        <v>422</v>
      </c>
      <c r="E159" s="15" t="s">
        <v>35</v>
      </c>
      <c r="F159" s="15" t="s">
        <v>29</v>
      </c>
      <c r="G159" s="15" t="s">
        <v>35</v>
      </c>
      <c r="H159" s="15" t="s">
        <v>86</v>
      </c>
      <c r="I159" s="15" t="s">
        <v>100</v>
      </c>
      <c r="J159" s="15">
        <v>1</v>
      </c>
      <c r="K159" s="15">
        <v>8</v>
      </c>
      <c r="L159" s="15">
        <v>1</v>
      </c>
      <c r="M159" s="15"/>
      <c r="N159" s="15"/>
      <c r="O159" s="15"/>
      <c r="P159" s="15"/>
      <c r="Q159" s="15" t="s">
        <v>90</v>
      </c>
      <c r="R159" s="15">
        <v>80</v>
      </c>
      <c r="S159" s="15">
        <v>40</v>
      </c>
    </row>
    <row r="160" spans="2:19" x14ac:dyDescent="0.35">
      <c r="B160" s="15" t="s">
        <v>423</v>
      </c>
      <c r="C160" s="15" t="s">
        <v>424</v>
      </c>
      <c r="D160" s="15"/>
      <c r="E160" s="15" t="s">
        <v>35</v>
      </c>
      <c r="F160" s="15" t="s">
        <v>29</v>
      </c>
      <c r="G160" s="15" t="s">
        <v>35</v>
      </c>
      <c r="H160" s="15" t="s">
        <v>86</v>
      </c>
      <c r="I160" s="15" t="s">
        <v>100</v>
      </c>
      <c r="J160" s="15">
        <v>3</v>
      </c>
      <c r="K160" s="15">
        <v>8</v>
      </c>
      <c r="L160" s="15">
        <v>1</v>
      </c>
      <c r="M160" s="15"/>
      <c r="N160" s="15"/>
      <c r="O160" s="15"/>
      <c r="P160" s="15"/>
      <c r="Q160" s="15" t="s">
        <v>90</v>
      </c>
      <c r="R160" s="15">
        <v>80</v>
      </c>
      <c r="S160" s="15">
        <v>40</v>
      </c>
    </row>
    <row r="161" spans="2:19" x14ac:dyDescent="0.35">
      <c r="B161" s="15" t="s">
        <v>425</v>
      </c>
      <c r="C161" s="15" t="s">
        <v>426</v>
      </c>
      <c r="D161" s="15" t="s">
        <v>427</v>
      </c>
      <c r="E161" s="15" t="s">
        <v>35</v>
      </c>
      <c r="F161" s="15" t="s">
        <v>29</v>
      </c>
      <c r="G161" s="15" t="s">
        <v>35</v>
      </c>
      <c r="H161" s="15" t="s">
        <v>88</v>
      </c>
      <c r="I161" s="15" t="s">
        <v>100</v>
      </c>
      <c r="J161" s="15">
        <v>0</v>
      </c>
      <c r="K161" s="15">
        <v>8</v>
      </c>
      <c r="L161" s="15">
        <v>1</v>
      </c>
      <c r="M161" s="15"/>
      <c r="N161" s="15"/>
      <c r="O161" s="15"/>
      <c r="P161" s="15"/>
      <c r="Q161" s="15" t="s">
        <v>90</v>
      </c>
      <c r="R161" s="15">
        <v>80</v>
      </c>
      <c r="S161" s="15">
        <v>40</v>
      </c>
    </row>
    <row r="162" spans="2:19" x14ac:dyDescent="0.35">
      <c r="B162" s="15" t="s">
        <v>428</v>
      </c>
      <c r="C162" s="15" t="s">
        <v>429</v>
      </c>
      <c r="D162" s="15"/>
      <c r="E162" s="15" t="s">
        <v>35</v>
      </c>
      <c r="F162" s="15" t="s">
        <v>29</v>
      </c>
      <c r="G162" s="15" t="s">
        <v>35</v>
      </c>
      <c r="H162" s="15" t="s">
        <v>88</v>
      </c>
      <c r="I162" s="15" t="s">
        <v>100</v>
      </c>
      <c r="J162" s="15">
        <v>1</v>
      </c>
      <c r="K162" s="15">
        <v>8</v>
      </c>
      <c r="L162" s="15">
        <v>1</v>
      </c>
      <c r="M162" s="15"/>
      <c r="N162" s="15"/>
      <c r="O162" s="15"/>
      <c r="P162" s="15"/>
      <c r="Q162" s="15" t="s">
        <v>90</v>
      </c>
      <c r="R162" s="15">
        <v>80</v>
      </c>
      <c r="S162" s="15">
        <v>40</v>
      </c>
    </row>
    <row r="163" spans="2:19" x14ac:dyDescent="0.35">
      <c r="B163" s="15" t="s">
        <v>430</v>
      </c>
      <c r="C163" s="15" t="s">
        <v>431</v>
      </c>
      <c r="D163" s="15" t="s">
        <v>432</v>
      </c>
      <c r="E163" s="15" t="s">
        <v>35</v>
      </c>
      <c r="F163" s="15" t="s">
        <v>29</v>
      </c>
      <c r="G163" s="15" t="s">
        <v>35</v>
      </c>
      <c r="H163" s="15" t="s">
        <v>90</v>
      </c>
      <c r="I163" s="15" t="s">
        <v>100</v>
      </c>
      <c r="J163" s="15">
        <v>1</v>
      </c>
      <c r="K163" s="15">
        <v>8</v>
      </c>
      <c r="L163" s="15">
        <v>1</v>
      </c>
      <c r="M163" s="15"/>
      <c r="N163" s="15"/>
      <c r="O163" s="15"/>
      <c r="P163" s="15"/>
      <c r="Q163" s="15" t="s">
        <v>90</v>
      </c>
      <c r="R163" s="15">
        <v>80</v>
      </c>
      <c r="S163" s="15">
        <v>40</v>
      </c>
    </row>
    <row r="164" spans="2:19" x14ac:dyDescent="0.35">
      <c r="B164" s="15" t="s">
        <v>433</v>
      </c>
      <c r="C164" s="15" t="s">
        <v>434</v>
      </c>
      <c r="D164" s="15"/>
      <c r="E164" s="15" t="s">
        <v>35</v>
      </c>
      <c r="F164" s="15" t="s">
        <v>29</v>
      </c>
      <c r="G164" s="15" t="s">
        <v>35</v>
      </c>
      <c r="H164" s="15" t="s">
        <v>90</v>
      </c>
      <c r="I164" s="15" t="s">
        <v>100</v>
      </c>
      <c r="J164" s="15">
        <v>3</v>
      </c>
      <c r="K164" s="15">
        <v>8</v>
      </c>
      <c r="L164" s="15">
        <v>1</v>
      </c>
      <c r="M164" s="15"/>
      <c r="N164" s="15"/>
      <c r="O164" s="15"/>
      <c r="P164" s="15"/>
      <c r="Q164" s="15" t="s">
        <v>90</v>
      </c>
      <c r="R164" s="15">
        <v>80</v>
      </c>
      <c r="S164" s="15">
        <v>40</v>
      </c>
    </row>
    <row r="165" spans="2:19" x14ac:dyDescent="0.35">
      <c r="B165" s="15" t="s">
        <v>435</v>
      </c>
      <c r="C165" s="15" t="s">
        <v>436</v>
      </c>
      <c r="D165" s="15" t="s">
        <v>437</v>
      </c>
      <c r="E165" s="15" t="s">
        <v>35</v>
      </c>
      <c r="F165" s="15" t="s">
        <v>72</v>
      </c>
      <c r="G165" s="15" t="s">
        <v>35</v>
      </c>
      <c r="H165" s="15" t="s">
        <v>29</v>
      </c>
      <c r="I165" s="15" t="s">
        <v>100</v>
      </c>
      <c r="J165" s="15">
        <v>8</v>
      </c>
      <c r="K165" s="15">
        <v>8</v>
      </c>
      <c r="L165" s="15">
        <v>1</v>
      </c>
      <c r="M165" s="15"/>
      <c r="N165" s="15"/>
      <c r="O165" s="15"/>
      <c r="P165" s="15"/>
      <c r="Q165" s="15" t="s">
        <v>90</v>
      </c>
      <c r="R165" s="15">
        <v>80</v>
      </c>
      <c r="S165" s="15">
        <v>40</v>
      </c>
    </row>
    <row r="166" spans="2:19" x14ac:dyDescent="0.35">
      <c r="B166" s="15" t="s">
        <v>438</v>
      </c>
      <c r="C166" s="15" t="s">
        <v>439</v>
      </c>
      <c r="D166" s="15" t="s">
        <v>440</v>
      </c>
      <c r="E166" s="15" t="s">
        <v>35</v>
      </c>
      <c r="F166" s="15" t="s">
        <v>74</v>
      </c>
      <c r="G166" s="15" t="s">
        <v>35</v>
      </c>
      <c r="H166" s="15" t="s">
        <v>29</v>
      </c>
      <c r="I166" s="15" t="s">
        <v>100</v>
      </c>
      <c r="J166" s="15">
        <v>8</v>
      </c>
      <c r="K166" s="15">
        <v>8</v>
      </c>
      <c r="L166" s="15">
        <v>1</v>
      </c>
      <c r="M166" s="15"/>
      <c r="N166" s="15"/>
      <c r="O166" s="15"/>
      <c r="P166" s="15"/>
      <c r="Q166" s="15" t="s">
        <v>90</v>
      </c>
      <c r="R166" s="15">
        <v>80</v>
      </c>
      <c r="S166" s="15">
        <v>40</v>
      </c>
    </row>
    <row r="167" spans="2:19" x14ac:dyDescent="0.35">
      <c r="B167" s="15" t="s">
        <v>441</v>
      </c>
      <c r="C167" s="15" t="s">
        <v>442</v>
      </c>
      <c r="D167" s="15" t="s">
        <v>443</v>
      </c>
      <c r="E167" s="15" t="s">
        <v>35</v>
      </c>
      <c r="F167" s="15" t="s">
        <v>74</v>
      </c>
      <c r="G167" s="15" t="s">
        <v>35</v>
      </c>
      <c r="H167" s="15" t="s">
        <v>84</v>
      </c>
      <c r="I167" s="15" t="s">
        <v>100</v>
      </c>
      <c r="J167" s="15">
        <v>6</v>
      </c>
      <c r="K167" s="15">
        <v>8</v>
      </c>
      <c r="L167" s="15">
        <v>1</v>
      </c>
      <c r="M167" s="15"/>
      <c r="N167" s="15"/>
      <c r="O167" s="15"/>
      <c r="P167" s="15"/>
      <c r="Q167" s="15" t="s">
        <v>90</v>
      </c>
      <c r="R167" s="15">
        <v>80</v>
      </c>
      <c r="S167" s="15">
        <v>40</v>
      </c>
    </row>
    <row r="168" spans="2:19" x14ac:dyDescent="0.35">
      <c r="B168" s="15" t="s">
        <v>444</v>
      </c>
      <c r="C168" s="15" t="s">
        <v>445</v>
      </c>
      <c r="D168" s="15" t="s">
        <v>446</v>
      </c>
      <c r="E168" s="15" t="s">
        <v>35</v>
      </c>
      <c r="F168" s="15" t="s">
        <v>74</v>
      </c>
      <c r="G168" s="15" t="s">
        <v>35</v>
      </c>
      <c r="H168" s="15" t="s">
        <v>90</v>
      </c>
      <c r="I168" s="15" t="s">
        <v>100</v>
      </c>
      <c r="J168" s="15">
        <v>6</v>
      </c>
      <c r="K168" s="15">
        <v>8</v>
      </c>
      <c r="L168" s="15">
        <v>1</v>
      </c>
      <c r="M168" s="15"/>
      <c r="N168" s="15"/>
      <c r="O168" s="15"/>
      <c r="P168" s="15"/>
      <c r="Q168" s="15" t="s">
        <v>90</v>
      </c>
      <c r="R168" s="15">
        <v>80</v>
      </c>
      <c r="S168" s="15">
        <v>40</v>
      </c>
    </row>
    <row r="169" spans="2:19" x14ac:dyDescent="0.35">
      <c r="B169" s="15" t="s">
        <v>447</v>
      </c>
      <c r="C169" s="15" t="s">
        <v>448</v>
      </c>
      <c r="D169" s="15" t="s">
        <v>449</v>
      </c>
      <c r="E169" s="15" t="s">
        <v>35</v>
      </c>
      <c r="F169" s="15" t="s">
        <v>76</v>
      </c>
      <c r="G169" s="15" t="s">
        <v>35</v>
      </c>
      <c r="H169" s="15" t="s">
        <v>29</v>
      </c>
      <c r="I169" s="15" t="s">
        <v>100</v>
      </c>
      <c r="J169" s="15">
        <v>6</v>
      </c>
      <c r="K169" s="15">
        <v>8</v>
      </c>
      <c r="L169" s="15">
        <v>1</v>
      </c>
      <c r="M169" s="15"/>
      <c r="N169" s="15"/>
      <c r="O169" s="15"/>
      <c r="P169" s="15"/>
      <c r="Q169" s="15" t="s">
        <v>90</v>
      </c>
      <c r="R169" s="15">
        <v>80</v>
      </c>
      <c r="S169" s="15">
        <v>40</v>
      </c>
    </row>
    <row r="170" spans="2:19" x14ac:dyDescent="0.35">
      <c r="B170" s="15" t="s">
        <v>450</v>
      </c>
      <c r="C170" s="15" t="s">
        <v>451</v>
      </c>
      <c r="D170" s="15" t="s">
        <v>452</v>
      </c>
      <c r="E170" s="15" t="s">
        <v>35</v>
      </c>
      <c r="F170" s="15" t="s">
        <v>76</v>
      </c>
      <c r="G170" s="15" t="s">
        <v>35</v>
      </c>
      <c r="H170" s="15" t="s">
        <v>84</v>
      </c>
      <c r="I170" s="15" t="s">
        <v>100</v>
      </c>
      <c r="J170" s="15">
        <v>2</v>
      </c>
      <c r="K170" s="15">
        <v>8</v>
      </c>
      <c r="L170" s="15">
        <v>1</v>
      </c>
      <c r="M170" s="15"/>
      <c r="N170" s="15"/>
      <c r="O170" s="15"/>
      <c r="P170" s="15"/>
      <c r="Q170" s="15" t="s">
        <v>90</v>
      </c>
      <c r="R170" s="15">
        <v>80</v>
      </c>
      <c r="S170" s="15">
        <v>40</v>
      </c>
    </row>
    <row r="171" spans="2:19" x14ac:dyDescent="0.35">
      <c r="B171" s="15" t="s">
        <v>453</v>
      </c>
      <c r="C171" s="15" t="s">
        <v>454</v>
      </c>
      <c r="D171" s="15" t="s">
        <v>455</v>
      </c>
      <c r="E171" s="15" t="s">
        <v>35</v>
      </c>
      <c r="F171" s="15" t="s">
        <v>76</v>
      </c>
      <c r="G171" s="15" t="s">
        <v>35</v>
      </c>
      <c r="H171" s="15" t="s">
        <v>90</v>
      </c>
      <c r="I171" s="15" t="s">
        <v>100</v>
      </c>
      <c r="J171" s="15">
        <v>2</v>
      </c>
      <c r="K171" s="15">
        <v>8</v>
      </c>
      <c r="L171" s="15">
        <v>1</v>
      </c>
      <c r="M171" s="15"/>
      <c r="N171" s="15"/>
      <c r="O171" s="15"/>
      <c r="P171" s="15"/>
      <c r="Q171" s="15" t="s">
        <v>90</v>
      </c>
      <c r="R171" s="15">
        <v>80</v>
      </c>
      <c r="S171" s="15">
        <v>40</v>
      </c>
    </row>
    <row r="172" spans="2:19" x14ac:dyDescent="0.35">
      <c r="B172" s="15" t="s">
        <v>456</v>
      </c>
      <c r="C172" s="15" t="s">
        <v>457</v>
      </c>
      <c r="D172" s="15" t="s">
        <v>458</v>
      </c>
      <c r="E172" s="15" t="s">
        <v>35</v>
      </c>
      <c r="F172" s="15" t="s">
        <v>78</v>
      </c>
      <c r="G172" s="15" t="s">
        <v>35</v>
      </c>
      <c r="H172" s="15" t="s">
        <v>29</v>
      </c>
      <c r="I172" s="15" t="s">
        <v>100</v>
      </c>
      <c r="J172" s="15">
        <v>8</v>
      </c>
      <c r="K172" s="15">
        <v>8</v>
      </c>
      <c r="L172" s="15">
        <v>1</v>
      </c>
      <c r="M172" s="15"/>
      <c r="N172" s="15"/>
      <c r="O172" s="15"/>
      <c r="P172" s="15"/>
      <c r="Q172" s="15" t="s">
        <v>90</v>
      </c>
      <c r="R172" s="15">
        <v>80</v>
      </c>
      <c r="S172" s="15">
        <v>40</v>
      </c>
    </row>
    <row r="173" spans="2:19" x14ac:dyDescent="0.35">
      <c r="B173" s="15" t="s">
        <v>459</v>
      </c>
      <c r="C173" s="15" t="s">
        <v>460</v>
      </c>
      <c r="D173" s="15" t="s">
        <v>461</v>
      </c>
      <c r="E173" s="15" t="s">
        <v>35</v>
      </c>
      <c r="F173" s="15" t="s">
        <v>78</v>
      </c>
      <c r="G173" s="15" t="s">
        <v>35</v>
      </c>
      <c r="H173" s="15" t="s">
        <v>82</v>
      </c>
      <c r="I173" s="15" t="s">
        <v>100</v>
      </c>
      <c r="J173" s="15">
        <v>5</v>
      </c>
      <c r="K173" s="15">
        <v>8</v>
      </c>
      <c r="L173" s="15">
        <v>1</v>
      </c>
      <c r="M173" s="15"/>
      <c r="N173" s="15"/>
      <c r="O173" s="15"/>
      <c r="P173" s="15"/>
      <c r="Q173" s="15" t="s">
        <v>90</v>
      </c>
      <c r="R173" s="15">
        <v>80</v>
      </c>
      <c r="S173" s="15">
        <v>40</v>
      </c>
    </row>
    <row r="174" spans="2:19" x14ac:dyDescent="0.35">
      <c r="B174" s="15" t="s">
        <v>2</v>
      </c>
      <c r="C174" s="15" t="s">
        <v>462</v>
      </c>
      <c r="D174" s="15" t="s">
        <v>463</v>
      </c>
      <c r="E174" s="15" t="s">
        <v>35</v>
      </c>
      <c r="F174" s="15" t="s">
        <v>78</v>
      </c>
      <c r="G174" s="15" t="s">
        <v>35</v>
      </c>
      <c r="H174" s="15" t="s">
        <v>84</v>
      </c>
      <c r="I174" s="15" t="s">
        <v>100</v>
      </c>
      <c r="J174" s="15">
        <v>5</v>
      </c>
      <c r="K174" s="15">
        <v>8</v>
      </c>
      <c r="L174" s="15">
        <v>1</v>
      </c>
      <c r="M174" s="15"/>
      <c r="N174" s="15"/>
      <c r="O174" s="15"/>
      <c r="P174" s="15"/>
      <c r="Q174" s="15" t="s">
        <v>90</v>
      </c>
      <c r="R174" s="15">
        <v>80</v>
      </c>
      <c r="S174" s="15">
        <v>40</v>
      </c>
    </row>
    <row r="175" spans="2:19" x14ac:dyDescent="0.35">
      <c r="B175" s="15" t="s">
        <v>464</v>
      </c>
      <c r="C175" s="15" t="s">
        <v>465</v>
      </c>
      <c r="D175" s="15" t="s">
        <v>466</v>
      </c>
      <c r="E175" s="15" t="s">
        <v>35</v>
      </c>
      <c r="F175" s="15" t="s">
        <v>78</v>
      </c>
      <c r="G175" s="15" t="s">
        <v>35</v>
      </c>
      <c r="H175" s="15" t="s">
        <v>88</v>
      </c>
      <c r="I175" s="15" t="s">
        <v>100</v>
      </c>
      <c r="J175" s="15">
        <v>3</v>
      </c>
      <c r="K175" s="15">
        <v>8</v>
      </c>
      <c r="L175" s="15">
        <v>1</v>
      </c>
      <c r="M175" s="15"/>
      <c r="N175" s="15"/>
      <c r="O175" s="15"/>
      <c r="P175" s="15"/>
      <c r="Q175" s="15" t="s">
        <v>90</v>
      </c>
      <c r="R175" s="15">
        <v>80</v>
      </c>
      <c r="S175" s="15">
        <v>40</v>
      </c>
    </row>
    <row r="176" spans="2:19" x14ac:dyDescent="0.35">
      <c r="B176" s="15" t="s">
        <v>467</v>
      </c>
      <c r="C176" s="15" t="s">
        <v>468</v>
      </c>
      <c r="D176" s="15" t="s">
        <v>469</v>
      </c>
      <c r="E176" s="15" t="s">
        <v>35</v>
      </c>
      <c r="F176" s="15" t="s">
        <v>78</v>
      </c>
      <c r="G176" s="15" t="s">
        <v>35</v>
      </c>
      <c r="H176" s="15" t="s">
        <v>90</v>
      </c>
      <c r="I176" s="15" t="s">
        <v>100</v>
      </c>
      <c r="J176" s="15">
        <v>5</v>
      </c>
      <c r="K176" s="15">
        <v>8</v>
      </c>
      <c r="L176" s="15">
        <v>1</v>
      </c>
      <c r="M176" s="15"/>
      <c r="N176" s="15"/>
      <c r="O176" s="15"/>
      <c r="P176" s="15"/>
      <c r="Q176" s="15" t="s">
        <v>90</v>
      </c>
      <c r="R176" s="15">
        <v>80</v>
      </c>
      <c r="S176" s="15">
        <v>40</v>
      </c>
    </row>
    <row r="177" spans="2:19" x14ac:dyDescent="0.35">
      <c r="B177" s="15" t="s">
        <v>470</v>
      </c>
      <c r="C177" s="15" t="s">
        <v>471</v>
      </c>
      <c r="D177" s="15" t="s">
        <v>472</v>
      </c>
      <c r="E177" s="15" t="s">
        <v>35</v>
      </c>
      <c r="F177" s="15" t="s">
        <v>80</v>
      </c>
      <c r="G177" s="15" t="s">
        <v>35</v>
      </c>
      <c r="H177" s="15" t="s">
        <v>29</v>
      </c>
      <c r="I177" s="15" t="s">
        <v>100</v>
      </c>
      <c r="J177" s="15">
        <v>5</v>
      </c>
      <c r="K177" s="15">
        <v>8</v>
      </c>
      <c r="L177" s="15">
        <v>1</v>
      </c>
      <c r="M177" s="15"/>
      <c r="N177" s="15"/>
      <c r="O177" s="15"/>
      <c r="P177" s="15"/>
      <c r="Q177" s="15" t="s">
        <v>90</v>
      </c>
      <c r="R177" s="15">
        <v>80</v>
      </c>
      <c r="S177" s="15">
        <v>40</v>
      </c>
    </row>
    <row r="178" spans="2:19" x14ac:dyDescent="0.35">
      <c r="B178" s="15" t="s">
        <v>473</v>
      </c>
      <c r="C178" s="15" t="s">
        <v>474</v>
      </c>
      <c r="D178" s="15" t="s">
        <v>475</v>
      </c>
      <c r="E178" s="15" t="s">
        <v>35</v>
      </c>
      <c r="F178" s="15" t="s">
        <v>80</v>
      </c>
      <c r="G178" s="15" t="s">
        <v>35</v>
      </c>
      <c r="H178" s="15" t="s">
        <v>84</v>
      </c>
      <c r="I178" s="15" t="s">
        <v>100</v>
      </c>
      <c r="J178" s="15">
        <v>3</v>
      </c>
      <c r="K178" s="15">
        <v>8</v>
      </c>
      <c r="L178" s="15">
        <v>1</v>
      </c>
      <c r="M178" s="15"/>
      <c r="N178" s="15"/>
      <c r="O178" s="15"/>
      <c r="P178" s="15"/>
      <c r="Q178" s="15" t="s">
        <v>90</v>
      </c>
      <c r="R178" s="15">
        <v>80</v>
      </c>
      <c r="S178" s="15">
        <v>40</v>
      </c>
    </row>
    <row r="179" spans="2:19" x14ac:dyDescent="0.35">
      <c r="B179" s="15" t="s">
        <v>476</v>
      </c>
      <c r="C179" s="15" t="s">
        <v>477</v>
      </c>
      <c r="D179" s="15" t="s">
        <v>478</v>
      </c>
      <c r="E179" s="15" t="s">
        <v>35</v>
      </c>
      <c r="F179" s="15" t="s">
        <v>80</v>
      </c>
      <c r="G179" s="15" t="s">
        <v>35</v>
      </c>
      <c r="H179" s="15" t="s">
        <v>90</v>
      </c>
      <c r="I179" s="15" t="s">
        <v>100</v>
      </c>
      <c r="J179" s="15">
        <v>2</v>
      </c>
      <c r="K179" s="15">
        <v>8</v>
      </c>
      <c r="L179" s="15">
        <v>1</v>
      </c>
      <c r="M179" s="15"/>
      <c r="N179" s="15"/>
      <c r="O179" s="15"/>
      <c r="P179" s="15"/>
      <c r="Q179" s="15" t="s">
        <v>90</v>
      </c>
      <c r="R179" s="15">
        <v>80</v>
      </c>
      <c r="S179" s="15">
        <v>40</v>
      </c>
    </row>
    <row r="180" spans="2:19" x14ac:dyDescent="0.35">
      <c r="B180" s="15" t="s">
        <v>479</v>
      </c>
      <c r="C180" s="15" t="s">
        <v>480</v>
      </c>
      <c r="D180" s="15" t="s">
        <v>481</v>
      </c>
      <c r="E180" s="15" t="s">
        <v>35</v>
      </c>
      <c r="F180" s="15" t="s">
        <v>84</v>
      </c>
      <c r="G180" s="15" t="s">
        <v>35</v>
      </c>
      <c r="H180" s="15" t="s">
        <v>90</v>
      </c>
      <c r="I180" s="15" t="s">
        <v>100</v>
      </c>
      <c r="J180" s="15">
        <v>5</v>
      </c>
      <c r="K180" s="15">
        <v>8</v>
      </c>
      <c r="L180" s="15">
        <v>1</v>
      </c>
      <c r="M180" s="15"/>
      <c r="N180" s="15"/>
      <c r="O180" s="15"/>
      <c r="P180" s="15"/>
      <c r="Q180" s="15" t="s">
        <v>90</v>
      </c>
      <c r="R180" s="15">
        <v>80</v>
      </c>
      <c r="S180" s="15">
        <v>40</v>
      </c>
    </row>
    <row r="181" spans="2:19" x14ac:dyDescent="0.35">
      <c r="B181" s="15" t="s">
        <v>482</v>
      </c>
      <c r="C181" s="15" t="s">
        <v>483</v>
      </c>
      <c r="D181" s="15" t="s">
        <v>484</v>
      </c>
      <c r="E181" s="15" t="s">
        <v>35</v>
      </c>
      <c r="F181" s="15" t="s">
        <v>86</v>
      </c>
      <c r="G181" s="15" t="s">
        <v>35</v>
      </c>
      <c r="H181" s="15" t="s">
        <v>90</v>
      </c>
      <c r="I181" s="15" t="s">
        <v>100</v>
      </c>
      <c r="J181" s="15">
        <v>5</v>
      </c>
      <c r="K181" s="15">
        <v>8</v>
      </c>
      <c r="L181" s="15">
        <v>1</v>
      </c>
      <c r="M181" s="15"/>
      <c r="N181" s="15"/>
      <c r="O181" s="15"/>
      <c r="P181" s="15"/>
      <c r="Q181" s="15" t="s">
        <v>90</v>
      </c>
      <c r="R181" s="15">
        <v>80</v>
      </c>
      <c r="S181" s="15">
        <v>40</v>
      </c>
    </row>
    <row r="182" spans="2:19" x14ac:dyDescent="0.35">
      <c r="B182" s="15" t="s">
        <v>485</v>
      </c>
      <c r="C182" s="15" t="s">
        <v>486</v>
      </c>
      <c r="D182" s="15" t="s">
        <v>487</v>
      </c>
      <c r="E182" s="15" t="s">
        <v>35</v>
      </c>
      <c r="F182" s="15" t="s">
        <v>90</v>
      </c>
      <c r="G182" s="15" t="s">
        <v>35</v>
      </c>
      <c r="H182" s="15" t="s">
        <v>82</v>
      </c>
      <c r="I182" s="15" t="s">
        <v>100</v>
      </c>
      <c r="J182" s="15">
        <v>5</v>
      </c>
      <c r="K182" s="15">
        <v>8</v>
      </c>
      <c r="L182" s="15">
        <v>1</v>
      </c>
      <c r="M182" s="15"/>
      <c r="N182" s="15"/>
      <c r="O182" s="15"/>
      <c r="P182" s="15"/>
      <c r="Q182" s="15" t="s">
        <v>90</v>
      </c>
      <c r="R182" s="15">
        <v>80</v>
      </c>
      <c r="S182" s="15">
        <v>40</v>
      </c>
    </row>
    <row r="183" spans="2:19" x14ac:dyDescent="0.35">
      <c r="B183" s="15" t="s">
        <v>488</v>
      </c>
      <c r="C183" s="15" t="s">
        <v>489</v>
      </c>
      <c r="D183" s="15" t="s">
        <v>490</v>
      </c>
      <c r="E183" s="15" t="s">
        <v>35</v>
      </c>
      <c r="F183" s="15" t="s">
        <v>90</v>
      </c>
      <c r="G183" s="15" t="s">
        <v>35</v>
      </c>
      <c r="H183" s="15" t="s">
        <v>88</v>
      </c>
      <c r="I183" s="15" t="s">
        <v>100</v>
      </c>
      <c r="J183" s="15">
        <v>3</v>
      </c>
      <c r="K183" s="15">
        <v>8</v>
      </c>
      <c r="L183" s="15">
        <v>1</v>
      </c>
      <c r="M183" s="15"/>
      <c r="N183" s="15"/>
      <c r="O183" s="15"/>
      <c r="P183" s="15"/>
      <c r="Q183" s="15" t="s">
        <v>90</v>
      </c>
      <c r="R183" s="15">
        <v>80</v>
      </c>
      <c r="S183" s="15">
        <v>40</v>
      </c>
    </row>
  </sheetData>
  <hyperlinks>
    <hyperlink ref="B10" location="'Kraken AssetPairs'!B10" display="Get"/>
  </hyperlink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B2:U170"/>
  <sheetViews>
    <sheetView topLeftCell="A4" workbookViewId="0">
      <selection activeCell="B8" sqref="B8"/>
    </sheetView>
  </sheetViews>
  <sheetFormatPr baseColWidth="10" defaultRowHeight="14.5" x14ac:dyDescent="0.35"/>
  <cols>
    <col min="3" max="3" width="11.81640625" bestFit="1" customWidth="1"/>
    <col min="4" max="4" width="15.6328125" bestFit="1" customWidth="1"/>
    <col min="5" max="5" width="9.90625" bestFit="1" customWidth="1"/>
    <col min="6" max="6" width="11.81640625" bestFit="1" customWidth="1"/>
    <col min="7" max="7" width="15.6328125" bestFit="1" customWidth="1"/>
    <col min="8" max="8" width="9.90625" bestFit="1" customWidth="1"/>
    <col min="9" max="14" width="11.81640625" bestFit="1" customWidth="1"/>
    <col min="15" max="16" width="8.1796875" customWidth="1"/>
    <col min="17" max="20" width="11.81640625" bestFit="1" customWidth="1"/>
    <col min="21" max="21" width="12.26953125" bestFit="1" customWidth="1"/>
  </cols>
  <sheetData>
    <row r="2" spans="2:21" ht="17.5" x14ac:dyDescent="0.35">
      <c r="B2" s="13" t="s">
        <v>495</v>
      </c>
    </row>
    <row r="3" spans="2:21" x14ac:dyDescent="0.35">
      <c r="B3" t="s">
        <v>496</v>
      </c>
    </row>
    <row r="5" spans="2:21" x14ac:dyDescent="0.35">
      <c r="B5" t="s">
        <v>24</v>
      </c>
      <c r="C5" t="s">
        <v>26</v>
      </c>
    </row>
    <row r="6" spans="2:21" x14ac:dyDescent="0.35">
      <c r="C6" s="10" t="s">
        <v>511</v>
      </c>
      <c r="D6" t="s">
        <v>512</v>
      </c>
      <c r="G6" t="s">
        <v>0</v>
      </c>
    </row>
    <row r="8" spans="2:21" x14ac:dyDescent="0.35">
      <c r="B8" s="17" t="s">
        <v>19</v>
      </c>
      <c r="D8" s="16"/>
    </row>
    <row r="9" spans="2:21" ht="15" thickBot="1" x14ac:dyDescent="0.4"/>
    <row r="10" spans="2:21" ht="15.5" thickTop="1" thickBot="1" x14ac:dyDescent="0.4">
      <c r="C10" s="22" t="s">
        <v>498</v>
      </c>
      <c r="D10" s="22"/>
      <c r="E10" s="22"/>
      <c r="F10" s="22" t="s">
        <v>499</v>
      </c>
      <c r="G10" s="22"/>
      <c r="H10" s="22"/>
      <c r="I10" s="22" t="s">
        <v>500</v>
      </c>
      <c r="J10" s="22"/>
      <c r="K10" s="22" t="s">
        <v>501</v>
      </c>
      <c r="L10" s="22"/>
      <c r="M10" s="22" t="s">
        <v>502</v>
      </c>
      <c r="N10" s="22"/>
      <c r="O10" s="22" t="s">
        <v>503</v>
      </c>
      <c r="P10" s="22"/>
      <c r="Q10" s="22" t="s">
        <v>504</v>
      </c>
      <c r="R10" s="22"/>
      <c r="S10" s="22" t="s">
        <v>505</v>
      </c>
      <c r="T10" s="22"/>
    </row>
    <row r="11" spans="2:21" ht="15.5" thickTop="1" thickBot="1" x14ac:dyDescent="0.4">
      <c r="B11" s="3" t="s">
        <v>491</v>
      </c>
      <c r="C11" s="3" t="s">
        <v>508</v>
      </c>
      <c r="D11" s="3" t="s">
        <v>506</v>
      </c>
      <c r="E11" s="3" t="s">
        <v>507</v>
      </c>
      <c r="F11" s="3" t="s">
        <v>508</v>
      </c>
      <c r="G11" s="3" t="s">
        <v>506</v>
      </c>
      <c r="H11" s="3" t="s">
        <v>507</v>
      </c>
      <c r="I11" s="3" t="s">
        <v>508</v>
      </c>
      <c r="J11" s="3" t="s">
        <v>501</v>
      </c>
      <c r="K11" s="3" t="s">
        <v>509</v>
      </c>
      <c r="L11" s="3" t="s">
        <v>510</v>
      </c>
      <c r="M11" s="3" t="s">
        <v>509</v>
      </c>
      <c r="N11" s="3" t="s">
        <v>510</v>
      </c>
      <c r="O11" s="3" t="s">
        <v>509</v>
      </c>
      <c r="P11" s="3" t="s">
        <v>510</v>
      </c>
      <c r="Q11" s="3" t="s">
        <v>509</v>
      </c>
      <c r="R11" s="3" t="s">
        <v>510</v>
      </c>
      <c r="S11" s="3" t="s">
        <v>509</v>
      </c>
      <c r="T11" s="3" t="s">
        <v>510</v>
      </c>
      <c r="U11" s="3" t="s">
        <v>497</v>
      </c>
    </row>
    <row r="12" spans="2:21" ht="15" thickTop="1" x14ac:dyDescent="0.35">
      <c r="B12" s="15" t="s">
        <v>116</v>
      </c>
      <c r="C12" s="15">
        <v>3.5179999999999999E-4</v>
      </c>
      <c r="D12" s="15">
        <v>9121</v>
      </c>
      <c r="E12" s="15">
        <v>9121</v>
      </c>
      <c r="F12" s="15">
        <v>3.5100000000000002E-4</v>
      </c>
      <c r="G12" s="15">
        <v>9120</v>
      </c>
      <c r="H12" s="15">
        <v>9120</v>
      </c>
      <c r="I12" s="15">
        <v>3.5149999999999998E-4</v>
      </c>
      <c r="J12" s="15">
        <v>5000</v>
      </c>
      <c r="K12" s="15">
        <v>154884.17573349</v>
      </c>
      <c r="L12" s="15">
        <v>1328366.4374768301</v>
      </c>
      <c r="M12" s="15">
        <v>3.5225099999999999E-4</v>
      </c>
      <c r="N12" s="15">
        <v>3.54211E-4</v>
      </c>
      <c r="O12" s="15">
        <v>51</v>
      </c>
      <c r="P12" s="15">
        <v>334</v>
      </c>
      <c r="Q12" s="15">
        <v>3.5060000000000001E-4</v>
      </c>
      <c r="R12" s="15">
        <v>3.5050000000000001E-4</v>
      </c>
      <c r="S12" s="15">
        <v>3.567E-4</v>
      </c>
      <c r="T12" s="15">
        <v>3.5849999999999999E-4</v>
      </c>
      <c r="U12" s="15">
        <v>3.545E-4</v>
      </c>
    </row>
    <row r="13" spans="2:21" x14ac:dyDescent="0.35">
      <c r="B13" s="15" t="s">
        <v>118</v>
      </c>
      <c r="C13" s="15">
        <v>7.5754000000000002E-2</v>
      </c>
      <c r="D13" s="15">
        <v>10000</v>
      </c>
      <c r="E13" s="15">
        <v>10000</v>
      </c>
      <c r="F13" s="15">
        <v>7.5659000000000004E-2</v>
      </c>
      <c r="G13" s="15">
        <v>44118</v>
      </c>
      <c r="H13" s="15">
        <v>44118</v>
      </c>
      <c r="I13" s="15">
        <v>7.5785000000000005E-2</v>
      </c>
      <c r="J13" s="15">
        <v>4204.6499967</v>
      </c>
      <c r="K13" s="15">
        <v>1212094.6052572599</v>
      </c>
      <c r="L13" s="15">
        <v>10424318.3920779</v>
      </c>
      <c r="M13" s="15">
        <v>7.6159000000000004E-2</v>
      </c>
      <c r="N13" s="15">
        <v>6.6618999999999998E-2</v>
      </c>
      <c r="O13" s="15">
        <v>318</v>
      </c>
      <c r="P13" s="15">
        <v>2020</v>
      </c>
      <c r="Q13" s="15">
        <v>7.5166999999999998E-2</v>
      </c>
      <c r="R13" s="15">
        <v>7.3400000000000007E-2</v>
      </c>
      <c r="S13" s="15">
        <v>7.6994000000000007E-2</v>
      </c>
      <c r="T13" s="15">
        <v>7.6994000000000007E-2</v>
      </c>
      <c r="U13" s="15">
        <v>7.6622999999999997E-2</v>
      </c>
    </row>
    <row r="14" spans="2:21" x14ac:dyDescent="0.35">
      <c r="B14" s="15" t="s">
        <v>120</v>
      </c>
      <c r="C14" s="15">
        <v>8.5549E-2</v>
      </c>
      <c r="D14" s="15">
        <v>24671</v>
      </c>
      <c r="E14" s="15">
        <v>24671</v>
      </c>
      <c r="F14" s="15">
        <v>8.5417999999999994E-2</v>
      </c>
      <c r="G14" s="15">
        <v>24674</v>
      </c>
      <c r="H14" s="15">
        <v>24674</v>
      </c>
      <c r="I14" s="15">
        <v>8.5570999999999994E-2</v>
      </c>
      <c r="J14" s="15">
        <v>6108.6093717699996</v>
      </c>
      <c r="K14" s="15">
        <v>3195262.79591134</v>
      </c>
      <c r="L14" s="15">
        <v>18716738.3080329</v>
      </c>
      <c r="M14" s="15">
        <v>8.6591000000000001E-2</v>
      </c>
      <c r="N14" s="15">
        <v>8.0170000000000005E-2</v>
      </c>
      <c r="O14" s="15">
        <v>449</v>
      </c>
      <c r="P14" s="15">
        <v>2068</v>
      </c>
      <c r="Q14" s="15">
        <v>8.5125999999999993E-2</v>
      </c>
      <c r="R14" s="15">
        <v>8.2200999999999996E-2</v>
      </c>
      <c r="S14" s="15">
        <v>8.7429999999999994E-2</v>
      </c>
      <c r="T14" s="15">
        <v>8.7429999999999994E-2</v>
      </c>
      <c r="U14" s="15">
        <v>8.6579000000000003E-2</v>
      </c>
    </row>
    <row r="15" spans="2:21" x14ac:dyDescent="0.35">
      <c r="B15" s="15" t="s">
        <v>122</v>
      </c>
      <c r="C15" s="15">
        <v>8.8300000000000002E-6</v>
      </c>
      <c r="D15" s="15">
        <v>42468</v>
      </c>
      <c r="E15" s="15">
        <v>42468</v>
      </c>
      <c r="F15" s="15">
        <v>8.8100000000000004E-6</v>
      </c>
      <c r="G15" s="15">
        <v>13699</v>
      </c>
      <c r="H15" s="15">
        <v>13699</v>
      </c>
      <c r="I15" s="15">
        <v>8.8300000000000002E-6</v>
      </c>
      <c r="J15" s="15">
        <v>12.941181650000001</v>
      </c>
      <c r="K15" s="15">
        <v>485050.26619141002</v>
      </c>
      <c r="L15" s="15">
        <v>4183071.0479243002</v>
      </c>
      <c r="M15" s="15">
        <v>8.8449999999999992E-6</v>
      </c>
      <c r="N15" s="15">
        <v>5.3890000000000004E-6</v>
      </c>
      <c r="O15" s="15">
        <v>196</v>
      </c>
      <c r="P15" s="15">
        <v>902</v>
      </c>
      <c r="Q15" s="15">
        <v>8.8000000000000004E-6</v>
      </c>
      <c r="R15" s="15">
        <v>8.6000000000000007E-6</v>
      </c>
      <c r="S15" s="15">
        <v>8.9099999999999994E-6</v>
      </c>
      <c r="T15" s="15">
        <v>8.9800000000000004E-6</v>
      </c>
      <c r="U15" s="15">
        <v>8.8899999999999996E-6</v>
      </c>
    </row>
    <row r="16" spans="2:21" x14ac:dyDescent="0.35">
      <c r="B16" s="15" t="s">
        <v>124</v>
      </c>
      <c r="C16" s="15">
        <v>9.4740000000000004E-4</v>
      </c>
      <c r="D16" s="15">
        <v>22464</v>
      </c>
      <c r="E16" s="15">
        <v>22464</v>
      </c>
      <c r="F16" s="15">
        <v>9.456E-4</v>
      </c>
      <c r="G16" s="15">
        <v>3072</v>
      </c>
      <c r="H16" s="15">
        <v>3072</v>
      </c>
      <c r="I16" s="15">
        <v>9.5989999999999997E-4</v>
      </c>
      <c r="J16" s="15">
        <v>200</v>
      </c>
      <c r="K16" s="15">
        <v>2443.1928693</v>
      </c>
      <c r="L16" s="15">
        <v>66784.854883520005</v>
      </c>
      <c r="M16" s="15">
        <v>9.56411E-4</v>
      </c>
      <c r="N16" s="15">
        <v>9.6048499999999996E-4</v>
      </c>
      <c r="O16" s="15">
        <v>2</v>
      </c>
      <c r="P16" s="15">
        <v>28</v>
      </c>
      <c r="Q16" s="15">
        <v>9.5220000000000005E-4</v>
      </c>
      <c r="R16" s="15">
        <v>9.5220000000000005E-4</v>
      </c>
      <c r="S16" s="15">
        <v>9.5989999999999997E-4</v>
      </c>
      <c r="T16" s="15">
        <v>9.7650000000000005E-4</v>
      </c>
      <c r="U16" s="15">
        <v>9.5220000000000005E-4</v>
      </c>
    </row>
    <row r="17" spans="2:21" x14ac:dyDescent="0.35">
      <c r="B17" s="15" t="s">
        <v>126</v>
      </c>
      <c r="C17" s="15">
        <v>0.2039</v>
      </c>
      <c r="D17" s="15">
        <v>3173</v>
      </c>
      <c r="E17" s="15">
        <v>3173</v>
      </c>
      <c r="F17" s="15">
        <v>0.20372999999999999</v>
      </c>
      <c r="G17" s="15">
        <v>2512</v>
      </c>
      <c r="H17" s="15">
        <v>2512</v>
      </c>
      <c r="I17" s="15">
        <v>0.20396</v>
      </c>
      <c r="J17" s="15">
        <v>8.6500000000000002E-6</v>
      </c>
      <c r="K17" s="15">
        <v>40399.993597449997</v>
      </c>
      <c r="L17" s="15">
        <v>405850.92718221998</v>
      </c>
      <c r="M17" s="15">
        <v>0.206485</v>
      </c>
      <c r="N17" s="15">
        <v>0.20311199999999999</v>
      </c>
      <c r="O17" s="15">
        <v>45</v>
      </c>
      <c r="P17" s="15">
        <v>255</v>
      </c>
      <c r="Q17" s="15">
        <v>0.20396</v>
      </c>
      <c r="R17" s="15">
        <v>0.20018</v>
      </c>
      <c r="S17" s="15">
        <v>0.20757</v>
      </c>
      <c r="T17" s="15">
        <v>0.20757</v>
      </c>
      <c r="U17" s="15">
        <v>0.20505999999999999</v>
      </c>
    </row>
    <row r="18" spans="2:21" x14ac:dyDescent="0.35">
      <c r="B18" s="15" t="s">
        <v>128</v>
      </c>
      <c r="C18" s="15">
        <v>0.23053000000000001</v>
      </c>
      <c r="D18" s="15">
        <v>2444</v>
      </c>
      <c r="E18" s="15">
        <v>2444</v>
      </c>
      <c r="F18" s="15">
        <v>0.23019999999999999</v>
      </c>
      <c r="G18" s="15">
        <v>2445</v>
      </c>
      <c r="H18" s="15">
        <v>2445</v>
      </c>
      <c r="I18" s="15">
        <v>0.23052</v>
      </c>
      <c r="J18" s="15">
        <v>7.0999999999999998E-7</v>
      </c>
      <c r="K18" s="15">
        <v>48497.698898510003</v>
      </c>
      <c r="L18" s="15">
        <v>217268.67312967</v>
      </c>
      <c r="M18" s="15">
        <v>0.23139599999999999</v>
      </c>
      <c r="N18" s="15">
        <v>0.22809699999999999</v>
      </c>
      <c r="O18" s="15">
        <v>22</v>
      </c>
      <c r="P18" s="15">
        <v>104</v>
      </c>
      <c r="Q18" s="15">
        <v>0.23052</v>
      </c>
      <c r="R18" s="15">
        <v>0.22445999999999999</v>
      </c>
      <c r="S18" s="15">
        <v>0.23361000000000001</v>
      </c>
      <c r="T18" s="15">
        <v>0.23361000000000001</v>
      </c>
      <c r="U18" s="15">
        <v>0.23222999999999999</v>
      </c>
    </row>
    <row r="19" spans="2:21" x14ac:dyDescent="0.35">
      <c r="B19" s="15" t="s">
        <v>130</v>
      </c>
      <c r="C19" s="15">
        <v>2.3790000000000001E-5</v>
      </c>
      <c r="D19" s="15">
        <v>3090</v>
      </c>
      <c r="E19" s="15">
        <v>3090</v>
      </c>
      <c r="F19" s="15">
        <v>2.3750000000000001E-5</v>
      </c>
      <c r="G19" s="15">
        <v>5053</v>
      </c>
      <c r="H19" s="15">
        <v>5053</v>
      </c>
      <c r="I19" s="15">
        <v>2.387E-5</v>
      </c>
      <c r="J19" s="15">
        <v>199.36069812</v>
      </c>
      <c r="K19" s="15">
        <v>11125.17613722</v>
      </c>
      <c r="L19" s="15">
        <v>80616.369804920003</v>
      </c>
      <c r="M19" s="15">
        <v>2.3913E-5</v>
      </c>
      <c r="N19" s="15">
        <v>2.3003999999999999E-5</v>
      </c>
      <c r="O19" s="15">
        <v>12</v>
      </c>
      <c r="P19" s="15">
        <v>87</v>
      </c>
      <c r="Q19" s="15">
        <v>2.3499999999999999E-5</v>
      </c>
      <c r="R19" s="15">
        <v>2.3499999999999999E-5</v>
      </c>
      <c r="S19" s="15">
        <v>2.402E-5</v>
      </c>
      <c r="T19" s="15">
        <v>2.4329999999999999E-5</v>
      </c>
      <c r="U19" s="15">
        <v>2.3499999999999999E-5</v>
      </c>
    </row>
    <row r="20" spans="2:21" x14ac:dyDescent="0.35">
      <c r="B20" s="15" t="s">
        <v>132</v>
      </c>
      <c r="C20" s="15">
        <v>1.2518E-2</v>
      </c>
      <c r="D20" s="15">
        <v>236</v>
      </c>
      <c r="E20" s="15">
        <v>236</v>
      </c>
      <c r="F20" s="15">
        <v>1.2493000000000001E-2</v>
      </c>
      <c r="G20" s="15">
        <v>179</v>
      </c>
      <c r="H20" s="15">
        <v>179</v>
      </c>
      <c r="I20" s="15">
        <v>1.2548999999999999E-2</v>
      </c>
      <c r="J20" s="15">
        <v>5.5400000000000003E-6</v>
      </c>
      <c r="K20" s="15">
        <v>4499.21472954</v>
      </c>
      <c r="L20" s="15">
        <v>6948.54450937</v>
      </c>
      <c r="M20" s="15">
        <v>1.2445339999999999E-2</v>
      </c>
      <c r="N20" s="15">
        <v>1.245872E-2</v>
      </c>
      <c r="O20" s="15">
        <v>35</v>
      </c>
      <c r="P20" s="15">
        <v>78</v>
      </c>
      <c r="Q20" s="15">
        <v>1.2331999999999999E-2</v>
      </c>
      <c r="R20" s="15">
        <v>1.2331999999999999E-2</v>
      </c>
      <c r="S20" s="15">
        <v>1.2548999999999999E-2</v>
      </c>
      <c r="T20" s="15">
        <v>1.2725E-2</v>
      </c>
      <c r="U20" s="15">
        <v>1.2408000000000001E-2</v>
      </c>
    </row>
    <row r="21" spans="2:21" x14ac:dyDescent="0.35">
      <c r="B21" s="15" t="s">
        <v>134</v>
      </c>
      <c r="C21" s="15">
        <v>2.6970000000000001</v>
      </c>
      <c r="D21" s="15">
        <v>224</v>
      </c>
      <c r="E21" s="15">
        <v>224</v>
      </c>
      <c r="F21" s="15">
        <v>2.6903999999999999</v>
      </c>
      <c r="G21" s="15">
        <v>266</v>
      </c>
      <c r="H21" s="15">
        <v>266</v>
      </c>
      <c r="I21" s="15">
        <v>2.6892</v>
      </c>
      <c r="J21" s="15">
        <v>5.7000000000000005E-7</v>
      </c>
      <c r="K21" s="15">
        <v>6778.5265016699996</v>
      </c>
      <c r="L21" s="15">
        <v>44082.877781149997</v>
      </c>
      <c r="M21" s="15">
        <v>2.7153719999999999</v>
      </c>
      <c r="N21" s="15">
        <v>2.6498249999999999</v>
      </c>
      <c r="O21" s="15">
        <v>65</v>
      </c>
      <c r="P21" s="15">
        <v>405</v>
      </c>
      <c r="Q21" s="15">
        <v>2.6568999999999998</v>
      </c>
      <c r="R21" s="15">
        <v>2.5653999999999999</v>
      </c>
      <c r="S21" s="15">
        <v>2.7362000000000002</v>
      </c>
      <c r="T21" s="15">
        <v>2.7362000000000002</v>
      </c>
      <c r="U21" s="15">
        <v>2.6766999999999999</v>
      </c>
    </row>
    <row r="22" spans="2:21" x14ac:dyDescent="0.35">
      <c r="B22" s="15" t="s">
        <v>136</v>
      </c>
      <c r="C22" s="15">
        <v>3.0455000000000001</v>
      </c>
      <c r="D22" s="15">
        <v>174</v>
      </c>
      <c r="E22" s="15">
        <v>174</v>
      </c>
      <c r="F22" s="15">
        <v>3.0388999999999999</v>
      </c>
      <c r="G22" s="15">
        <v>174</v>
      </c>
      <c r="H22" s="15">
        <v>174</v>
      </c>
      <c r="I22" s="15">
        <v>3.0493999999999999</v>
      </c>
      <c r="J22" s="15">
        <v>2.9999999999999999E-7</v>
      </c>
      <c r="K22" s="15">
        <v>13489.90622133</v>
      </c>
      <c r="L22" s="15">
        <v>26840.307315549999</v>
      </c>
      <c r="M22" s="15">
        <v>3.029318</v>
      </c>
      <c r="N22" s="15">
        <v>2.9941650000000002</v>
      </c>
      <c r="O22" s="15">
        <v>66</v>
      </c>
      <c r="P22" s="15">
        <v>188</v>
      </c>
      <c r="Q22" s="15">
        <v>2.9922</v>
      </c>
      <c r="R22" s="15">
        <v>2.8906999999999998</v>
      </c>
      <c r="S22" s="15">
        <v>3.0899000000000001</v>
      </c>
      <c r="T22" s="15">
        <v>3.0899000000000001</v>
      </c>
      <c r="U22" s="15">
        <v>3.0295000000000001</v>
      </c>
    </row>
    <row r="23" spans="2:21" x14ac:dyDescent="0.35">
      <c r="B23" s="15" t="s">
        <v>138</v>
      </c>
      <c r="C23" s="15">
        <v>3.143E-4</v>
      </c>
      <c r="D23" s="15">
        <v>492</v>
      </c>
      <c r="E23" s="15">
        <v>492</v>
      </c>
      <c r="F23" s="15">
        <v>3.1339999999999997E-4</v>
      </c>
      <c r="G23" s="15">
        <v>261</v>
      </c>
      <c r="H23" s="15">
        <v>261</v>
      </c>
      <c r="I23" s="15">
        <v>3.1500000000000001E-4</v>
      </c>
      <c r="J23" s="15">
        <v>1.4728063</v>
      </c>
      <c r="K23" s="15">
        <v>4361.2749574400004</v>
      </c>
      <c r="L23" s="15">
        <v>21307.310426920001</v>
      </c>
      <c r="M23" s="15">
        <v>3.0914000000000001E-4</v>
      </c>
      <c r="N23" s="15">
        <v>3.0873000000000001E-4</v>
      </c>
      <c r="O23" s="15">
        <v>32</v>
      </c>
      <c r="P23" s="15">
        <v>185</v>
      </c>
      <c r="Q23" s="15">
        <v>3.0840000000000002E-4</v>
      </c>
      <c r="R23" s="15">
        <v>3.0679999999999998E-4</v>
      </c>
      <c r="S23" s="15">
        <v>3.1700000000000001E-4</v>
      </c>
      <c r="T23" s="15">
        <v>3.1859999999999999E-4</v>
      </c>
      <c r="U23" s="15">
        <v>3.0909999999999998E-4</v>
      </c>
    </row>
    <row r="24" spans="2:21" x14ac:dyDescent="0.35">
      <c r="B24" s="15" t="s">
        <v>140</v>
      </c>
      <c r="C24" s="15">
        <v>1.0161E-3</v>
      </c>
      <c r="D24" s="15">
        <v>4292</v>
      </c>
      <c r="E24" s="15">
        <v>4292</v>
      </c>
      <c r="F24" s="15">
        <v>1.0120999999999999E-3</v>
      </c>
      <c r="G24" s="15">
        <v>2165</v>
      </c>
      <c r="H24" s="15">
        <v>2165</v>
      </c>
      <c r="I24" s="15">
        <v>1.0129E-3</v>
      </c>
      <c r="J24" s="15">
        <v>164.06434131</v>
      </c>
      <c r="K24" s="15">
        <v>4038.6286650100001</v>
      </c>
      <c r="L24" s="15">
        <v>86505.891438799998</v>
      </c>
      <c r="M24" s="15">
        <v>9.8814400000000004E-4</v>
      </c>
      <c r="N24" s="15">
        <v>9.6829100000000003E-4</v>
      </c>
      <c r="O24" s="15">
        <v>10</v>
      </c>
      <c r="P24" s="15">
        <v>65</v>
      </c>
      <c r="Q24" s="15">
        <v>9.5929999999999995E-4</v>
      </c>
      <c r="R24" s="15">
        <v>9.5929999999999995E-4</v>
      </c>
      <c r="S24" s="15">
        <v>1.0129E-3</v>
      </c>
      <c r="T24" s="15">
        <v>1.0129E-3</v>
      </c>
      <c r="U24" s="15">
        <v>9.6089999999999999E-4</v>
      </c>
    </row>
    <row r="25" spans="2:21" x14ac:dyDescent="0.35">
      <c r="B25" s="15" t="s">
        <v>142</v>
      </c>
      <c r="C25" s="15">
        <v>0.21868000000000001</v>
      </c>
      <c r="D25" s="15">
        <v>5000</v>
      </c>
      <c r="E25" s="15">
        <v>5000</v>
      </c>
      <c r="F25" s="15">
        <v>0.21812999999999999</v>
      </c>
      <c r="G25" s="15">
        <v>3650</v>
      </c>
      <c r="H25" s="15">
        <v>3650</v>
      </c>
      <c r="I25" s="15">
        <v>0.21798999999999999</v>
      </c>
      <c r="J25" s="15">
        <v>172.23564153000001</v>
      </c>
      <c r="K25" s="15">
        <v>316522.19740026002</v>
      </c>
      <c r="L25" s="15">
        <v>1193870.3433168901</v>
      </c>
      <c r="M25" s="15">
        <v>0.21550800000000001</v>
      </c>
      <c r="N25" s="15">
        <v>0.207263</v>
      </c>
      <c r="O25" s="15">
        <v>207</v>
      </c>
      <c r="P25" s="15">
        <v>609</v>
      </c>
      <c r="Q25" s="15">
        <v>0.20663999999999999</v>
      </c>
      <c r="R25" s="15">
        <v>0.20200000000000001</v>
      </c>
      <c r="S25" s="15">
        <v>0.21868000000000001</v>
      </c>
      <c r="T25" s="15">
        <v>0.21868000000000001</v>
      </c>
      <c r="U25" s="15">
        <v>0.20757</v>
      </c>
    </row>
    <row r="26" spans="2:21" x14ac:dyDescent="0.35">
      <c r="B26" s="15" t="s">
        <v>144</v>
      </c>
      <c r="C26" s="15">
        <v>0.24718999999999999</v>
      </c>
      <c r="D26" s="15">
        <v>3250</v>
      </c>
      <c r="E26" s="15">
        <v>3250</v>
      </c>
      <c r="F26" s="15">
        <v>0.24640999999999999</v>
      </c>
      <c r="G26" s="15">
        <v>2612</v>
      </c>
      <c r="H26" s="15">
        <v>2612</v>
      </c>
      <c r="I26" s="15">
        <v>0.24687000000000001</v>
      </c>
      <c r="J26" s="15">
        <v>187.95317</v>
      </c>
      <c r="K26" s="15">
        <v>155513.24122108001</v>
      </c>
      <c r="L26" s="15">
        <v>479180.80026276002</v>
      </c>
      <c r="M26" s="15">
        <v>0.242122</v>
      </c>
      <c r="N26" s="15">
        <v>0.23411100000000001</v>
      </c>
      <c r="O26" s="15">
        <v>141</v>
      </c>
      <c r="P26" s="15">
        <v>355</v>
      </c>
      <c r="Q26" s="15">
        <v>0.23314000000000001</v>
      </c>
      <c r="R26" s="15">
        <v>0.22728999999999999</v>
      </c>
      <c r="S26" s="15">
        <v>0.24687000000000001</v>
      </c>
      <c r="T26" s="15">
        <v>0.24687000000000001</v>
      </c>
      <c r="U26" s="15">
        <v>0.23554</v>
      </c>
    </row>
    <row r="27" spans="2:21" x14ac:dyDescent="0.35">
      <c r="B27" s="15" t="s">
        <v>146</v>
      </c>
      <c r="C27" s="15">
        <v>2.544E-5</v>
      </c>
      <c r="D27" s="15">
        <v>50</v>
      </c>
      <c r="E27" s="15">
        <v>50</v>
      </c>
      <c r="F27" s="15">
        <v>2.5409999999999999E-5</v>
      </c>
      <c r="G27" s="15">
        <v>16911</v>
      </c>
      <c r="H27" s="15">
        <v>16911</v>
      </c>
      <c r="I27" s="15">
        <v>2.5429999999999999E-5</v>
      </c>
      <c r="J27" s="15">
        <v>111.01564497</v>
      </c>
      <c r="K27" s="15">
        <v>63100.096565920001</v>
      </c>
      <c r="L27" s="15">
        <v>228899.80545124001</v>
      </c>
      <c r="M27" s="15">
        <v>2.4837999999999998E-5</v>
      </c>
      <c r="N27" s="15">
        <v>2.4091999999999999E-5</v>
      </c>
      <c r="O27" s="15">
        <v>136</v>
      </c>
      <c r="P27" s="15">
        <v>286</v>
      </c>
      <c r="Q27" s="15">
        <v>2.4009999999999999E-5</v>
      </c>
      <c r="R27" s="15">
        <v>2.3839999999999999E-5</v>
      </c>
      <c r="S27" s="15">
        <v>2.55E-5</v>
      </c>
      <c r="T27" s="15">
        <v>2.55E-5</v>
      </c>
      <c r="U27" s="15">
        <v>2.402E-5</v>
      </c>
    </row>
    <row r="28" spans="2:21" x14ac:dyDescent="0.35">
      <c r="B28" s="15" t="s">
        <v>148</v>
      </c>
      <c r="C28" s="15">
        <v>1.046</v>
      </c>
      <c r="D28" s="15">
        <v>3</v>
      </c>
      <c r="E28" s="15">
        <v>3</v>
      </c>
      <c r="F28" s="15">
        <v>1.0424</v>
      </c>
      <c r="G28" s="15">
        <v>4</v>
      </c>
      <c r="H28" s="15">
        <v>4</v>
      </c>
      <c r="I28" s="15">
        <v>1.0465</v>
      </c>
      <c r="J28" s="15">
        <v>5.6817609999999998E-2</v>
      </c>
      <c r="K28" s="15">
        <v>46.570891369999998</v>
      </c>
      <c r="L28" s="15">
        <v>300.00171336</v>
      </c>
      <c r="M28" s="15">
        <v>1.04155004</v>
      </c>
      <c r="N28" s="15">
        <v>1.0506810099999999</v>
      </c>
      <c r="O28" s="15">
        <v>28</v>
      </c>
      <c r="P28" s="15">
        <v>177</v>
      </c>
      <c r="Q28" s="15">
        <v>1.0367999999999999</v>
      </c>
      <c r="R28" s="15">
        <v>1.0367999999999999</v>
      </c>
      <c r="S28" s="15">
        <v>1.0491999999999999</v>
      </c>
      <c r="T28" s="15">
        <v>1.0608</v>
      </c>
      <c r="U28" s="15">
        <v>1.0408999999999999</v>
      </c>
    </row>
    <row r="29" spans="2:21" x14ac:dyDescent="0.35">
      <c r="B29" s="15" t="s">
        <v>150</v>
      </c>
      <c r="C29" s="15">
        <v>225</v>
      </c>
      <c r="D29" s="15">
        <v>3</v>
      </c>
      <c r="E29" s="15">
        <v>3</v>
      </c>
      <c r="F29" s="15">
        <v>224.9</v>
      </c>
      <c r="G29" s="15">
        <v>14</v>
      </c>
      <c r="H29" s="15">
        <v>14</v>
      </c>
      <c r="I29" s="15">
        <v>225</v>
      </c>
      <c r="J29" s="15">
        <v>4.4464200000000004E-3</v>
      </c>
      <c r="K29" s="15">
        <v>941.80474466999999</v>
      </c>
      <c r="L29" s="15">
        <v>5095.1891082599996</v>
      </c>
      <c r="M29" s="15">
        <v>225.89049</v>
      </c>
      <c r="N29" s="15">
        <v>222.761618</v>
      </c>
      <c r="O29" s="15">
        <v>727</v>
      </c>
      <c r="P29" s="15">
        <v>3721</v>
      </c>
      <c r="Q29" s="15">
        <v>224.2</v>
      </c>
      <c r="R29" s="15">
        <v>218.7</v>
      </c>
      <c r="S29" s="15">
        <v>227.7</v>
      </c>
      <c r="T29" s="15">
        <v>227.7</v>
      </c>
      <c r="U29" s="15">
        <v>224.3</v>
      </c>
    </row>
    <row r="30" spans="2:21" x14ac:dyDescent="0.35">
      <c r="B30" s="15" t="s">
        <v>152</v>
      </c>
      <c r="C30" s="15">
        <v>201.91</v>
      </c>
      <c r="D30" s="15">
        <v>1</v>
      </c>
      <c r="E30" s="15">
        <v>1</v>
      </c>
      <c r="F30" s="15">
        <v>198.59</v>
      </c>
      <c r="G30" s="15">
        <v>2</v>
      </c>
      <c r="H30" s="15">
        <v>2</v>
      </c>
      <c r="I30" s="15">
        <v>198.29</v>
      </c>
      <c r="J30" s="15">
        <v>1.4674999999999999E-4</v>
      </c>
      <c r="K30" s="15">
        <v>0</v>
      </c>
      <c r="L30" s="15">
        <v>0.16093371000000001</v>
      </c>
      <c r="M30" s="15">
        <v>0</v>
      </c>
      <c r="N30" s="15">
        <v>195.90217899999999</v>
      </c>
      <c r="O30" s="15">
        <v>0</v>
      </c>
      <c r="P30" s="15">
        <v>3</v>
      </c>
      <c r="Q30" s="15">
        <v>198.29</v>
      </c>
      <c r="R30" s="15">
        <v>195.9</v>
      </c>
      <c r="S30" s="15">
        <v>198.29</v>
      </c>
      <c r="T30" s="15">
        <v>198.29</v>
      </c>
      <c r="U30" s="15">
        <v>198.29</v>
      </c>
    </row>
    <row r="31" spans="2:21" x14ac:dyDescent="0.35">
      <c r="B31" s="15" t="s">
        <v>154</v>
      </c>
      <c r="C31" s="15">
        <v>254.2</v>
      </c>
      <c r="D31" s="15">
        <v>49</v>
      </c>
      <c r="E31" s="15">
        <v>49</v>
      </c>
      <c r="F31" s="15">
        <v>254.1</v>
      </c>
      <c r="G31" s="15">
        <v>20</v>
      </c>
      <c r="H31" s="15">
        <v>20</v>
      </c>
      <c r="I31" s="15">
        <v>254.3</v>
      </c>
      <c r="J31" s="15">
        <v>5.0219999999999997E-5</v>
      </c>
      <c r="K31" s="15">
        <v>4616.0566874200003</v>
      </c>
      <c r="L31" s="15">
        <v>13464.341129320001</v>
      </c>
      <c r="M31" s="15">
        <v>255.89784900000001</v>
      </c>
      <c r="N31" s="15">
        <v>252.41846699999999</v>
      </c>
      <c r="O31" s="15">
        <v>1146</v>
      </c>
      <c r="P31" s="15">
        <v>4072</v>
      </c>
      <c r="Q31" s="15">
        <v>253.3</v>
      </c>
      <c r="R31" s="15">
        <v>246</v>
      </c>
      <c r="S31" s="15">
        <v>257</v>
      </c>
      <c r="T31" s="15">
        <v>257</v>
      </c>
      <c r="U31" s="15">
        <v>253.6</v>
      </c>
    </row>
    <row r="32" spans="2:21" x14ac:dyDescent="0.35">
      <c r="B32" s="15" t="s">
        <v>156</v>
      </c>
      <c r="C32" s="15">
        <v>254.34</v>
      </c>
      <c r="D32" s="15">
        <v>2</v>
      </c>
      <c r="E32" s="15">
        <v>2</v>
      </c>
      <c r="F32" s="15">
        <v>253.71</v>
      </c>
      <c r="G32" s="15">
        <v>2</v>
      </c>
      <c r="H32" s="15">
        <v>2</v>
      </c>
      <c r="I32" s="15">
        <v>254.21</v>
      </c>
      <c r="J32" s="15">
        <v>7.8675999999999996E-2</v>
      </c>
      <c r="K32" s="15">
        <v>33.50046073</v>
      </c>
      <c r="L32" s="15">
        <v>165.61994238</v>
      </c>
      <c r="M32" s="15">
        <v>255.23315400000001</v>
      </c>
      <c r="N32" s="15">
        <v>250.50232600000001</v>
      </c>
      <c r="O32" s="15">
        <v>11</v>
      </c>
      <c r="P32" s="15">
        <v>43</v>
      </c>
      <c r="Q32" s="15">
        <v>246.85</v>
      </c>
      <c r="R32" s="15">
        <v>246.68</v>
      </c>
      <c r="S32" s="15">
        <v>255.52</v>
      </c>
      <c r="T32" s="15">
        <v>255.52</v>
      </c>
      <c r="U32" s="15">
        <v>246.85</v>
      </c>
    </row>
    <row r="33" spans="2:21" x14ac:dyDescent="0.35">
      <c r="B33" s="15" t="s">
        <v>158</v>
      </c>
      <c r="C33" s="15">
        <v>2.6249999999999999E-2</v>
      </c>
      <c r="D33" s="15">
        <v>4</v>
      </c>
      <c r="E33" s="15">
        <v>4</v>
      </c>
      <c r="F33" s="15">
        <v>2.6210000000000001E-2</v>
      </c>
      <c r="G33" s="15">
        <v>2</v>
      </c>
      <c r="H33" s="15">
        <v>2</v>
      </c>
      <c r="I33" s="15">
        <v>2.6249999999999999E-2</v>
      </c>
      <c r="J33" s="15">
        <v>0.85299999999999998</v>
      </c>
      <c r="K33" s="15">
        <v>369.30940158999999</v>
      </c>
      <c r="L33" s="15">
        <v>1361.98723083</v>
      </c>
      <c r="M33" s="15">
        <v>2.6201439999999999E-2</v>
      </c>
      <c r="N33" s="15">
        <v>2.614673E-2</v>
      </c>
      <c r="O33" s="15">
        <v>317</v>
      </c>
      <c r="P33" s="15">
        <v>1159</v>
      </c>
      <c r="Q33" s="15">
        <v>2.5940000000000001E-2</v>
      </c>
      <c r="R33" s="15">
        <v>2.579E-2</v>
      </c>
      <c r="S33" s="15">
        <v>2.6329999999999999E-2</v>
      </c>
      <c r="T33" s="15">
        <v>2.649E-2</v>
      </c>
      <c r="U33" s="15">
        <v>2.5999999999999999E-2</v>
      </c>
    </row>
    <row r="34" spans="2:21" x14ac:dyDescent="0.35">
      <c r="B34" s="15" t="s">
        <v>160</v>
      </c>
      <c r="C34" s="15">
        <v>0.88761000000000001</v>
      </c>
      <c r="D34" s="15">
        <v>357</v>
      </c>
      <c r="E34" s="15">
        <v>357</v>
      </c>
      <c r="F34" s="15">
        <v>0.88604000000000005</v>
      </c>
      <c r="G34" s="15">
        <v>1476</v>
      </c>
      <c r="H34" s="15">
        <v>1476</v>
      </c>
      <c r="I34" s="15">
        <v>0.88702000000000003</v>
      </c>
      <c r="J34" s="15">
        <v>360</v>
      </c>
      <c r="K34" s="15">
        <v>9793.5337211099995</v>
      </c>
      <c r="L34" s="15">
        <v>51930.035582730001</v>
      </c>
      <c r="M34" s="15">
        <v>0.88729977999999998</v>
      </c>
      <c r="N34" s="15">
        <v>0.88853945999999995</v>
      </c>
      <c r="O34" s="15">
        <v>29</v>
      </c>
      <c r="P34" s="15">
        <v>290</v>
      </c>
      <c r="Q34" s="15">
        <v>0.88500000000000001</v>
      </c>
      <c r="R34" s="15">
        <v>0.88500000000000001</v>
      </c>
      <c r="S34" s="15">
        <v>0.88826000000000005</v>
      </c>
      <c r="T34" s="15">
        <v>0.89190000000000003</v>
      </c>
      <c r="U34" s="15">
        <v>0.88604000000000005</v>
      </c>
    </row>
    <row r="35" spans="2:21" x14ac:dyDescent="0.35">
      <c r="B35" s="15" t="s">
        <v>162</v>
      </c>
      <c r="C35" s="15">
        <v>1.0018800000000001</v>
      </c>
      <c r="D35" s="15">
        <v>3162</v>
      </c>
      <c r="E35" s="15">
        <v>3162</v>
      </c>
      <c r="F35" s="15">
        <v>1.0005200000000001</v>
      </c>
      <c r="G35" s="15">
        <v>438</v>
      </c>
      <c r="H35" s="15">
        <v>438</v>
      </c>
      <c r="I35" s="15">
        <v>1.0005200000000001</v>
      </c>
      <c r="J35" s="15">
        <v>10</v>
      </c>
      <c r="K35" s="15">
        <v>1932.22604458</v>
      </c>
      <c r="L35" s="15">
        <v>55112.806733930003</v>
      </c>
      <c r="M35" s="15">
        <v>1.00147688</v>
      </c>
      <c r="N35" s="15">
        <v>1.00159932</v>
      </c>
      <c r="O35" s="15">
        <v>93</v>
      </c>
      <c r="P35" s="15">
        <v>293</v>
      </c>
      <c r="Q35" s="15">
        <v>1.0004599999999999</v>
      </c>
      <c r="R35" s="15">
        <v>1</v>
      </c>
      <c r="S35" s="15">
        <v>1.0030600000000001</v>
      </c>
      <c r="T35" s="15">
        <v>1.00386</v>
      </c>
      <c r="U35" s="15">
        <v>1.0030600000000001</v>
      </c>
    </row>
    <row r="36" spans="2:21" x14ac:dyDescent="0.35">
      <c r="B36" s="15" t="s">
        <v>164</v>
      </c>
      <c r="C36" s="15">
        <v>1.0019199999999999</v>
      </c>
      <c r="D36" s="15">
        <v>357</v>
      </c>
      <c r="E36" s="15">
        <v>357</v>
      </c>
      <c r="F36" s="15">
        <v>1.00071</v>
      </c>
      <c r="G36" s="15">
        <v>438</v>
      </c>
      <c r="H36" s="15">
        <v>438</v>
      </c>
      <c r="I36" s="15">
        <v>1.0017</v>
      </c>
      <c r="J36" s="15">
        <v>300</v>
      </c>
      <c r="K36" s="15">
        <v>4355.3386671999997</v>
      </c>
      <c r="L36" s="15">
        <v>24392.991753300001</v>
      </c>
      <c r="M36" s="15">
        <v>1.0014542900000001</v>
      </c>
      <c r="N36" s="15">
        <v>1.00161514</v>
      </c>
      <c r="O36" s="15">
        <v>15</v>
      </c>
      <c r="P36" s="15">
        <v>108</v>
      </c>
      <c r="Q36" s="15">
        <v>1.00071</v>
      </c>
      <c r="R36" s="15">
        <v>1.0002899999999999</v>
      </c>
      <c r="S36" s="15">
        <v>1.00206</v>
      </c>
      <c r="T36" s="15">
        <v>1.0041199999999999</v>
      </c>
      <c r="U36" s="15">
        <v>1.00071</v>
      </c>
    </row>
    <row r="37" spans="2:21" x14ac:dyDescent="0.35">
      <c r="B37" s="15" t="s">
        <v>166</v>
      </c>
      <c r="C37" s="15">
        <v>69.049000000000007</v>
      </c>
      <c r="D37" s="15">
        <v>10</v>
      </c>
      <c r="E37" s="15">
        <v>10</v>
      </c>
      <c r="F37" s="15">
        <v>68.89</v>
      </c>
      <c r="G37" s="15">
        <v>7</v>
      </c>
      <c r="H37" s="15">
        <v>7</v>
      </c>
      <c r="I37" s="15">
        <v>68.89</v>
      </c>
      <c r="J37" s="15">
        <v>9.0699999999999996E-6</v>
      </c>
      <c r="K37" s="15">
        <v>438.92145728999998</v>
      </c>
      <c r="L37" s="15">
        <v>1442.59177516</v>
      </c>
      <c r="M37" s="15">
        <v>69.030691000000004</v>
      </c>
      <c r="N37" s="15">
        <v>68.538477999999998</v>
      </c>
      <c r="O37" s="15">
        <v>224</v>
      </c>
      <c r="P37" s="15">
        <v>763</v>
      </c>
      <c r="Q37" s="15">
        <v>68.632999999999996</v>
      </c>
      <c r="R37" s="15">
        <v>67.63</v>
      </c>
      <c r="S37" s="15">
        <v>69.448999999999998</v>
      </c>
      <c r="T37" s="15">
        <v>69.448999999999998</v>
      </c>
      <c r="U37" s="15">
        <v>69.006</v>
      </c>
    </row>
    <row r="38" spans="2:21" x14ac:dyDescent="0.35">
      <c r="B38" s="15" t="s">
        <v>168</v>
      </c>
      <c r="C38" s="15">
        <v>77.988</v>
      </c>
      <c r="D38" s="15">
        <v>7</v>
      </c>
      <c r="E38" s="15">
        <v>7</v>
      </c>
      <c r="F38" s="15">
        <v>77.835999999999999</v>
      </c>
      <c r="G38" s="15">
        <v>8</v>
      </c>
      <c r="H38" s="15">
        <v>8</v>
      </c>
      <c r="I38" s="15">
        <v>77.988</v>
      </c>
      <c r="J38" s="15">
        <v>1.042376</v>
      </c>
      <c r="K38" s="15">
        <v>458.02851786999997</v>
      </c>
      <c r="L38" s="15">
        <v>1499.82276385</v>
      </c>
      <c r="M38" s="15">
        <v>78.032550000000001</v>
      </c>
      <c r="N38" s="15">
        <v>77.358761999999999</v>
      </c>
      <c r="O38" s="15">
        <v>165</v>
      </c>
      <c r="P38" s="15">
        <v>543</v>
      </c>
      <c r="Q38" s="15">
        <v>77.462999999999994</v>
      </c>
      <c r="R38" s="15">
        <v>75.83</v>
      </c>
      <c r="S38" s="15">
        <v>78.349000000000004</v>
      </c>
      <c r="T38" s="15">
        <v>78.349000000000004</v>
      </c>
      <c r="U38" s="15">
        <v>77.872</v>
      </c>
    </row>
    <row r="39" spans="2:21" x14ac:dyDescent="0.35">
      <c r="B39" s="15" t="s">
        <v>170</v>
      </c>
      <c r="C39" s="15">
        <v>8.0400000000000003E-3</v>
      </c>
      <c r="D39" s="15">
        <v>109</v>
      </c>
      <c r="E39" s="15">
        <v>109</v>
      </c>
      <c r="F39" s="15">
        <v>8.0300000000000007E-3</v>
      </c>
      <c r="G39" s="15">
        <v>3</v>
      </c>
      <c r="H39" s="15">
        <v>3</v>
      </c>
      <c r="I39" s="15">
        <v>8.0300000000000007E-3</v>
      </c>
      <c r="J39" s="15">
        <v>4.8499999999999996</v>
      </c>
      <c r="K39" s="15">
        <v>265.75424103</v>
      </c>
      <c r="L39" s="15">
        <v>542.38247597999998</v>
      </c>
      <c r="M39" s="15">
        <v>8.0286899999999998E-3</v>
      </c>
      <c r="N39" s="15">
        <v>8.0451800000000007E-3</v>
      </c>
      <c r="O39" s="15">
        <v>93</v>
      </c>
      <c r="P39" s="15">
        <v>255</v>
      </c>
      <c r="Q39" s="15">
        <v>7.9500000000000005E-3</v>
      </c>
      <c r="R39" s="15">
        <v>7.9299999999999995E-3</v>
      </c>
      <c r="S39" s="15">
        <v>8.0599999999999995E-3</v>
      </c>
      <c r="T39" s="15">
        <v>8.1200000000000005E-3</v>
      </c>
      <c r="U39" s="15">
        <v>8.0099999999999998E-3</v>
      </c>
    </row>
    <row r="40" spans="2:21" x14ac:dyDescent="0.35">
      <c r="B40" s="15" t="s">
        <v>172</v>
      </c>
      <c r="C40" s="15">
        <v>1.1436999999999999E-2</v>
      </c>
      <c r="D40" s="15">
        <v>199</v>
      </c>
      <c r="E40" s="15">
        <v>199</v>
      </c>
      <c r="F40" s="15">
        <v>1.1395000000000001E-2</v>
      </c>
      <c r="G40" s="15">
        <v>199</v>
      </c>
      <c r="H40" s="15">
        <v>199</v>
      </c>
      <c r="I40" s="15">
        <v>1.1435000000000001E-2</v>
      </c>
      <c r="J40" s="15">
        <v>2.0619999999999999E-5</v>
      </c>
      <c r="K40" s="15">
        <v>1166.1479999999999</v>
      </c>
      <c r="L40" s="15">
        <v>4476.09211615</v>
      </c>
      <c r="M40" s="15">
        <v>1.150902E-2</v>
      </c>
      <c r="N40" s="15">
        <v>1.156285E-2</v>
      </c>
      <c r="O40" s="15">
        <v>10</v>
      </c>
      <c r="P40" s="15">
        <v>46</v>
      </c>
      <c r="Q40" s="15">
        <v>1.1435000000000001E-2</v>
      </c>
      <c r="R40" s="15">
        <v>1.1435000000000001E-2</v>
      </c>
      <c r="S40" s="15">
        <v>1.1520000000000001E-2</v>
      </c>
      <c r="T40" s="15">
        <v>1.1707E-2</v>
      </c>
      <c r="U40" s="15">
        <v>1.1518E-2</v>
      </c>
    </row>
    <row r="41" spans="2:21" x14ac:dyDescent="0.35">
      <c r="B41" s="15" t="s">
        <v>174</v>
      </c>
      <c r="C41" s="15">
        <v>2.4592999999999998</v>
      </c>
      <c r="D41" s="15">
        <v>600</v>
      </c>
      <c r="E41" s="15">
        <v>600</v>
      </c>
      <c r="F41" s="15">
        <v>2.4580000000000002</v>
      </c>
      <c r="G41" s="15">
        <v>600</v>
      </c>
      <c r="H41" s="15">
        <v>600</v>
      </c>
      <c r="I41" s="15">
        <v>2.4582000000000002</v>
      </c>
      <c r="J41" s="15">
        <v>45</v>
      </c>
      <c r="K41" s="15">
        <v>8122.5795971799998</v>
      </c>
      <c r="L41" s="15">
        <v>58972.643912680003</v>
      </c>
      <c r="M41" s="15">
        <v>2.465093</v>
      </c>
      <c r="N41" s="15">
        <v>2.4657610000000001</v>
      </c>
      <c r="O41" s="15">
        <v>112</v>
      </c>
      <c r="P41" s="15">
        <v>497</v>
      </c>
      <c r="Q41" s="15">
        <v>2.4498000000000002</v>
      </c>
      <c r="R41" s="15">
        <v>2.4323999999999999</v>
      </c>
      <c r="S41" s="15">
        <v>2.4935</v>
      </c>
      <c r="T41" s="15">
        <v>2.4994000000000001</v>
      </c>
      <c r="U41" s="15">
        <v>2.4834999999999998</v>
      </c>
    </row>
    <row r="42" spans="2:21" x14ac:dyDescent="0.35">
      <c r="B42" s="15" t="s">
        <v>176</v>
      </c>
      <c r="C42" s="15">
        <v>2.7778999999999998</v>
      </c>
      <c r="D42" s="15">
        <v>871</v>
      </c>
      <c r="E42" s="15">
        <v>871</v>
      </c>
      <c r="F42" s="15">
        <v>2.7768999999999999</v>
      </c>
      <c r="G42" s="15">
        <v>600</v>
      </c>
      <c r="H42" s="15">
        <v>600</v>
      </c>
      <c r="I42" s="15">
        <v>2.7795000000000001</v>
      </c>
      <c r="J42" s="15">
        <v>17.98367082</v>
      </c>
      <c r="K42" s="15">
        <v>23859.115493310001</v>
      </c>
      <c r="L42" s="15">
        <v>76948.915528199999</v>
      </c>
      <c r="M42" s="15">
        <v>2.8014269999999999</v>
      </c>
      <c r="N42" s="15">
        <v>2.783064</v>
      </c>
      <c r="O42" s="15">
        <v>109</v>
      </c>
      <c r="P42" s="15">
        <v>340</v>
      </c>
      <c r="Q42" s="15">
        <v>2.7696000000000001</v>
      </c>
      <c r="R42" s="15">
        <v>2.7355</v>
      </c>
      <c r="S42" s="15">
        <v>2.8199000000000001</v>
      </c>
      <c r="T42" s="15">
        <v>2.8268</v>
      </c>
      <c r="U42" s="15">
        <v>2.7995000000000001</v>
      </c>
    </row>
    <row r="43" spans="2:21" x14ac:dyDescent="0.35">
      <c r="B43" s="15" t="s">
        <v>178</v>
      </c>
      <c r="C43" s="15">
        <v>2.8679999999999998E-4</v>
      </c>
      <c r="D43" s="15">
        <v>275</v>
      </c>
      <c r="E43" s="15">
        <v>275</v>
      </c>
      <c r="F43" s="15">
        <v>2.8620000000000002E-4</v>
      </c>
      <c r="G43" s="15">
        <v>563</v>
      </c>
      <c r="H43" s="15">
        <v>563</v>
      </c>
      <c r="I43" s="15">
        <v>2.8669999999999998E-4</v>
      </c>
      <c r="J43" s="15">
        <v>25.806044780000001</v>
      </c>
      <c r="K43" s="15">
        <v>4443.6002267900003</v>
      </c>
      <c r="L43" s="15">
        <v>12026.342407489999</v>
      </c>
      <c r="M43" s="15">
        <v>2.8745000000000002E-4</v>
      </c>
      <c r="N43" s="15">
        <v>2.8165999999999998E-4</v>
      </c>
      <c r="O43" s="15">
        <v>52</v>
      </c>
      <c r="P43" s="15">
        <v>146</v>
      </c>
      <c r="Q43" s="15">
        <v>2.8659999999999997E-4</v>
      </c>
      <c r="R43" s="15">
        <v>2.8630000000000002E-4</v>
      </c>
      <c r="S43" s="15">
        <v>2.8840000000000002E-4</v>
      </c>
      <c r="T43" s="15">
        <v>2.9300000000000002E-4</v>
      </c>
      <c r="U43" s="15">
        <v>2.8709999999999999E-4</v>
      </c>
    </row>
    <row r="44" spans="2:21" x14ac:dyDescent="0.35">
      <c r="B44" s="15" t="s">
        <v>180</v>
      </c>
      <c r="C44" s="15">
        <v>236.37</v>
      </c>
      <c r="D44" s="15">
        <v>2</v>
      </c>
      <c r="E44" s="15">
        <v>2</v>
      </c>
      <c r="F44" s="15">
        <v>234.5</v>
      </c>
      <c r="G44" s="15">
        <v>2</v>
      </c>
      <c r="H44" s="15">
        <v>2</v>
      </c>
      <c r="I44" s="15">
        <v>230.31</v>
      </c>
      <c r="J44" s="15">
        <v>1.9322816</v>
      </c>
      <c r="K44" s="15">
        <v>131.83067625000001</v>
      </c>
      <c r="L44" s="15">
        <v>230.15338618999999</v>
      </c>
      <c r="M44" s="15">
        <v>237.02963</v>
      </c>
      <c r="N44" s="15">
        <v>235.66068000000001</v>
      </c>
      <c r="O44" s="15">
        <v>56</v>
      </c>
      <c r="P44" s="15">
        <v>145</v>
      </c>
      <c r="Q44" s="15">
        <v>230.31</v>
      </c>
      <c r="R44" s="15">
        <v>229.67</v>
      </c>
      <c r="S44" s="15">
        <v>240</v>
      </c>
      <c r="T44" s="15">
        <v>240</v>
      </c>
      <c r="U44" s="15">
        <v>235.6</v>
      </c>
    </row>
    <row r="45" spans="2:21" x14ac:dyDescent="0.35">
      <c r="B45" s="15" t="s">
        <v>182</v>
      </c>
      <c r="C45" s="15">
        <v>243.39500000000001</v>
      </c>
      <c r="D45" s="15">
        <v>2</v>
      </c>
      <c r="E45" s="15">
        <v>2</v>
      </c>
      <c r="F45" s="15">
        <v>242.744</v>
      </c>
      <c r="G45" s="15">
        <v>2</v>
      </c>
      <c r="H45" s="15">
        <v>2</v>
      </c>
      <c r="I45" s="15">
        <v>244.095</v>
      </c>
      <c r="J45" s="15">
        <v>5.77018407</v>
      </c>
      <c r="K45" s="15">
        <v>7.5</v>
      </c>
      <c r="L45" s="15">
        <v>127.24787239</v>
      </c>
      <c r="M45" s="15">
        <v>244.09458599999999</v>
      </c>
      <c r="N45" s="15">
        <v>239.548361</v>
      </c>
      <c r="O45" s="15">
        <v>3</v>
      </c>
      <c r="P45" s="15">
        <v>426</v>
      </c>
      <c r="Q45" s="15">
        <v>242.255</v>
      </c>
      <c r="R45" s="15">
        <v>234.279</v>
      </c>
      <c r="S45" s="15">
        <v>244.095</v>
      </c>
      <c r="T45" s="15">
        <v>244.095</v>
      </c>
      <c r="U45" s="15">
        <v>242.255</v>
      </c>
    </row>
    <row r="46" spans="2:21" x14ac:dyDescent="0.35">
      <c r="B46" s="15" t="s">
        <v>184</v>
      </c>
      <c r="C46" s="15">
        <v>243.4</v>
      </c>
      <c r="D46" s="15">
        <v>21</v>
      </c>
      <c r="E46" s="15">
        <v>21</v>
      </c>
      <c r="F46" s="15">
        <v>243.11</v>
      </c>
      <c r="G46" s="15">
        <v>3</v>
      </c>
      <c r="H46" s="15">
        <v>3</v>
      </c>
      <c r="I46" s="15">
        <v>243.74</v>
      </c>
      <c r="J46" s="15">
        <v>0.1555</v>
      </c>
      <c r="K46" s="15">
        <v>7.1540100000000004</v>
      </c>
      <c r="L46" s="15">
        <v>141.80143292</v>
      </c>
      <c r="M46" s="15">
        <v>243.712287</v>
      </c>
      <c r="N46" s="15">
        <v>237.509117</v>
      </c>
      <c r="O46" s="15">
        <v>8</v>
      </c>
      <c r="P46" s="15">
        <v>46</v>
      </c>
      <c r="Q46" s="15">
        <v>243.46</v>
      </c>
      <c r="R46" s="15">
        <v>235</v>
      </c>
      <c r="S46" s="15">
        <v>245.1</v>
      </c>
      <c r="T46" s="15">
        <v>245.1</v>
      </c>
      <c r="U46" s="15">
        <v>245.1</v>
      </c>
    </row>
    <row r="47" spans="2:21" x14ac:dyDescent="0.35">
      <c r="B47" s="15" t="s">
        <v>186</v>
      </c>
      <c r="C47" s="15">
        <v>243.45</v>
      </c>
      <c r="D47" s="15">
        <v>3</v>
      </c>
      <c r="E47" s="15">
        <v>3</v>
      </c>
      <c r="F47" s="15">
        <v>243.15</v>
      </c>
      <c r="G47" s="15">
        <v>3</v>
      </c>
      <c r="H47" s="15">
        <v>3</v>
      </c>
      <c r="I47" s="15">
        <v>243.35</v>
      </c>
      <c r="J47" s="15">
        <v>0.71514095</v>
      </c>
      <c r="K47" s="15">
        <v>62.26877082</v>
      </c>
      <c r="L47" s="15">
        <v>772.59294833000001</v>
      </c>
      <c r="M47" s="15">
        <v>243.52834999999999</v>
      </c>
      <c r="N47" s="15">
        <v>238.96816999999999</v>
      </c>
      <c r="O47" s="15">
        <v>39</v>
      </c>
      <c r="P47" s="15">
        <v>324</v>
      </c>
      <c r="Q47" s="15">
        <v>242.57</v>
      </c>
      <c r="R47" s="15">
        <v>234.48</v>
      </c>
      <c r="S47" s="15">
        <v>245.07</v>
      </c>
      <c r="T47" s="15">
        <v>245.07</v>
      </c>
      <c r="U47" s="15">
        <v>245.07</v>
      </c>
    </row>
    <row r="48" spans="2:21" x14ac:dyDescent="0.35">
      <c r="B48" s="15" t="s">
        <v>188</v>
      </c>
      <c r="C48" s="15">
        <v>1.52478</v>
      </c>
      <c r="D48" s="15">
        <v>551</v>
      </c>
      <c r="E48" s="15">
        <v>551</v>
      </c>
      <c r="F48" s="15">
        <v>1.51749</v>
      </c>
      <c r="G48" s="15">
        <v>336</v>
      </c>
      <c r="H48" s="15">
        <v>336</v>
      </c>
      <c r="I48" s="15">
        <v>1.5247999999999999</v>
      </c>
      <c r="J48" s="15">
        <v>170.947</v>
      </c>
      <c r="K48" s="15">
        <v>195.63062423</v>
      </c>
      <c r="L48" s="15">
        <v>3555.6616460400001</v>
      </c>
      <c r="M48" s="15">
        <v>1.5247999999999999</v>
      </c>
      <c r="N48" s="15">
        <v>1.5202899999999999</v>
      </c>
      <c r="O48" s="15">
        <v>3</v>
      </c>
      <c r="P48" s="15">
        <v>22</v>
      </c>
      <c r="Q48" s="15">
        <v>1.5216400000000001</v>
      </c>
      <c r="R48" s="15">
        <v>1.5162500000000001</v>
      </c>
      <c r="S48" s="15">
        <v>1.5247999999999999</v>
      </c>
      <c r="T48" s="15">
        <v>1.52674</v>
      </c>
      <c r="U48" s="15">
        <v>1.5216400000000001</v>
      </c>
    </row>
    <row r="49" spans="2:21" x14ac:dyDescent="0.35">
      <c r="B49" s="15" t="s">
        <v>190</v>
      </c>
      <c r="C49" s="15">
        <v>1.0954699999999999</v>
      </c>
      <c r="D49" s="15">
        <v>295</v>
      </c>
      <c r="E49" s="15">
        <v>295</v>
      </c>
      <c r="F49" s="15">
        <v>1.09002</v>
      </c>
      <c r="G49" s="15">
        <v>353</v>
      </c>
      <c r="H49" s="15">
        <v>353</v>
      </c>
      <c r="I49" s="15">
        <v>1.09032</v>
      </c>
      <c r="J49" s="15">
        <v>294.80261999999999</v>
      </c>
      <c r="K49" s="15">
        <v>18951.237378540001</v>
      </c>
      <c r="L49" s="15">
        <v>43005.068406949998</v>
      </c>
      <c r="M49" s="15">
        <v>1.0963499999999999</v>
      </c>
      <c r="N49" s="15">
        <v>1.08849</v>
      </c>
      <c r="O49" s="15">
        <v>48</v>
      </c>
      <c r="P49" s="15">
        <v>156</v>
      </c>
      <c r="Q49" s="15">
        <v>1.08639</v>
      </c>
      <c r="R49" s="15">
        <v>1.08301</v>
      </c>
      <c r="S49" s="15">
        <v>1.1000000000000001</v>
      </c>
      <c r="T49" s="15">
        <v>1.1000000000000001</v>
      </c>
      <c r="U49" s="15">
        <v>1.08639</v>
      </c>
    </row>
    <row r="50" spans="2:21" x14ac:dyDescent="0.35">
      <c r="B50" s="15" t="s">
        <v>192</v>
      </c>
      <c r="C50" s="15">
        <v>0.89205999999999996</v>
      </c>
      <c r="D50" s="15">
        <v>366</v>
      </c>
      <c r="E50" s="15">
        <v>366</v>
      </c>
      <c r="F50" s="15">
        <v>0.88961000000000001</v>
      </c>
      <c r="G50" s="15">
        <v>340</v>
      </c>
      <c r="H50" s="15">
        <v>340</v>
      </c>
      <c r="I50" s="15">
        <v>0.89273000000000002</v>
      </c>
      <c r="J50" s="15">
        <v>40</v>
      </c>
      <c r="K50" s="15">
        <v>0</v>
      </c>
      <c r="L50" s="15">
        <v>18884.880922619999</v>
      </c>
      <c r="M50" s="15">
        <v>0</v>
      </c>
      <c r="N50" s="15">
        <v>0.88912999999999998</v>
      </c>
      <c r="O50" s="15">
        <v>0</v>
      </c>
      <c r="P50" s="15">
        <v>41</v>
      </c>
      <c r="Q50" s="15">
        <v>0.89273000000000002</v>
      </c>
      <c r="R50" s="15">
        <v>0.88766</v>
      </c>
      <c r="S50" s="15">
        <v>0.89273000000000002</v>
      </c>
      <c r="T50" s="15">
        <v>0.89373999999999998</v>
      </c>
      <c r="U50" s="15">
        <v>0.89273000000000002</v>
      </c>
    </row>
    <row r="51" spans="2:21" x14ac:dyDescent="0.35">
      <c r="B51" s="15" t="s">
        <v>194</v>
      </c>
      <c r="C51" s="15">
        <v>124.01900000000001</v>
      </c>
      <c r="D51" s="15">
        <v>756</v>
      </c>
      <c r="E51" s="15">
        <v>756</v>
      </c>
      <c r="F51" s="15">
        <v>123.422</v>
      </c>
      <c r="G51" s="15">
        <v>231</v>
      </c>
      <c r="H51" s="15">
        <v>231</v>
      </c>
      <c r="I51" s="15">
        <v>123.599</v>
      </c>
      <c r="J51" s="15">
        <v>10.181800000000001</v>
      </c>
      <c r="K51" s="15">
        <v>0</v>
      </c>
      <c r="L51" s="15">
        <v>20.181799999999999</v>
      </c>
      <c r="M51" s="15">
        <v>0</v>
      </c>
      <c r="N51" s="15">
        <v>123.529</v>
      </c>
      <c r="O51" s="15">
        <v>0</v>
      </c>
      <c r="P51" s="15">
        <v>2</v>
      </c>
      <c r="Q51" s="15">
        <v>123.599</v>
      </c>
      <c r="R51" s="15">
        <v>123.459</v>
      </c>
      <c r="S51" s="15">
        <v>123.599</v>
      </c>
      <c r="T51" s="15">
        <v>123.599</v>
      </c>
      <c r="U51" s="15">
        <v>123.599</v>
      </c>
    </row>
    <row r="52" spans="2:21" x14ac:dyDescent="0.35">
      <c r="B52" s="15" t="s">
        <v>196</v>
      </c>
      <c r="C52" s="15">
        <v>0.1303</v>
      </c>
      <c r="D52" s="15">
        <v>11</v>
      </c>
      <c r="E52" s="15">
        <v>11</v>
      </c>
      <c r="F52" s="15">
        <v>0.13020000000000001</v>
      </c>
      <c r="G52" s="15">
        <v>1</v>
      </c>
      <c r="H52" s="15">
        <v>1</v>
      </c>
      <c r="I52" s="15">
        <v>0.13059999999999999</v>
      </c>
      <c r="J52" s="15">
        <v>14.78758936</v>
      </c>
      <c r="K52" s="15">
        <v>203.60153908000001</v>
      </c>
      <c r="L52" s="15">
        <v>1082.63703661</v>
      </c>
      <c r="M52" s="15">
        <v>0.13221061000000001</v>
      </c>
      <c r="N52" s="15">
        <v>0.13336208999999999</v>
      </c>
      <c r="O52" s="15">
        <v>29</v>
      </c>
      <c r="P52" s="15">
        <v>181</v>
      </c>
      <c r="Q52" s="15">
        <v>0.13059999999999999</v>
      </c>
      <c r="R52" s="15">
        <v>0.1305</v>
      </c>
      <c r="S52" s="15">
        <v>0.13300000000000001</v>
      </c>
      <c r="T52" s="15">
        <v>0.1348</v>
      </c>
      <c r="U52" s="15">
        <v>0.13170000000000001</v>
      </c>
    </row>
    <row r="53" spans="2:21" x14ac:dyDescent="0.35">
      <c r="B53" s="15" t="s">
        <v>198</v>
      </c>
      <c r="C53" s="15">
        <v>28.12</v>
      </c>
      <c r="D53" s="15">
        <v>11</v>
      </c>
      <c r="E53" s="15">
        <v>11</v>
      </c>
      <c r="F53" s="15">
        <v>27.96</v>
      </c>
      <c r="G53" s="15">
        <v>1</v>
      </c>
      <c r="H53" s="15">
        <v>1</v>
      </c>
      <c r="I53" s="15">
        <v>27.98</v>
      </c>
      <c r="J53" s="15">
        <v>9.9999999999999995E-8</v>
      </c>
      <c r="K53" s="15">
        <v>594.28540056999998</v>
      </c>
      <c r="L53" s="15">
        <v>2597.8363727199999</v>
      </c>
      <c r="M53" s="15">
        <v>28.330331999999999</v>
      </c>
      <c r="N53" s="15">
        <v>28.668581</v>
      </c>
      <c r="O53" s="15">
        <v>71</v>
      </c>
      <c r="P53" s="15">
        <v>402</v>
      </c>
      <c r="Q53" s="15">
        <v>27.56</v>
      </c>
      <c r="R53" s="15">
        <v>26.95</v>
      </c>
      <c r="S53" s="15">
        <v>29.84</v>
      </c>
      <c r="T53" s="15">
        <v>30</v>
      </c>
      <c r="U53" s="15">
        <v>28.61</v>
      </c>
    </row>
    <row r="54" spans="2:21" x14ac:dyDescent="0.35">
      <c r="B54" s="15" t="s">
        <v>200</v>
      </c>
      <c r="C54" s="15">
        <v>31.79</v>
      </c>
      <c r="D54" s="15">
        <v>40</v>
      </c>
      <c r="E54" s="15">
        <v>40</v>
      </c>
      <c r="F54" s="15">
        <v>31.54</v>
      </c>
      <c r="G54" s="15">
        <v>5</v>
      </c>
      <c r="H54" s="15">
        <v>5</v>
      </c>
      <c r="I54" s="15">
        <v>31.87</v>
      </c>
      <c r="J54" s="15">
        <v>4.7908970000000002E-2</v>
      </c>
      <c r="K54" s="15">
        <v>21.480057200000001</v>
      </c>
      <c r="L54" s="15">
        <v>346.53542241000002</v>
      </c>
      <c r="M54" s="15">
        <v>32.240319</v>
      </c>
      <c r="N54" s="15">
        <v>32.055498</v>
      </c>
      <c r="O54" s="15">
        <v>24</v>
      </c>
      <c r="P54" s="15">
        <v>121</v>
      </c>
      <c r="Q54" s="15">
        <v>31.87</v>
      </c>
      <c r="R54" s="15">
        <v>30.99</v>
      </c>
      <c r="S54" s="15">
        <v>32.44</v>
      </c>
      <c r="T54" s="15">
        <v>32.799999999999997</v>
      </c>
      <c r="U54" s="15">
        <v>31.9</v>
      </c>
    </row>
    <row r="55" spans="2:21" x14ac:dyDescent="0.35">
      <c r="B55" s="15" t="s">
        <v>202</v>
      </c>
      <c r="C55" s="15">
        <v>3.2799999999999999E-3</v>
      </c>
      <c r="D55" s="15">
        <v>82</v>
      </c>
      <c r="E55" s="15">
        <v>82</v>
      </c>
      <c r="F55" s="15">
        <v>3.2699999999999999E-3</v>
      </c>
      <c r="G55" s="15">
        <v>1</v>
      </c>
      <c r="H55" s="15">
        <v>1</v>
      </c>
      <c r="I55" s="15">
        <v>3.2699999999999999E-3</v>
      </c>
      <c r="J55" s="15">
        <v>5.8608690899999996</v>
      </c>
      <c r="K55" s="15">
        <v>137.32375246000001</v>
      </c>
      <c r="L55" s="15">
        <v>1389.3170061000001</v>
      </c>
      <c r="M55" s="15">
        <v>3.3090699999999999E-3</v>
      </c>
      <c r="N55" s="15">
        <v>3.3441600000000001E-3</v>
      </c>
      <c r="O55" s="15">
        <v>34</v>
      </c>
      <c r="P55" s="15">
        <v>234</v>
      </c>
      <c r="Q55" s="15">
        <v>3.2699999999999999E-3</v>
      </c>
      <c r="R55" s="15">
        <v>3.2499999999999999E-3</v>
      </c>
      <c r="S55" s="15">
        <v>3.3300000000000001E-3</v>
      </c>
      <c r="T55" s="15">
        <v>3.3999999999999998E-3</v>
      </c>
      <c r="U55" s="15">
        <v>3.31E-3</v>
      </c>
    </row>
    <row r="56" spans="2:21" x14ac:dyDescent="0.35">
      <c r="B56" s="15" t="s">
        <v>204</v>
      </c>
      <c r="C56" s="15">
        <v>1.3651E-3</v>
      </c>
      <c r="D56" s="15">
        <v>1622</v>
      </c>
      <c r="E56" s="15">
        <v>1622</v>
      </c>
      <c r="F56" s="15">
        <v>1.3584999999999999E-3</v>
      </c>
      <c r="G56" s="15">
        <v>2067</v>
      </c>
      <c r="H56" s="15">
        <v>2067</v>
      </c>
      <c r="I56" s="15">
        <v>1.3646999999999999E-3</v>
      </c>
      <c r="J56" s="15">
        <v>5.7699999999999998E-6</v>
      </c>
      <c r="K56" s="15">
        <v>6999.9999920500004</v>
      </c>
      <c r="L56" s="15">
        <v>21374.851825099999</v>
      </c>
      <c r="M56" s="15">
        <v>1.3655049999999999E-3</v>
      </c>
      <c r="N56" s="15">
        <v>1.3772000000000001E-3</v>
      </c>
      <c r="O56" s="15">
        <v>12</v>
      </c>
      <c r="P56" s="15">
        <v>26</v>
      </c>
      <c r="Q56" s="15">
        <v>1.3642999999999999E-3</v>
      </c>
      <c r="R56" s="15">
        <v>1.3642999999999999E-3</v>
      </c>
      <c r="S56" s="15">
        <v>1.3725E-3</v>
      </c>
      <c r="T56" s="15">
        <v>1.3971000000000001E-3</v>
      </c>
      <c r="U56" s="15">
        <v>1.3725E-3</v>
      </c>
    </row>
    <row r="57" spans="2:21" x14ac:dyDescent="0.35">
      <c r="B57" s="15" t="s">
        <v>206</v>
      </c>
      <c r="C57" s="15">
        <v>0.29389999999999999</v>
      </c>
      <c r="D57" s="15">
        <v>1839</v>
      </c>
      <c r="E57" s="15">
        <v>1839</v>
      </c>
      <c r="F57" s="15">
        <v>0.29299999999999998</v>
      </c>
      <c r="G57" s="15">
        <v>2801</v>
      </c>
      <c r="H57" s="15">
        <v>2801</v>
      </c>
      <c r="I57" s="15">
        <v>0.29409999999999997</v>
      </c>
      <c r="J57" s="15">
        <v>50.9</v>
      </c>
      <c r="K57" s="15">
        <v>13873.35966192</v>
      </c>
      <c r="L57" s="15">
        <v>148039.85893727001</v>
      </c>
      <c r="M57" s="15">
        <v>0.29558200000000001</v>
      </c>
      <c r="N57" s="15">
        <v>0.29209299999999999</v>
      </c>
      <c r="O57" s="15">
        <v>28</v>
      </c>
      <c r="P57" s="15">
        <v>201</v>
      </c>
      <c r="Q57" s="15">
        <v>0.29349999999999998</v>
      </c>
      <c r="R57" s="15">
        <v>0.28710000000000002</v>
      </c>
      <c r="S57" s="15">
        <v>0.29749999999999999</v>
      </c>
      <c r="T57" s="15">
        <v>0.29820000000000002</v>
      </c>
      <c r="U57" s="15">
        <v>0.29649999999999999</v>
      </c>
    </row>
    <row r="58" spans="2:21" x14ac:dyDescent="0.35">
      <c r="B58" s="15" t="s">
        <v>208</v>
      </c>
      <c r="C58" s="15">
        <v>0.3322</v>
      </c>
      <c r="D58" s="15">
        <v>3594</v>
      </c>
      <c r="E58" s="15">
        <v>3594</v>
      </c>
      <c r="F58" s="15">
        <v>0.33069999999999999</v>
      </c>
      <c r="G58" s="15">
        <v>1694</v>
      </c>
      <c r="H58" s="15">
        <v>1694</v>
      </c>
      <c r="I58" s="15">
        <v>0.3327</v>
      </c>
      <c r="J58" s="15">
        <v>242.94770063000001</v>
      </c>
      <c r="K58" s="15">
        <v>4227.4177593200002</v>
      </c>
      <c r="L58" s="15">
        <v>73486.520656930006</v>
      </c>
      <c r="M58" s="15">
        <v>0.33199499999999998</v>
      </c>
      <c r="N58" s="15">
        <v>0.32200699999999999</v>
      </c>
      <c r="O58" s="15">
        <v>4</v>
      </c>
      <c r="P58" s="15">
        <v>95</v>
      </c>
      <c r="Q58" s="15">
        <v>0.33150000000000002</v>
      </c>
      <c r="R58" s="15">
        <v>0.308</v>
      </c>
      <c r="S58" s="15">
        <v>0.33700000000000002</v>
      </c>
      <c r="T58" s="15">
        <v>0.33700000000000002</v>
      </c>
      <c r="U58" s="15">
        <v>0.33700000000000002</v>
      </c>
    </row>
    <row r="59" spans="2:21" x14ac:dyDescent="0.35">
      <c r="B59" s="15" t="s">
        <v>210</v>
      </c>
      <c r="C59" s="15">
        <v>3.4289999999999999E-5</v>
      </c>
      <c r="D59" s="15">
        <v>1719</v>
      </c>
      <c r="E59" s="15">
        <v>1719</v>
      </c>
      <c r="F59" s="15">
        <v>3.413E-5</v>
      </c>
      <c r="G59" s="15">
        <v>1902</v>
      </c>
      <c r="H59" s="15">
        <v>1902</v>
      </c>
      <c r="I59" s="15">
        <v>3.434E-5</v>
      </c>
      <c r="J59" s="15">
        <v>58.1</v>
      </c>
      <c r="K59" s="15">
        <v>8579.2255531800001</v>
      </c>
      <c r="L59" s="15">
        <v>45386.316700269999</v>
      </c>
      <c r="M59" s="15">
        <v>3.4331E-5</v>
      </c>
      <c r="N59" s="15">
        <v>3.4029000000000002E-5</v>
      </c>
      <c r="O59" s="15">
        <v>13</v>
      </c>
      <c r="P59" s="15">
        <v>58</v>
      </c>
      <c r="Q59" s="15">
        <v>3.4249999999999999E-5</v>
      </c>
      <c r="R59" s="15">
        <v>3.4050000000000001E-5</v>
      </c>
      <c r="S59" s="15">
        <v>3.4459999999999999E-5</v>
      </c>
      <c r="T59" s="15">
        <v>3.489E-5</v>
      </c>
      <c r="U59" s="15">
        <v>3.4369999999999998E-5</v>
      </c>
    </row>
    <row r="60" spans="2:21" x14ac:dyDescent="0.35">
      <c r="B60" s="15" t="s">
        <v>212</v>
      </c>
      <c r="C60" s="15">
        <v>1.791448E-2</v>
      </c>
      <c r="D60" s="15">
        <v>132</v>
      </c>
      <c r="E60" s="15">
        <v>132</v>
      </c>
      <c r="F60" s="15">
        <v>1.7880569999999998E-2</v>
      </c>
      <c r="G60" s="15">
        <v>132</v>
      </c>
      <c r="H60" s="15">
        <v>132</v>
      </c>
      <c r="I60" s="15">
        <v>1.788766E-2</v>
      </c>
      <c r="J60" s="15">
        <v>100</v>
      </c>
      <c r="K60" s="15">
        <v>238.58615</v>
      </c>
      <c r="L60" s="15">
        <v>12944.29598402</v>
      </c>
      <c r="M60" s="15">
        <v>1.7888432999999999E-2</v>
      </c>
      <c r="N60" s="15">
        <v>1.7807909E-2</v>
      </c>
      <c r="O60" s="15">
        <v>4</v>
      </c>
      <c r="P60" s="15">
        <v>66</v>
      </c>
      <c r="Q60" s="15">
        <v>1.7824639999999999E-2</v>
      </c>
      <c r="R60" s="15">
        <v>1.7708600000000001E-2</v>
      </c>
      <c r="S60" s="15">
        <v>1.788909E-2</v>
      </c>
      <c r="T60" s="15">
        <v>1.8154920000000001E-2</v>
      </c>
      <c r="U60" s="15">
        <v>1.7824639999999999E-2</v>
      </c>
    </row>
    <row r="61" spans="2:21" x14ac:dyDescent="0.35">
      <c r="B61" s="15" t="s">
        <v>214</v>
      </c>
      <c r="C61" s="15">
        <v>3.8603499999999999</v>
      </c>
      <c r="D61" s="15">
        <v>236</v>
      </c>
      <c r="E61" s="15">
        <v>236</v>
      </c>
      <c r="F61" s="15">
        <v>3.8550399999999998</v>
      </c>
      <c r="G61" s="15">
        <v>195</v>
      </c>
      <c r="H61" s="15">
        <v>195</v>
      </c>
      <c r="I61" s="15">
        <v>3.8603499999999999</v>
      </c>
      <c r="J61" s="15">
        <v>10.34</v>
      </c>
      <c r="K61" s="15">
        <v>24950.148720270001</v>
      </c>
      <c r="L61" s="15">
        <v>96141.17553506</v>
      </c>
      <c r="M61" s="15">
        <v>3.8674110000000002</v>
      </c>
      <c r="N61" s="15">
        <v>3.8122120000000002</v>
      </c>
      <c r="O61" s="15">
        <v>136</v>
      </c>
      <c r="P61" s="15">
        <v>522</v>
      </c>
      <c r="Q61" s="15">
        <v>3.83846</v>
      </c>
      <c r="R61" s="15">
        <v>3.7475100000000001</v>
      </c>
      <c r="S61" s="15">
        <v>3.8913799999999998</v>
      </c>
      <c r="T61" s="15">
        <v>3.8913799999999998</v>
      </c>
      <c r="U61" s="15">
        <v>3.8470499999999999</v>
      </c>
    </row>
    <row r="62" spans="2:21" x14ac:dyDescent="0.35">
      <c r="B62" s="15" t="s">
        <v>216</v>
      </c>
      <c r="C62" s="15">
        <v>4.35839</v>
      </c>
      <c r="D62" s="15">
        <v>2297</v>
      </c>
      <c r="E62" s="15">
        <v>2297</v>
      </c>
      <c r="F62" s="15">
        <v>4.3523300000000003</v>
      </c>
      <c r="G62" s="15">
        <v>504</v>
      </c>
      <c r="H62" s="15">
        <v>504</v>
      </c>
      <c r="I62" s="15">
        <v>4.3570000000000002</v>
      </c>
      <c r="J62" s="15">
        <v>520.04</v>
      </c>
      <c r="K62" s="15">
        <v>25696.953476530001</v>
      </c>
      <c r="L62" s="15">
        <v>119228.22698091999</v>
      </c>
      <c r="M62" s="15">
        <v>4.3569740000000001</v>
      </c>
      <c r="N62" s="15">
        <v>4.3000379999999998</v>
      </c>
      <c r="O62" s="15">
        <v>124</v>
      </c>
      <c r="P62" s="15">
        <v>613</v>
      </c>
      <c r="Q62" s="15">
        <v>4.3272000000000004</v>
      </c>
      <c r="R62" s="15">
        <v>4.1938000000000004</v>
      </c>
      <c r="S62" s="15">
        <v>4.3875700000000002</v>
      </c>
      <c r="T62" s="15">
        <v>4.3875700000000002</v>
      </c>
      <c r="U62" s="15">
        <v>4.3470700000000004</v>
      </c>
    </row>
    <row r="63" spans="2:21" x14ac:dyDescent="0.35">
      <c r="B63" s="15" t="s">
        <v>218</v>
      </c>
      <c r="C63" s="15">
        <v>4.4978999999999999E-4</v>
      </c>
      <c r="D63" s="15">
        <v>144</v>
      </c>
      <c r="E63" s="15">
        <v>144</v>
      </c>
      <c r="F63" s="15">
        <v>4.4966E-4</v>
      </c>
      <c r="G63" s="15">
        <v>875</v>
      </c>
      <c r="H63" s="15">
        <v>875</v>
      </c>
      <c r="I63" s="15">
        <v>4.4966E-4</v>
      </c>
      <c r="J63" s="15">
        <v>10</v>
      </c>
      <c r="K63" s="15">
        <v>2799.5322966200001</v>
      </c>
      <c r="L63" s="15">
        <v>23859.182003130001</v>
      </c>
      <c r="M63" s="15">
        <v>4.4796199999999999E-4</v>
      </c>
      <c r="N63" s="15">
        <v>4.4503000000000001E-4</v>
      </c>
      <c r="O63" s="15">
        <v>43</v>
      </c>
      <c r="P63" s="15">
        <v>190</v>
      </c>
      <c r="Q63" s="15">
        <v>4.4464E-4</v>
      </c>
      <c r="R63" s="15">
        <v>4.4000000000000002E-4</v>
      </c>
      <c r="S63" s="15">
        <v>4.5307000000000002E-4</v>
      </c>
      <c r="T63" s="15">
        <v>4.5328000000000002E-4</v>
      </c>
      <c r="U63" s="15">
        <v>4.4558999999999999E-4</v>
      </c>
    </row>
    <row r="64" spans="2:21" x14ac:dyDescent="0.35">
      <c r="B64" s="15" t="s">
        <v>220</v>
      </c>
      <c r="C64" s="15">
        <v>5.2972499999999999E-3</v>
      </c>
      <c r="D64" s="15">
        <v>1077</v>
      </c>
      <c r="E64" s="15">
        <v>1077</v>
      </c>
      <c r="F64" s="15">
        <v>5.2530199999999997E-3</v>
      </c>
      <c r="G64" s="15">
        <v>83</v>
      </c>
      <c r="H64" s="15">
        <v>83</v>
      </c>
      <c r="I64" s="15">
        <v>5.2830899999999998E-3</v>
      </c>
      <c r="J64" s="15">
        <v>10</v>
      </c>
      <c r="K64" s="15">
        <v>116.43062879</v>
      </c>
      <c r="L64" s="15">
        <v>1621.06029696</v>
      </c>
      <c r="M64" s="15">
        <v>5.3233500000000001E-3</v>
      </c>
      <c r="N64" s="15">
        <v>5.374172E-3</v>
      </c>
      <c r="O64" s="15">
        <v>6</v>
      </c>
      <c r="P64" s="15">
        <v>30</v>
      </c>
      <c r="Q64" s="15">
        <v>5.2830899999999998E-3</v>
      </c>
      <c r="R64" s="15">
        <v>5.2830899999999998E-3</v>
      </c>
      <c r="S64" s="15">
        <v>5.3445400000000001E-3</v>
      </c>
      <c r="T64" s="15">
        <v>5.4332399999999998E-3</v>
      </c>
      <c r="U64" s="15">
        <v>5.3445400000000001E-3</v>
      </c>
    </row>
    <row r="65" spans="2:21" x14ac:dyDescent="0.35">
      <c r="B65" s="15" t="s">
        <v>6</v>
      </c>
      <c r="C65" s="15">
        <v>1.1419619999999999</v>
      </c>
      <c r="D65" s="15">
        <v>12</v>
      </c>
      <c r="E65" s="15">
        <v>12</v>
      </c>
      <c r="F65" s="15">
        <v>1.135016</v>
      </c>
      <c r="G65" s="15">
        <v>285</v>
      </c>
      <c r="H65" s="15">
        <v>285</v>
      </c>
      <c r="I65" s="15">
        <v>1.1394550000000001</v>
      </c>
      <c r="J65" s="15">
        <v>438.80627141000002</v>
      </c>
      <c r="K65" s="15">
        <v>10475.54322401</v>
      </c>
      <c r="L65" s="15">
        <v>46838.73304336</v>
      </c>
      <c r="M65" s="15">
        <v>1.1541079999999999</v>
      </c>
      <c r="N65" s="15">
        <v>1.1526289999999999</v>
      </c>
      <c r="O65" s="15">
        <v>43</v>
      </c>
      <c r="P65" s="15">
        <v>207</v>
      </c>
      <c r="Q65" s="15">
        <v>1.1394550000000001</v>
      </c>
      <c r="R65" s="15">
        <v>1.122001</v>
      </c>
      <c r="S65" s="15">
        <v>1.1637729999999999</v>
      </c>
      <c r="T65" s="15">
        <v>1.1719440000000001</v>
      </c>
      <c r="U65" s="15">
        <v>1.1579999999999999</v>
      </c>
    </row>
    <row r="66" spans="2:21" x14ac:dyDescent="0.35">
      <c r="B66" s="15" t="s">
        <v>223</v>
      </c>
      <c r="C66" s="15">
        <v>1.284289</v>
      </c>
      <c r="D66" s="15">
        <v>12</v>
      </c>
      <c r="E66" s="15">
        <v>12</v>
      </c>
      <c r="F66" s="15">
        <v>1.282238</v>
      </c>
      <c r="G66" s="15">
        <v>453</v>
      </c>
      <c r="H66" s="15">
        <v>453</v>
      </c>
      <c r="I66" s="15">
        <v>1.284289</v>
      </c>
      <c r="J66" s="15">
        <v>43.771834220000002</v>
      </c>
      <c r="K66" s="15">
        <v>98.368348159999996</v>
      </c>
      <c r="L66" s="15">
        <v>12638.62865135</v>
      </c>
      <c r="M66" s="15">
        <v>1.3017160000000001</v>
      </c>
      <c r="N66" s="15">
        <v>1.29471</v>
      </c>
      <c r="O66" s="15">
        <v>3</v>
      </c>
      <c r="P66" s="15">
        <v>56</v>
      </c>
      <c r="Q66" s="15">
        <v>1.284289</v>
      </c>
      <c r="R66" s="15">
        <v>1.2523610000000001</v>
      </c>
      <c r="S66" s="15">
        <v>1.3157319999999999</v>
      </c>
      <c r="T66" s="15">
        <v>1.3180480000000001</v>
      </c>
      <c r="U66" s="15">
        <v>1.3053840000000001</v>
      </c>
    </row>
    <row r="67" spans="2:21" x14ac:dyDescent="0.35">
      <c r="B67" s="15" t="s">
        <v>225</v>
      </c>
      <c r="C67" s="15">
        <v>1.3277699999999999E-4</v>
      </c>
      <c r="D67" s="15">
        <v>447</v>
      </c>
      <c r="E67" s="15">
        <v>447</v>
      </c>
      <c r="F67" s="15">
        <v>1.3237500000000001E-4</v>
      </c>
      <c r="G67" s="15">
        <v>447</v>
      </c>
      <c r="H67" s="15">
        <v>447</v>
      </c>
      <c r="I67" s="15">
        <v>1.3256100000000001E-4</v>
      </c>
      <c r="J67" s="15">
        <v>82.808018820000001</v>
      </c>
      <c r="K67" s="15">
        <v>8743.9564710800005</v>
      </c>
      <c r="L67" s="15">
        <v>24613.133753949998</v>
      </c>
      <c r="M67" s="15">
        <v>1.3342200000000001E-4</v>
      </c>
      <c r="N67" s="15">
        <v>1.33905E-4</v>
      </c>
      <c r="O67" s="15">
        <v>46</v>
      </c>
      <c r="P67" s="15">
        <v>130</v>
      </c>
      <c r="Q67" s="15">
        <v>1.32022E-4</v>
      </c>
      <c r="R67" s="15">
        <v>1.32022E-4</v>
      </c>
      <c r="S67" s="15">
        <v>1.34473E-4</v>
      </c>
      <c r="T67" s="15">
        <v>1.3714200000000001E-4</v>
      </c>
      <c r="U67" s="15">
        <v>1.3394899999999999E-4</v>
      </c>
    </row>
    <row r="68" spans="2:21" x14ac:dyDescent="0.35">
      <c r="B68" s="15" t="s">
        <v>227</v>
      </c>
      <c r="C68" s="15">
        <v>0.19098000000000001</v>
      </c>
      <c r="D68" s="15">
        <v>12</v>
      </c>
      <c r="E68" s="15">
        <v>12</v>
      </c>
      <c r="F68" s="15">
        <v>0.19061</v>
      </c>
      <c r="G68" s="15">
        <v>12</v>
      </c>
      <c r="H68" s="15">
        <v>12</v>
      </c>
      <c r="I68" s="15">
        <v>0.19034000000000001</v>
      </c>
      <c r="J68" s="15">
        <v>17.249919930000001</v>
      </c>
      <c r="K68" s="15">
        <v>37.663775610000002</v>
      </c>
      <c r="L68" s="15">
        <v>190.77707046</v>
      </c>
      <c r="M68" s="15">
        <v>0.19047900000000001</v>
      </c>
      <c r="N68" s="15">
        <v>0.192159</v>
      </c>
      <c r="O68" s="15">
        <v>13</v>
      </c>
      <c r="P68" s="15">
        <v>43</v>
      </c>
      <c r="Q68" s="15">
        <v>0.19034000000000001</v>
      </c>
      <c r="R68" s="15">
        <v>0.19034000000000001</v>
      </c>
      <c r="S68" s="15">
        <v>0.19200999999999999</v>
      </c>
      <c r="T68" s="15">
        <v>0.19339999999999999</v>
      </c>
      <c r="U68" s="15">
        <v>0.19200999999999999</v>
      </c>
    </row>
    <row r="69" spans="2:21" x14ac:dyDescent="0.35">
      <c r="B69" s="15" t="s">
        <v>229</v>
      </c>
      <c r="C69" s="15">
        <v>36.812480000000001</v>
      </c>
      <c r="D69" s="15">
        <v>8</v>
      </c>
      <c r="E69" s="15">
        <v>8</v>
      </c>
      <c r="F69" s="15">
        <v>36.231200000000001</v>
      </c>
      <c r="G69" s="15">
        <v>9</v>
      </c>
      <c r="H69" s="15">
        <v>9</v>
      </c>
      <c r="I69" s="15">
        <v>36.85</v>
      </c>
      <c r="J69" s="15">
        <v>1.4094</v>
      </c>
      <c r="K69" s="15">
        <v>3.7343999999999999</v>
      </c>
      <c r="L69" s="15">
        <v>14.257357689999999</v>
      </c>
      <c r="M69" s="15">
        <v>36.85</v>
      </c>
      <c r="N69" s="15">
        <v>36.57929</v>
      </c>
      <c r="O69" s="15">
        <v>1</v>
      </c>
      <c r="P69" s="15">
        <v>9</v>
      </c>
      <c r="Q69" s="15">
        <v>36.316459999999999</v>
      </c>
      <c r="R69" s="15">
        <v>36</v>
      </c>
      <c r="S69" s="15">
        <v>36.85</v>
      </c>
      <c r="T69" s="15">
        <v>36.933889999999998</v>
      </c>
      <c r="U69" s="15">
        <v>36.316459999999999</v>
      </c>
    </row>
    <row r="70" spans="2:21" x14ac:dyDescent="0.35">
      <c r="B70" s="15" t="s">
        <v>231</v>
      </c>
      <c r="C70" s="15">
        <v>46.480150000000002</v>
      </c>
      <c r="D70" s="15">
        <v>12</v>
      </c>
      <c r="E70" s="15">
        <v>12</v>
      </c>
      <c r="F70" s="15">
        <v>46.200899999999997</v>
      </c>
      <c r="G70" s="15">
        <v>10</v>
      </c>
      <c r="H70" s="15">
        <v>10</v>
      </c>
      <c r="I70" s="15">
        <v>46.861829999999998</v>
      </c>
      <c r="J70" s="15">
        <v>5.1558006299999999</v>
      </c>
      <c r="K70" s="15">
        <v>103.68905554</v>
      </c>
      <c r="L70" s="15">
        <v>190.97902818</v>
      </c>
      <c r="M70" s="15">
        <v>46.823351000000002</v>
      </c>
      <c r="N70" s="15">
        <v>46.627507999999999</v>
      </c>
      <c r="O70" s="15">
        <v>9</v>
      </c>
      <c r="P70" s="15">
        <v>39</v>
      </c>
      <c r="Q70" s="15">
        <v>46.688090000000003</v>
      </c>
      <c r="R70" s="15">
        <v>45.174480000000003</v>
      </c>
      <c r="S70" s="15">
        <v>46.862290000000002</v>
      </c>
      <c r="T70" s="15">
        <v>46.862290000000002</v>
      </c>
      <c r="U70" s="15">
        <v>46.775219999999997</v>
      </c>
    </row>
    <row r="71" spans="2:21" x14ac:dyDescent="0.35">
      <c r="B71" s="15" t="s">
        <v>233</v>
      </c>
      <c r="C71" s="15">
        <v>4.27737E-3</v>
      </c>
      <c r="D71" s="15">
        <v>570</v>
      </c>
      <c r="E71" s="15">
        <v>570</v>
      </c>
      <c r="F71" s="15">
        <v>4.2450400000000003E-3</v>
      </c>
      <c r="G71" s="15">
        <v>323</v>
      </c>
      <c r="H71" s="15">
        <v>323</v>
      </c>
      <c r="I71" s="15">
        <v>4.3026200000000001E-3</v>
      </c>
      <c r="J71" s="15">
        <v>100.10383236</v>
      </c>
      <c r="K71" s="15">
        <v>2431.7726624900001</v>
      </c>
      <c r="L71" s="15">
        <v>41950.450987769997</v>
      </c>
      <c r="M71" s="15">
        <v>4.396535E-3</v>
      </c>
      <c r="N71" s="15">
        <v>4.4733209999999997E-3</v>
      </c>
      <c r="O71" s="15">
        <v>12</v>
      </c>
      <c r="P71" s="15">
        <v>167</v>
      </c>
      <c r="Q71" s="15">
        <v>4.3026200000000001E-3</v>
      </c>
      <c r="R71" s="15">
        <v>4.2355200000000004E-3</v>
      </c>
      <c r="S71" s="15">
        <v>4.4301000000000002E-3</v>
      </c>
      <c r="T71" s="15">
        <v>4.6412199999999997E-3</v>
      </c>
      <c r="U71" s="15">
        <v>4.3538300000000004E-3</v>
      </c>
    </row>
    <row r="72" spans="2:21" x14ac:dyDescent="0.35">
      <c r="B72" s="15" t="s">
        <v>235</v>
      </c>
      <c r="C72" s="15">
        <v>0.92</v>
      </c>
      <c r="D72" s="15">
        <v>564</v>
      </c>
      <c r="E72" s="15">
        <v>564</v>
      </c>
      <c r="F72" s="15">
        <v>0.91584200000000004</v>
      </c>
      <c r="G72" s="15">
        <v>739</v>
      </c>
      <c r="H72" s="15">
        <v>739</v>
      </c>
      <c r="I72" s="15">
        <v>0.91999900000000001</v>
      </c>
      <c r="J72" s="15">
        <v>19.022738059999998</v>
      </c>
      <c r="K72" s="15">
        <v>12691.08987342</v>
      </c>
      <c r="L72" s="15">
        <v>218787.11063385001</v>
      </c>
      <c r="M72" s="15">
        <v>0.93818199999999996</v>
      </c>
      <c r="N72" s="15">
        <v>0.95788600000000002</v>
      </c>
      <c r="O72" s="15">
        <v>55</v>
      </c>
      <c r="P72" s="15">
        <v>920</v>
      </c>
      <c r="Q72" s="15">
        <v>0.91226799999999997</v>
      </c>
      <c r="R72" s="15">
        <v>0.89201200000000003</v>
      </c>
      <c r="S72" s="15">
        <v>0.96362800000000004</v>
      </c>
      <c r="T72" s="15">
        <v>0.99899899999999997</v>
      </c>
      <c r="U72" s="15">
        <v>0.93972199999999995</v>
      </c>
    </row>
    <row r="73" spans="2:21" x14ac:dyDescent="0.35">
      <c r="B73" s="15" t="s">
        <v>237</v>
      </c>
      <c r="C73" s="15">
        <v>1.039839</v>
      </c>
      <c r="D73" s="15">
        <v>666</v>
      </c>
      <c r="E73" s="15">
        <v>666</v>
      </c>
      <c r="F73" s="15">
        <v>1.0352790000000001</v>
      </c>
      <c r="G73" s="15">
        <v>666</v>
      </c>
      <c r="H73" s="15">
        <v>666</v>
      </c>
      <c r="I73" s="15">
        <v>1.0351539999999999</v>
      </c>
      <c r="J73" s="15">
        <v>1.8E-7</v>
      </c>
      <c r="K73" s="15">
        <v>17857.48377499</v>
      </c>
      <c r="L73" s="15">
        <v>145223.86523363</v>
      </c>
      <c r="M73" s="15">
        <v>1.0689930000000001</v>
      </c>
      <c r="N73" s="15">
        <v>1.0723050000000001</v>
      </c>
      <c r="O73" s="15">
        <v>65</v>
      </c>
      <c r="P73" s="15">
        <v>574</v>
      </c>
      <c r="Q73" s="15">
        <v>1.0349900000000001</v>
      </c>
      <c r="R73" s="15">
        <v>1.0049999999999999</v>
      </c>
      <c r="S73" s="15">
        <v>1.091599</v>
      </c>
      <c r="T73" s="15">
        <v>1.1304959999999999</v>
      </c>
      <c r="U73" s="15">
        <v>1.057002</v>
      </c>
    </row>
    <row r="74" spans="2:21" x14ac:dyDescent="0.35">
      <c r="B74" s="15" t="s">
        <v>239</v>
      </c>
      <c r="C74" s="15">
        <v>1.07445E-4</v>
      </c>
      <c r="D74" s="15">
        <v>660</v>
      </c>
      <c r="E74" s="15">
        <v>660</v>
      </c>
      <c r="F74" s="15">
        <v>1.06859E-4</v>
      </c>
      <c r="G74" s="15">
        <v>661</v>
      </c>
      <c r="H74" s="15">
        <v>661</v>
      </c>
      <c r="I74" s="15">
        <v>1.07476E-4</v>
      </c>
      <c r="J74" s="15">
        <v>19</v>
      </c>
      <c r="K74" s="15">
        <v>11700.56121285</v>
      </c>
      <c r="L74" s="15">
        <v>127008.08896858001</v>
      </c>
      <c r="M74" s="15">
        <v>1.09962E-4</v>
      </c>
      <c r="N74" s="15">
        <v>1.11321E-4</v>
      </c>
      <c r="O74" s="15">
        <v>42</v>
      </c>
      <c r="P74" s="15">
        <v>484</v>
      </c>
      <c r="Q74" s="15">
        <v>1.069E-4</v>
      </c>
      <c r="R74" s="15">
        <v>1.06E-4</v>
      </c>
      <c r="S74" s="15">
        <v>1.11556E-4</v>
      </c>
      <c r="T74" s="15">
        <v>1.18137E-4</v>
      </c>
      <c r="U74" s="15">
        <v>1.08857E-4</v>
      </c>
    </row>
    <row r="75" spans="2:21" x14ac:dyDescent="0.35">
      <c r="B75" s="15" t="s">
        <v>241</v>
      </c>
      <c r="C75" s="15">
        <v>6.9088600000000002E-3</v>
      </c>
      <c r="D75" s="15">
        <v>223</v>
      </c>
      <c r="E75" s="15">
        <v>223</v>
      </c>
      <c r="F75" s="15">
        <v>6.8743900000000002E-3</v>
      </c>
      <c r="G75" s="15">
        <v>303</v>
      </c>
      <c r="H75" s="15">
        <v>303</v>
      </c>
      <c r="I75" s="15">
        <v>7.0529800000000004E-3</v>
      </c>
      <c r="J75" s="15">
        <v>1E-8</v>
      </c>
      <c r="K75" s="15">
        <v>0</v>
      </c>
      <c r="L75" s="15">
        <v>636.56988636999995</v>
      </c>
      <c r="M75" s="15">
        <v>0</v>
      </c>
      <c r="N75" s="15">
        <v>7.0552940000000001E-3</v>
      </c>
      <c r="O75" s="15">
        <v>0</v>
      </c>
      <c r="P75" s="15">
        <v>8</v>
      </c>
      <c r="Q75" s="15">
        <v>7.0529800000000004E-3</v>
      </c>
      <c r="R75" s="15">
        <v>7.0480899999999999E-3</v>
      </c>
      <c r="S75" s="15">
        <v>7.0529800000000004E-3</v>
      </c>
      <c r="T75" s="15">
        <v>7.0978999999999999E-3</v>
      </c>
      <c r="U75" s="15">
        <v>7.0529800000000004E-3</v>
      </c>
    </row>
    <row r="76" spans="2:21" x14ac:dyDescent="0.35">
      <c r="B76" s="15" t="s">
        <v>243</v>
      </c>
      <c r="C76" s="15">
        <v>1.4851989999999999</v>
      </c>
      <c r="D76" s="15">
        <v>386</v>
      </c>
      <c r="E76" s="15">
        <v>386</v>
      </c>
      <c r="F76" s="15">
        <v>1.481395</v>
      </c>
      <c r="G76" s="15">
        <v>386</v>
      </c>
      <c r="H76" s="15">
        <v>386</v>
      </c>
      <c r="I76" s="15">
        <v>1.484008</v>
      </c>
      <c r="J76" s="15">
        <v>20</v>
      </c>
      <c r="K76" s="15">
        <v>6384.7532643900004</v>
      </c>
      <c r="L76" s="15">
        <v>26204.863813489999</v>
      </c>
      <c r="M76" s="15">
        <v>1.487544</v>
      </c>
      <c r="N76" s="15">
        <v>1.4942599999999999</v>
      </c>
      <c r="O76" s="15">
        <v>31</v>
      </c>
      <c r="P76" s="15">
        <v>191</v>
      </c>
      <c r="Q76" s="15">
        <v>1.478326</v>
      </c>
      <c r="R76" s="15">
        <v>1.4782090000000001</v>
      </c>
      <c r="S76" s="15">
        <v>1.5032000000000001</v>
      </c>
      <c r="T76" s="15">
        <v>1.526211</v>
      </c>
      <c r="U76" s="15">
        <v>1.5032000000000001</v>
      </c>
    </row>
    <row r="77" spans="2:21" x14ac:dyDescent="0.35">
      <c r="B77" s="15" t="s">
        <v>245</v>
      </c>
      <c r="C77" s="15">
        <v>1.6769529999999999</v>
      </c>
      <c r="D77" s="15">
        <v>417</v>
      </c>
      <c r="E77" s="15">
        <v>417</v>
      </c>
      <c r="F77" s="15">
        <v>1.672634</v>
      </c>
      <c r="G77" s="15">
        <v>417</v>
      </c>
      <c r="H77" s="15">
        <v>417</v>
      </c>
      <c r="I77" s="15">
        <v>1.6750659999999999</v>
      </c>
      <c r="J77" s="15">
        <v>72.69229</v>
      </c>
      <c r="K77" s="15">
        <v>1868.3636505699999</v>
      </c>
      <c r="L77" s="15">
        <v>20991.582599000001</v>
      </c>
      <c r="M77" s="15">
        <v>1.690882</v>
      </c>
      <c r="N77" s="15">
        <v>1.6811990000000001</v>
      </c>
      <c r="O77" s="15">
        <v>13</v>
      </c>
      <c r="P77" s="15">
        <v>130</v>
      </c>
      <c r="Q77" s="15">
        <v>1.6750659999999999</v>
      </c>
      <c r="R77" s="15">
        <v>1.6601969999999999</v>
      </c>
      <c r="S77" s="15">
        <v>1.7055709999999999</v>
      </c>
      <c r="T77" s="15">
        <v>1.7210840000000001</v>
      </c>
      <c r="U77" s="15">
        <v>1.6973670000000001</v>
      </c>
    </row>
    <row r="78" spans="2:21" x14ac:dyDescent="0.35">
      <c r="B78" s="15" t="s">
        <v>247</v>
      </c>
      <c r="C78" s="15">
        <v>1.7300599999999999E-4</v>
      </c>
      <c r="D78" s="15">
        <v>341</v>
      </c>
      <c r="E78" s="15">
        <v>341</v>
      </c>
      <c r="F78" s="15">
        <v>1.7260600000000001E-4</v>
      </c>
      <c r="G78" s="15">
        <v>341</v>
      </c>
      <c r="H78" s="15">
        <v>341</v>
      </c>
      <c r="I78" s="15">
        <v>1.7312999999999999E-4</v>
      </c>
      <c r="J78" s="15">
        <v>33.232763470000002</v>
      </c>
      <c r="K78" s="15">
        <v>1235.5517894100001</v>
      </c>
      <c r="L78" s="15">
        <v>8493.3324861199999</v>
      </c>
      <c r="M78" s="15">
        <v>1.7370999999999999E-4</v>
      </c>
      <c r="N78" s="15">
        <v>1.7128600000000001E-4</v>
      </c>
      <c r="O78" s="15">
        <v>12</v>
      </c>
      <c r="P78" s="15">
        <v>73</v>
      </c>
      <c r="Q78" s="15">
        <v>1.7312999999999999E-4</v>
      </c>
      <c r="R78" s="15">
        <v>1.7312999999999999E-4</v>
      </c>
      <c r="S78" s="15">
        <v>1.7475100000000001E-4</v>
      </c>
      <c r="T78" s="15">
        <v>1.7938900000000001E-4</v>
      </c>
      <c r="U78" s="15">
        <v>1.7401E-4</v>
      </c>
    </row>
    <row r="79" spans="2:21" x14ac:dyDescent="0.35">
      <c r="B79" s="15" t="s">
        <v>249</v>
      </c>
      <c r="C79" s="15">
        <v>8.1119999999999999E-4</v>
      </c>
      <c r="D79" s="15">
        <v>6088</v>
      </c>
      <c r="E79" s="15">
        <v>6088</v>
      </c>
      <c r="F79" s="15">
        <v>8.0650000000000003E-4</v>
      </c>
      <c r="G79" s="15">
        <v>4089</v>
      </c>
      <c r="H79" s="15">
        <v>4089</v>
      </c>
      <c r="I79" s="15">
        <v>8.1139999999999999E-4</v>
      </c>
      <c r="J79" s="15">
        <v>135</v>
      </c>
      <c r="K79" s="15">
        <v>3956.52348588</v>
      </c>
      <c r="L79" s="15">
        <v>41485.59006332</v>
      </c>
      <c r="M79" s="15">
        <v>8.0747999999999996E-4</v>
      </c>
      <c r="N79" s="15">
        <v>8.1654999999999998E-4</v>
      </c>
      <c r="O79" s="15">
        <v>3</v>
      </c>
      <c r="P79" s="15">
        <v>47</v>
      </c>
      <c r="Q79" s="15">
        <v>8.0730000000000005E-4</v>
      </c>
      <c r="R79" s="15">
        <v>8.0730000000000005E-4</v>
      </c>
      <c r="S79" s="15">
        <v>8.1680000000000001E-4</v>
      </c>
      <c r="T79" s="15">
        <v>8.2870000000000003E-4</v>
      </c>
      <c r="U79" s="15">
        <v>8.1680000000000001E-4</v>
      </c>
    </row>
    <row r="80" spans="2:21" x14ac:dyDescent="0.35">
      <c r="B80" s="15" t="s">
        <v>251</v>
      </c>
      <c r="C80" s="15">
        <v>0.17449000000000001</v>
      </c>
      <c r="D80" s="15">
        <v>4503</v>
      </c>
      <c r="E80" s="15">
        <v>4503</v>
      </c>
      <c r="F80" s="15">
        <v>0.1739</v>
      </c>
      <c r="G80" s="15">
        <v>2540</v>
      </c>
      <c r="H80" s="15">
        <v>2540</v>
      </c>
      <c r="I80" s="15">
        <v>0.17449000000000001</v>
      </c>
      <c r="J80" s="15">
        <v>100</v>
      </c>
      <c r="K80" s="15">
        <v>94535.782229830002</v>
      </c>
      <c r="L80" s="15">
        <v>246650.01893167</v>
      </c>
      <c r="M80" s="15">
        <v>0.17496</v>
      </c>
      <c r="N80" s="15">
        <v>0.173538</v>
      </c>
      <c r="O80" s="15">
        <v>61</v>
      </c>
      <c r="P80" s="15">
        <v>180</v>
      </c>
      <c r="Q80" s="15">
        <v>0.17362</v>
      </c>
      <c r="R80" s="15">
        <v>0.16200000000000001</v>
      </c>
      <c r="S80" s="15">
        <v>0.17655999999999999</v>
      </c>
      <c r="T80" s="15">
        <v>0.17710000000000001</v>
      </c>
      <c r="U80" s="15">
        <v>0.17466000000000001</v>
      </c>
    </row>
    <row r="81" spans="2:21" x14ac:dyDescent="0.35">
      <c r="B81" s="15" t="s">
        <v>253</v>
      </c>
      <c r="C81" s="15">
        <v>0.19725000000000001</v>
      </c>
      <c r="D81" s="15">
        <v>5408</v>
      </c>
      <c r="E81" s="15">
        <v>5408</v>
      </c>
      <c r="F81" s="15">
        <v>0.19645000000000001</v>
      </c>
      <c r="G81" s="15">
        <v>2541</v>
      </c>
      <c r="H81" s="15">
        <v>2541</v>
      </c>
      <c r="I81" s="15">
        <v>0.19650999999999999</v>
      </c>
      <c r="J81" s="15">
        <v>2107.49236883</v>
      </c>
      <c r="K81" s="15">
        <v>29472.305367649999</v>
      </c>
      <c r="L81" s="15">
        <v>69491.187241439999</v>
      </c>
      <c r="M81" s="15">
        <v>0.19781899999999999</v>
      </c>
      <c r="N81" s="15">
        <v>0.195218</v>
      </c>
      <c r="O81" s="15">
        <v>20</v>
      </c>
      <c r="P81" s="15">
        <v>62</v>
      </c>
      <c r="Q81" s="15">
        <v>0.19578999999999999</v>
      </c>
      <c r="R81" s="15">
        <v>0.19370000000000001</v>
      </c>
      <c r="S81" s="15">
        <v>0.19907</v>
      </c>
      <c r="T81" s="15">
        <v>0.19907</v>
      </c>
      <c r="U81" s="15">
        <v>0.19578999999999999</v>
      </c>
    </row>
    <row r="82" spans="2:21" x14ac:dyDescent="0.35">
      <c r="B82" s="15" t="s">
        <v>255</v>
      </c>
      <c r="C82" s="15">
        <v>2.0360000000000002E-5</v>
      </c>
      <c r="D82" s="15">
        <v>6900</v>
      </c>
      <c r="E82" s="15">
        <v>6900</v>
      </c>
      <c r="F82" s="15">
        <v>2.0259999999999999E-5</v>
      </c>
      <c r="G82" s="15">
        <v>6900</v>
      </c>
      <c r="H82" s="15">
        <v>6900</v>
      </c>
      <c r="I82" s="15">
        <v>2.039E-5</v>
      </c>
      <c r="J82" s="15">
        <v>2532</v>
      </c>
      <c r="K82" s="15">
        <v>76481.158996650003</v>
      </c>
      <c r="L82" s="15">
        <v>158981.63487996999</v>
      </c>
      <c r="M82" s="15">
        <v>2.0327E-5</v>
      </c>
      <c r="N82" s="15">
        <v>2.0231E-5</v>
      </c>
      <c r="O82" s="15">
        <v>49</v>
      </c>
      <c r="P82" s="15">
        <v>110</v>
      </c>
      <c r="Q82" s="15">
        <v>2.0190000000000002E-5</v>
      </c>
      <c r="R82" s="15">
        <v>2.0000000000000002E-5</v>
      </c>
      <c r="S82" s="15">
        <v>2.0440000000000001E-5</v>
      </c>
      <c r="T82" s="15">
        <v>2.0740000000000001E-5</v>
      </c>
      <c r="U82" s="15">
        <v>2.0190000000000002E-5</v>
      </c>
    </row>
    <row r="83" spans="2:21" x14ac:dyDescent="0.35">
      <c r="B83" s="15" t="s">
        <v>257</v>
      </c>
      <c r="C83" s="15">
        <v>7.0520050000000003</v>
      </c>
      <c r="D83" s="15">
        <v>1</v>
      </c>
      <c r="E83" s="15">
        <v>1</v>
      </c>
      <c r="F83" s="15">
        <v>6.912693</v>
      </c>
      <c r="G83" s="15">
        <v>1</v>
      </c>
      <c r="H83" s="15">
        <v>1</v>
      </c>
      <c r="I83" s="15">
        <v>6.9696249999999997</v>
      </c>
      <c r="J83" s="15">
        <v>1.0336100000000001E-2</v>
      </c>
      <c r="K83" s="15">
        <v>0.16088197000000001</v>
      </c>
      <c r="L83" s="15">
        <v>15.285221910000001</v>
      </c>
      <c r="M83" s="15">
        <v>7.0173277450000002</v>
      </c>
      <c r="N83" s="15">
        <v>7.083498842</v>
      </c>
      <c r="O83" s="15">
        <v>9</v>
      </c>
      <c r="P83" s="15">
        <v>48</v>
      </c>
      <c r="Q83" s="15">
        <v>6.9141000000000004</v>
      </c>
      <c r="R83" s="15">
        <v>6.9141000000000004</v>
      </c>
      <c r="S83" s="15">
        <v>7.0530730000000004</v>
      </c>
      <c r="T83" s="15">
        <v>7.2206979999999996</v>
      </c>
      <c r="U83" s="15">
        <v>6.9141000000000004</v>
      </c>
    </row>
    <row r="84" spans="2:21" x14ac:dyDescent="0.35">
      <c r="B84" s="15" t="s">
        <v>4</v>
      </c>
      <c r="C84" s="15">
        <v>1502.04</v>
      </c>
      <c r="D84" s="15">
        <v>1</v>
      </c>
      <c r="E84" s="15">
        <v>1</v>
      </c>
      <c r="F84" s="15">
        <v>1491.23</v>
      </c>
      <c r="G84" s="15">
        <v>1</v>
      </c>
      <c r="H84" s="15">
        <v>1</v>
      </c>
      <c r="I84" s="15">
        <v>1501.65</v>
      </c>
      <c r="J84" s="15">
        <v>0.1</v>
      </c>
      <c r="K84" s="15">
        <v>3.1757564899999999</v>
      </c>
      <c r="L84" s="15">
        <v>7.2854585500000004</v>
      </c>
      <c r="M84" s="15">
        <v>1500.2854600000001</v>
      </c>
      <c r="N84" s="15">
        <v>1498.0468860000001</v>
      </c>
      <c r="O84" s="15">
        <v>37</v>
      </c>
      <c r="P84" s="15">
        <v>96</v>
      </c>
      <c r="Q84" s="15">
        <v>1490.74</v>
      </c>
      <c r="R84" s="15">
        <v>1488.87</v>
      </c>
      <c r="S84" s="15">
        <v>1509.85</v>
      </c>
      <c r="T84" s="15">
        <v>1509.85</v>
      </c>
      <c r="U84" s="15">
        <v>1490.74</v>
      </c>
    </row>
    <row r="85" spans="2:21" x14ac:dyDescent="0.35">
      <c r="B85" s="15" t="s">
        <v>260</v>
      </c>
      <c r="C85" s="15">
        <v>1691.18</v>
      </c>
      <c r="D85" s="15">
        <v>1</v>
      </c>
      <c r="E85" s="15">
        <v>1</v>
      </c>
      <c r="F85" s="15">
        <v>1691.17</v>
      </c>
      <c r="G85" s="15">
        <v>1</v>
      </c>
      <c r="H85" s="15">
        <v>1</v>
      </c>
      <c r="I85" s="15">
        <v>1695</v>
      </c>
      <c r="J85" s="15">
        <v>0.98790767000000002</v>
      </c>
      <c r="K85" s="15">
        <v>4.6718980300000004</v>
      </c>
      <c r="L85" s="15">
        <v>15.08805682</v>
      </c>
      <c r="M85" s="15">
        <v>1691.709906</v>
      </c>
      <c r="N85" s="15">
        <v>1687.3395760000001</v>
      </c>
      <c r="O85" s="15">
        <v>188</v>
      </c>
      <c r="P85" s="15">
        <v>373</v>
      </c>
      <c r="Q85" s="15">
        <v>1686</v>
      </c>
      <c r="R85" s="15">
        <v>1680</v>
      </c>
      <c r="S85" s="15">
        <v>1695</v>
      </c>
      <c r="T85" s="15">
        <v>1695</v>
      </c>
      <c r="U85" s="15">
        <v>1686.06</v>
      </c>
    </row>
    <row r="86" spans="2:21" x14ac:dyDescent="0.35">
      <c r="B86" s="15" t="s">
        <v>262</v>
      </c>
      <c r="C86" s="15">
        <v>0.175595</v>
      </c>
      <c r="D86" s="15">
        <v>1</v>
      </c>
      <c r="E86" s="15">
        <v>1</v>
      </c>
      <c r="F86" s="15">
        <v>0.174592</v>
      </c>
      <c r="G86" s="15">
        <v>1</v>
      </c>
      <c r="H86" s="15">
        <v>1</v>
      </c>
      <c r="I86" s="15">
        <v>0.17374500000000001</v>
      </c>
      <c r="J86" s="15">
        <v>2.2789210000000001E-2</v>
      </c>
      <c r="K86" s="15">
        <v>12.95841444</v>
      </c>
      <c r="L86" s="15">
        <v>36.641402390000003</v>
      </c>
      <c r="M86" s="15">
        <v>0.17664475700000001</v>
      </c>
      <c r="N86" s="15">
        <v>0.176359867</v>
      </c>
      <c r="O86" s="15">
        <v>109</v>
      </c>
      <c r="P86" s="15">
        <v>314</v>
      </c>
      <c r="Q86" s="15">
        <v>0.172511</v>
      </c>
      <c r="R86" s="15">
        <v>0.172511</v>
      </c>
      <c r="S86" s="15">
        <v>0.18065999999999999</v>
      </c>
      <c r="T86" s="15">
        <v>0.18065999999999999</v>
      </c>
      <c r="U86" s="15">
        <v>0.172511</v>
      </c>
    </row>
    <row r="87" spans="2:21" x14ac:dyDescent="0.35">
      <c r="B87" s="15" t="s">
        <v>264</v>
      </c>
      <c r="C87" s="15">
        <v>7.4032000000000004E-3</v>
      </c>
      <c r="D87" s="15">
        <v>288</v>
      </c>
      <c r="E87" s="15">
        <v>288</v>
      </c>
      <c r="F87" s="15">
        <v>7.3822999999999996E-3</v>
      </c>
      <c r="G87" s="15">
        <v>288</v>
      </c>
      <c r="H87" s="15">
        <v>288</v>
      </c>
      <c r="I87" s="15">
        <v>7.4165999999999998E-3</v>
      </c>
      <c r="J87" s="15">
        <v>1.15E-6</v>
      </c>
      <c r="K87" s="15">
        <v>66</v>
      </c>
      <c r="L87" s="15">
        <v>270.51044175999999</v>
      </c>
      <c r="M87" s="15">
        <v>7.4165999999999998E-3</v>
      </c>
      <c r="N87" s="15">
        <v>7.4365100000000003E-3</v>
      </c>
      <c r="O87" s="15">
        <v>4</v>
      </c>
      <c r="P87" s="15">
        <v>16</v>
      </c>
      <c r="Q87" s="15">
        <v>7.4165999999999998E-3</v>
      </c>
      <c r="R87" s="15">
        <v>7.3718000000000004E-3</v>
      </c>
      <c r="S87" s="15">
        <v>7.4910000000000003E-3</v>
      </c>
      <c r="T87" s="15">
        <v>7.4910000000000003E-3</v>
      </c>
      <c r="U87" s="15">
        <v>7.4910000000000003E-3</v>
      </c>
    </row>
    <row r="88" spans="2:21" x14ac:dyDescent="0.35">
      <c r="B88" s="15" t="s">
        <v>266</v>
      </c>
      <c r="C88" s="15">
        <v>1.5951500000000001</v>
      </c>
      <c r="D88" s="15">
        <v>329</v>
      </c>
      <c r="E88" s="15">
        <v>329</v>
      </c>
      <c r="F88" s="15">
        <v>1.5907199999999999</v>
      </c>
      <c r="G88" s="15">
        <v>329</v>
      </c>
      <c r="H88" s="15">
        <v>329</v>
      </c>
      <c r="I88" s="15">
        <v>1.5937600000000001</v>
      </c>
      <c r="J88" s="15">
        <v>9.39</v>
      </c>
      <c r="K88" s="15">
        <v>4272.17939931</v>
      </c>
      <c r="L88" s="15">
        <v>24358.52741309</v>
      </c>
      <c r="M88" s="15">
        <v>1.6016790000000001</v>
      </c>
      <c r="N88" s="15">
        <v>1.5826530000000001</v>
      </c>
      <c r="O88" s="15">
        <v>30</v>
      </c>
      <c r="P88" s="15">
        <v>190</v>
      </c>
      <c r="Q88" s="15">
        <v>1.59033</v>
      </c>
      <c r="R88" s="15">
        <v>1.55576</v>
      </c>
      <c r="S88" s="15">
        <v>1.6108800000000001</v>
      </c>
      <c r="T88" s="15">
        <v>1.6161799999999999</v>
      </c>
      <c r="U88" s="15">
        <v>1.59545</v>
      </c>
    </row>
    <row r="89" spans="2:21" x14ac:dyDescent="0.35">
      <c r="B89" s="15" t="s">
        <v>268</v>
      </c>
      <c r="C89" s="15">
        <v>1.8010900000000001</v>
      </c>
      <c r="D89" s="15">
        <v>299</v>
      </c>
      <c r="E89" s="15">
        <v>299</v>
      </c>
      <c r="F89" s="15">
        <v>1.7964</v>
      </c>
      <c r="G89" s="15">
        <v>299</v>
      </c>
      <c r="H89" s="15">
        <v>299</v>
      </c>
      <c r="I89" s="15">
        <v>1.8043</v>
      </c>
      <c r="J89" s="15">
        <v>2.82158489</v>
      </c>
      <c r="K89" s="15">
        <v>4242.7685634999998</v>
      </c>
      <c r="L89" s="15">
        <v>12614.654777109999</v>
      </c>
      <c r="M89" s="15">
        <v>1.8093429999999999</v>
      </c>
      <c r="N89" s="15">
        <v>1.79637</v>
      </c>
      <c r="O89" s="15">
        <v>42</v>
      </c>
      <c r="P89" s="15">
        <v>110</v>
      </c>
      <c r="Q89" s="15">
        <v>1.80017</v>
      </c>
      <c r="R89" s="15">
        <v>1.74621</v>
      </c>
      <c r="S89" s="15">
        <v>1.81972</v>
      </c>
      <c r="T89" s="15">
        <v>1.8224100000000001</v>
      </c>
      <c r="U89" s="15">
        <v>1.8021199999999999</v>
      </c>
    </row>
    <row r="90" spans="2:21" x14ac:dyDescent="0.35">
      <c r="B90" s="15" t="s">
        <v>270</v>
      </c>
      <c r="C90" s="15">
        <v>1.8579999999999999E-4</v>
      </c>
      <c r="D90" s="15">
        <v>570</v>
      </c>
      <c r="E90" s="15">
        <v>570</v>
      </c>
      <c r="F90" s="15">
        <v>1.853E-4</v>
      </c>
      <c r="G90" s="15">
        <v>520</v>
      </c>
      <c r="H90" s="15">
        <v>520</v>
      </c>
      <c r="I90" s="15">
        <v>1.8589999999999999E-4</v>
      </c>
      <c r="J90" s="15">
        <v>50</v>
      </c>
      <c r="K90" s="15">
        <v>264.96757330999998</v>
      </c>
      <c r="L90" s="15">
        <v>3368.5727426399999</v>
      </c>
      <c r="M90" s="15">
        <v>1.8649000000000001E-4</v>
      </c>
      <c r="N90" s="15">
        <v>1.7673E-4</v>
      </c>
      <c r="O90" s="15">
        <v>12</v>
      </c>
      <c r="P90" s="15">
        <v>124</v>
      </c>
      <c r="Q90" s="15">
        <v>1.8489999999999999E-4</v>
      </c>
      <c r="R90" s="15">
        <v>1.8310000000000001E-4</v>
      </c>
      <c r="S90" s="15">
        <v>1.872E-4</v>
      </c>
      <c r="T90" s="15">
        <v>1.8929999999999999E-4</v>
      </c>
      <c r="U90" s="15">
        <v>1.8489999999999999E-4</v>
      </c>
    </row>
    <row r="91" spans="2:21" x14ac:dyDescent="0.35">
      <c r="B91" s="15" t="s">
        <v>272</v>
      </c>
      <c r="C91" s="15">
        <v>1.1029999999999999E-5</v>
      </c>
      <c r="D91" s="15">
        <v>130896</v>
      </c>
      <c r="E91" s="15">
        <v>130896</v>
      </c>
      <c r="F91" s="15">
        <v>1.093E-5</v>
      </c>
      <c r="G91" s="15">
        <v>66426</v>
      </c>
      <c r="H91" s="15">
        <v>66426</v>
      </c>
      <c r="I91" s="15">
        <v>1.1070000000000001E-5</v>
      </c>
      <c r="J91" s="15">
        <v>9149.1308325699993</v>
      </c>
      <c r="K91" s="15">
        <v>1124166.25053909</v>
      </c>
      <c r="L91" s="15">
        <v>3476507.8594918</v>
      </c>
      <c r="M91" s="15">
        <v>1.10179E-5</v>
      </c>
      <c r="N91" s="15">
        <v>1.0967399999999999E-5</v>
      </c>
      <c r="O91" s="15">
        <v>35</v>
      </c>
      <c r="P91" s="15">
        <v>68</v>
      </c>
      <c r="Q91" s="15">
        <v>1.0890000000000001E-5</v>
      </c>
      <c r="R91" s="15">
        <v>1.078E-5</v>
      </c>
      <c r="S91" s="15">
        <v>1.1090000000000001E-5</v>
      </c>
      <c r="T91" s="15">
        <v>1.1260000000000001E-5</v>
      </c>
      <c r="U91" s="15">
        <v>1.0900000000000001E-5</v>
      </c>
    </row>
    <row r="92" spans="2:21" x14ac:dyDescent="0.35">
      <c r="B92" s="15" t="s">
        <v>5</v>
      </c>
      <c r="C92" s="15">
        <v>2.3700000000000001E-3</v>
      </c>
      <c r="D92" s="15">
        <v>194738</v>
      </c>
      <c r="E92" s="15">
        <v>194738</v>
      </c>
      <c r="F92" s="15">
        <v>2.3600000000000001E-3</v>
      </c>
      <c r="G92" s="15">
        <v>233484</v>
      </c>
      <c r="H92" s="15">
        <v>233484</v>
      </c>
      <c r="I92" s="15">
        <v>2.3700000000000001E-3</v>
      </c>
      <c r="J92" s="15">
        <v>6318</v>
      </c>
      <c r="K92" s="15">
        <v>4199078.1189928995</v>
      </c>
      <c r="L92" s="15">
        <v>27704055.5099831</v>
      </c>
      <c r="M92" s="15">
        <v>2.382E-3</v>
      </c>
      <c r="N92" s="15">
        <v>1.8580000000000001E-3</v>
      </c>
      <c r="O92" s="15">
        <v>47</v>
      </c>
      <c r="P92" s="15">
        <v>366</v>
      </c>
      <c r="Q92" s="15">
        <v>2.3500000000000001E-3</v>
      </c>
      <c r="R92" s="15">
        <v>2.2499999999999998E-3</v>
      </c>
      <c r="S92" s="15">
        <v>2.4099999999999998E-3</v>
      </c>
      <c r="T92" s="15">
        <v>2.4199999999999998E-3</v>
      </c>
      <c r="U92" s="15">
        <v>2.3600000000000001E-3</v>
      </c>
    </row>
    <row r="93" spans="2:21" x14ac:dyDescent="0.35">
      <c r="B93" s="15" t="s">
        <v>275</v>
      </c>
      <c r="C93" s="15">
        <v>2.6800000000000001E-3</v>
      </c>
      <c r="D93" s="15">
        <v>111963</v>
      </c>
      <c r="E93" s="15">
        <v>111963</v>
      </c>
      <c r="F93" s="15">
        <v>2.66E-3</v>
      </c>
      <c r="G93" s="15">
        <v>196465</v>
      </c>
      <c r="H93" s="15">
        <v>196465</v>
      </c>
      <c r="I93" s="15">
        <v>2.6700000000000001E-3</v>
      </c>
      <c r="J93" s="15">
        <v>4.5561869999999997E-2</v>
      </c>
      <c r="K93" s="15">
        <v>4730986.1282094</v>
      </c>
      <c r="L93" s="15">
        <v>11557220.065247299</v>
      </c>
      <c r="M93" s="15">
        <v>2.6870000000000002E-3</v>
      </c>
      <c r="N93" s="15">
        <v>2.4220000000000001E-3</v>
      </c>
      <c r="O93" s="15">
        <v>46</v>
      </c>
      <c r="P93" s="15">
        <v>152</v>
      </c>
      <c r="Q93" s="15">
        <v>2.6700000000000001E-3</v>
      </c>
      <c r="R93" s="15">
        <v>2.5500000000000002E-3</v>
      </c>
      <c r="S93" s="15">
        <v>2.7100000000000002E-3</v>
      </c>
      <c r="T93" s="15">
        <v>2.7100000000000002E-3</v>
      </c>
      <c r="U93" s="15">
        <v>2.6700000000000001E-3</v>
      </c>
    </row>
    <row r="94" spans="2:21" x14ac:dyDescent="0.35">
      <c r="B94" s="15" t="s">
        <v>277</v>
      </c>
      <c r="C94" s="15">
        <v>2.7770000000000001E-7</v>
      </c>
      <c r="D94" s="15">
        <v>130896</v>
      </c>
      <c r="E94" s="15">
        <v>130896</v>
      </c>
      <c r="F94" s="15">
        <v>2.7329999999999999E-7</v>
      </c>
      <c r="G94" s="15">
        <v>156978</v>
      </c>
      <c r="H94" s="15">
        <v>156978</v>
      </c>
      <c r="I94" s="15">
        <v>2.7659999999999998E-7</v>
      </c>
      <c r="J94" s="15">
        <v>18355.262641109999</v>
      </c>
      <c r="K94" s="15">
        <v>8047621.2401737301</v>
      </c>
      <c r="L94" s="15">
        <v>17885439.680965502</v>
      </c>
      <c r="M94" s="15">
        <v>2.7669999999999998E-7</v>
      </c>
      <c r="N94" s="15">
        <v>2.5629999999999999E-7</v>
      </c>
      <c r="O94" s="15">
        <v>64</v>
      </c>
      <c r="P94" s="15">
        <v>144</v>
      </c>
      <c r="Q94" s="15">
        <v>2.734E-7</v>
      </c>
      <c r="R94" s="15">
        <v>2.6909999999999999E-7</v>
      </c>
      <c r="S94" s="15">
        <v>2.8000000000000002E-7</v>
      </c>
      <c r="T94" s="15">
        <v>2.8080000000000003E-7</v>
      </c>
      <c r="U94" s="15">
        <v>2.7389999999999998E-7</v>
      </c>
    </row>
    <row r="95" spans="2:21" x14ac:dyDescent="0.35">
      <c r="B95" s="15" t="s">
        <v>279</v>
      </c>
      <c r="C95" s="15">
        <v>7.5649999999999996E-5</v>
      </c>
      <c r="D95" s="15">
        <v>29056</v>
      </c>
      <c r="E95" s="15">
        <v>29056</v>
      </c>
      <c r="F95" s="15">
        <v>7.5350000000000002E-5</v>
      </c>
      <c r="G95" s="15">
        <v>29042</v>
      </c>
      <c r="H95" s="15">
        <v>29042</v>
      </c>
      <c r="I95" s="15">
        <v>7.5160000000000005E-5</v>
      </c>
      <c r="J95" s="15">
        <v>2.9999999999999999E-7</v>
      </c>
      <c r="K95" s="15">
        <v>1368439.8029219101</v>
      </c>
      <c r="L95" s="15">
        <v>1531815.1165857699</v>
      </c>
      <c r="M95" s="15">
        <v>7.57076E-5</v>
      </c>
      <c r="N95" s="15">
        <v>7.5515500000000006E-5</v>
      </c>
      <c r="O95" s="15">
        <v>38</v>
      </c>
      <c r="P95" s="15">
        <v>66</v>
      </c>
      <c r="Q95" s="15">
        <v>7.3720000000000006E-5</v>
      </c>
      <c r="R95" s="15">
        <v>7.1630000000000004E-5</v>
      </c>
      <c r="S95" s="15">
        <v>7.6730000000000006E-5</v>
      </c>
      <c r="T95" s="15">
        <v>7.6730000000000006E-5</v>
      </c>
      <c r="U95" s="15">
        <v>7.4729999999999998E-5</v>
      </c>
    </row>
    <row r="96" spans="2:21" x14ac:dyDescent="0.35">
      <c r="B96" s="15" t="s">
        <v>281</v>
      </c>
      <c r="C96" s="15">
        <v>1.6281E-2</v>
      </c>
      <c r="D96" s="15">
        <v>31075</v>
      </c>
      <c r="E96" s="15">
        <v>31075</v>
      </c>
      <c r="F96" s="15">
        <v>1.6247999999999999E-2</v>
      </c>
      <c r="G96" s="15">
        <v>272255</v>
      </c>
      <c r="H96" s="15">
        <v>272255</v>
      </c>
      <c r="I96" s="15">
        <v>1.6278999999999998E-2</v>
      </c>
      <c r="J96" s="15">
        <v>1838.08587751</v>
      </c>
      <c r="K96" s="15">
        <v>2154891.4121502899</v>
      </c>
      <c r="L96" s="15">
        <v>7126355.5341150202</v>
      </c>
      <c r="M96" s="15">
        <v>1.6256900000000001E-2</v>
      </c>
      <c r="N96" s="15">
        <v>1.59002E-2</v>
      </c>
      <c r="O96" s="15">
        <v>128</v>
      </c>
      <c r="P96" s="15">
        <v>494</v>
      </c>
      <c r="Q96" s="15">
        <v>1.5965E-2</v>
      </c>
      <c r="R96" s="15">
        <v>1.5001E-2</v>
      </c>
      <c r="S96" s="15">
        <v>1.6444E-2</v>
      </c>
      <c r="T96" s="15">
        <v>1.6444E-2</v>
      </c>
      <c r="U96" s="15">
        <v>1.5965E-2</v>
      </c>
    </row>
    <row r="97" spans="2:21" x14ac:dyDescent="0.35">
      <c r="B97" s="15" t="s">
        <v>283</v>
      </c>
      <c r="C97" s="15">
        <v>1.8383E-2</v>
      </c>
      <c r="D97" s="15">
        <v>30667</v>
      </c>
      <c r="E97" s="15">
        <v>30667</v>
      </c>
      <c r="F97" s="15">
        <v>1.8350999999999999E-2</v>
      </c>
      <c r="G97" s="15">
        <v>30669</v>
      </c>
      <c r="H97" s="15">
        <v>30669</v>
      </c>
      <c r="I97" s="15">
        <v>1.84E-2</v>
      </c>
      <c r="J97" s="15">
        <v>1086.9565</v>
      </c>
      <c r="K97" s="15">
        <v>1061007.6036251199</v>
      </c>
      <c r="L97" s="15">
        <v>8300184.7452125195</v>
      </c>
      <c r="M97" s="15">
        <v>1.83346E-2</v>
      </c>
      <c r="N97" s="15">
        <v>1.7785800000000001E-2</v>
      </c>
      <c r="O97" s="15">
        <v>53</v>
      </c>
      <c r="P97" s="15">
        <v>299</v>
      </c>
      <c r="Q97" s="15">
        <v>1.7987E-2</v>
      </c>
      <c r="R97" s="15">
        <v>1.6899999999999998E-2</v>
      </c>
      <c r="S97" s="15">
        <v>1.8537999999999999E-2</v>
      </c>
      <c r="T97" s="15">
        <v>1.8537999999999999E-2</v>
      </c>
      <c r="U97" s="15">
        <v>1.8169999999999999E-2</v>
      </c>
    </row>
    <row r="98" spans="2:21" x14ac:dyDescent="0.35">
      <c r="B98" s="15" t="s">
        <v>285</v>
      </c>
      <c r="C98" s="15">
        <v>1.8966E-6</v>
      </c>
      <c r="D98" s="15">
        <v>301504</v>
      </c>
      <c r="E98" s="15">
        <v>301504</v>
      </c>
      <c r="F98" s="15">
        <v>1.8935E-6</v>
      </c>
      <c r="G98" s="15">
        <v>29240</v>
      </c>
      <c r="H98" s="15">
        <v>29240</v>
      </c>
      <c r="I98" s="15">
        <v>1.8965E-6</v>
      </c>
      <c r="J98" s="15">
        <v>3000</v>
      </c>
      <c r="K98" s="15">
        <v>828223.86436344997</v>
      </c>
      <c r="L98" s="15">
        <v>2739851.7065840499</v>
      </c>
      <c r="M98" s="15">
        <v>1.8669000000000001E-6</v>
      </c>
      <c r="N98" s="15">
        <v>1.8491E-6</v>
      </c>
      <c r="O98" s="15">
        <v>63</v>
      </c>
      <c r="P98" s="15">
        <v>221</v>
      </c>
      <c r="Q98" s="15">
        <v>1.8441000000000001E-6</v>
      </c>
      <c r="R98" s="15">
        <v>1.795E-6</v>
      </c>
      <c r="S98" s="15">
        <v>1.9070999999999999E-6</v>
      </c>
      <c r="T98" s="15">
        <v>1.9070999999999999E-6</v>
      </c>
      <c r="U98" s="15">
        <v>1.8501000000000001E-6</v>
      </c>
    </row>
    <row r="99" spans="2:21" x14ac:dyDescent="0.35">
      <c r="B99" s="15" t="s">
        <v>287</v>
      </c>
      <c r="C99" s="15">
        <v>0.88580000000000003</v>
      </c>
      <c r="D99" s="15">
        <v>300</v>
      </c>
      <c r="E99" s="15">
        <v>300</v>
      </c>
      <c r="F99" s="15">
        <v>0.88549999999999995</v>
      </c>
      <c r="G99" s="15">
        <v>570</v>
      </c>
      <c r="H99" s="15">
        <v>570</v>
      </c>
      <c r="I99" s="15">
        <v>0.88519999999999999</v>
      </c>
      <c r="J99" s="15">
        <v>238.36479055999999</v>
      </c>
      <c r="K99" s="15">
        <v>30700.353388340001</v>
      </c>
      <c r="L99" s="15">
        <v>247328.47921202</v>
      </c>
      <c r="M99" s="15">
        <v>0.88553848000000002</v>
      </c>
      <c r="N99" s="15">
        <v>0.89658362999999996</v>
      </c>
      <c r="O99" s="15">
        <v>118</v>
      </c>
      <c r="P99" s="15">
        <v>691</v>
      </c>
      <c r="Q99" s="15">
        <v>0.88390000000000002</v>
      </c>
      <c r="R99" s="15">
        <v>0.88390000000000002</v>
      </c>
      <c r="S99" s="15">
        <v>0.88660000000000005</v>
      </c>
      <c r="T99" s="15">
        <v>0.9698</v>
      </c>
      <c r="U99" s="15">
        <v>0.88400000000000001</v>
      </c>
    </row>
    <row r="100" spans="2:21" x14ac:dyDescent="0.35">
      <c r="B100" s="15" t="s">
        <v>289</v>
      </c>
      <c r="C100" s="15">
        <v>0.97021000000000002</v>
      </c>
      <c r="D100" s="15">
        <v>334</v>
      </c>
      <c r="E100" s="15">
        <v>334</v>
      </c>
      <c r="F100" s="15">
        <v>0.96599999999999997</v>
      </c>
      <c r="G100" s="15">
        <v>398</v>
      </c>
      <c r="H100" s="15">
        <v>398</v>
      </c>
      <c r="I100" s="15">
        <v>0.97250000000000003</v>
      </c>
      <c r="J100" s="15">
        <v>18.586200000000002</v>
      </c>
      <c r="K100" s="15">
        <v>1490.24310474</v>
      </c>
      <c r="L100" s="15">
        <v>21724.704666360001</v>
      </c>
      <c r="M100" s="15">
        <v>0.96897999999999995</v>
      </c>
      <c r="N100" s="15">
        <v>0.96482999999999997</v>
      </c>
      <c r="O100" s="15">
        <v>10</v>
      </c>
      <c r="P100" s="15">
        <v>104</v>
      </c>
      <c r="Q100" s="15">
        <v>0.96</v>
      </c>
      <c r="R100" s="15">
        <v>0.96</v>
      </c>
      <c r="S100" s="15">
        <v>0.97250000000000003</v>
      </c>
      <c r="T100" s="15">
        <v>0.97328999999999999</v>
      </c>
      <c r="U100" s="15">
        <v>0.96</v>
      </c>
    </row>
    <row r="101" spans="2:21" x14ac:dyDescent="0.35">
      <c r="B101" s="15" t="s">
        <v>291</v>
      </c>
      <c r="C101" s="15">
        <v>1.0002</v>
      </c>
      <c r="D101" s="15">
        <v>300</v>
      </c>
      <c r="E101" s="15">
        <v>300</v>
      </c>
      <c r="F101" s="15">
        <v>1</v>
      </c>
      <c r="G101" s="15">
        <v>150</v>
      </c>
      <c r="H101" s="15">
        <v>150</v>
      </c>
      <c r="I101" s="15">
        <v>1.0003</v>
      </c>
      <c r="J101" s="15">
        <v>238.36479055999999</v>
      </c>
      <c r="K101" s="15">
        <v>57493.90489251</v>
      </c>
      <c r="L101" s="15">
        <v>157941.89077217001</v>
      </c>
      <c r="M101" s="15">
        <v>1.0000691399999999</v>
      </c>
      <c r="N101" s="15">
        <v>0.99993566</v>
      </c>
      <c r="O101" s="15">
        <v>144</v>
      </c>
      <c r="P101" s="15">
        <v>501</v>
      </c>
      <c r="Q101" s="15">
        <v>0.99990000000000001</v>
      </c>
      <c r="R101" s="15">
        <v>0.99939999999999996</v>
      </c>
      <c r="S101" s="15">
        <v>1.0004999999999999</v>
      </c>
      <c r="T101" s="15">
        <v>1.0006999999999999</v>
      </c>
      <c r="U101" s="15">
        <v>1.0004999999999999</v>
      </c>
    </row>
    <row r="102" spans="2:21" x14ac:dyDescent="0.35">
      <c r="B102" s="15" t="s">
        <v>293</v>
      </c>
      <c r="C102" s="15">
        <v>1.0002</v>
      </c>
      <c r="D102" s="15">
        <v>862</v>
      </c>
      <c r="E102" s="15">
        <v>862</v>
      </c>
      <c r="F102" s="15">
        <v>1</v>
      </c>
      <c r="G102" s="15">
        <v>176</v>
      </c>
      <c r="H102" s="15">
        <v>176</v>
      </c>
      <c r="I102" s="15">
        <v>1</v>
      </c>
      <c r="J102" s="15">
        <v>173.96498367000001</v>
      </c>
      <c r="K102" s="15">
        <v>14445.02862564</v>
      </c>
      <c r="L102" s="15">
        <v>97773.684600070002</v>
      </c>
      <c r="M102" s="15">
        <v>0.99968696999999995</v>
      </c>
      <c r="N102" s="15">
        <v>0.99983069999999996</v>
      </c>
      <c r="O102" s="15">
        <v>72</v>
      </c>
      <c r="P102" s="15">
        <v>400</v>
      </c>
      <c r="Q102" s="15">
        <v>0.99829999999999997</v>
      </c>
      <c r="R102" s="15">
        <v>0.99829999999999997</v>
      </c>
      <c r="S102" s="15">
        <v>1.0003</v>
      </c>
      <c r="T102" s="15">
        <v>1.0013000000000001</v>
      </c>
      <c r="U102" s="15">
        <v>0.99939999999999996</v>
      </c>
    </row>
    <row r="103" spans="2:21" x14ac:dyDescent="0.35">
      <c r="B103" s="15" t="s">
        <v>295</v>
      </c>
      <c r="C103" s="15">
        <v>1.3496999999999999</v>
      </c>
      <c r="D103" s="15">
        <v>392</v>
      </c>
      <c r="E103" s="15">
        <v>392</v>
      </c>
      <c r="F103" s="15">
        <v>1.3451</v>
      </c>
      <c r="G103" s="15">
        <v>120</v>
      </c>
      <c r="H103" s="15">
        <v>120</v>
      </c>
      <c r="I103" s="15">
        <v>1.35</v>
      </c>
      <c r="J103" s="15">
        <v>342.89451851000001</v>
      </c>
      <c r="K103" s="15">
        <v>13800.14980076</v>
      </c>
      <c r="L103" s="15">
        <v>38396.451666139998</v>
      </c>
      <c r="M103" s="15">
        <v>1.3321688899999999</v>
      </c>
      <c r="N103" s="15">
        <v>1.3324546799999999</v>
      </c>
      <c r="O103" s="15">
        <v>19</v>
      </c>
      <c r="P103" s="15">
        <v>95</v>
      </c>
      <c r="Q103" s="15">
        <v>1.325</v>
      </c>
      <c r="R103" s="15">
        <v>1.325</v>
      </c>
      <c r="S103" s="15">
        <v>1.35</v>
      </c>
      <c r="T103" s="15">
        <v>1.3512</v>
      </c>
      <c r="U103" s="15">
        <v>1.3461000000000001</v>
      </c>
    </row>
    <row r="104" spans="2:21" x14ac:dyDescent="0.35">
      <c r="B104" s="15" t="s">
        <v>297</v>
      </c>
      <c r="C104" s="15">
        <v>0.97997000000000001</v>
      </c>
      <c r="D104" s="15">
        <v>427</v>
      </c>
      <c r="E104" s="15">
        <v>427</v>
      </c>
      <c r="F104" s="15">
        <v>0.95203000000000004</v>
      </c>
      <c r="G104" s="15">
        <v>404</v>
      </c>
      <c r="H104" s="15">
        <v>404</v>
      </c>
      <c r="I104" s="15">
        <v>0.96040000000000003</v>
      </c>
      <c r="J104" s="15">
        <v>165.27582257</v>
      </c>
      <c r="K104" s="15">
        <v>0</v>
      </c>
      <c r="L104" s="15">
        <v>165.27582257</v>
      </c>
      <c r="M104" s="15">
        <v>0</v>
      </c>
      <c r="N104" s="15">
        <v>0.96040000000000003</v>
      </c>
      <c r="O104" s="15">
        <v>0</v>
      </c>
      <c r="P104" s="15">
        <v>1</v>
      </c>
      <c r="Q104" s="15">
        <v>0.96040000000000003</v>
      </c>
      <c r="R104" s="15">
        <v>0.96040000000000003</v>
      </c>
      <c r="S104" s="15">
        <v>0.96040000000000003</v>
      </c>
      <c r="T104" s="15">
        <v>0.96040000000000003</v>
      </c>
      <c r="U104" s="15">
        <v>0.96040000000000003</v>
      </c>
    </row>
    <row r="105" spans="2:21" x14ac:dyDescent="0.35">
      <c r="B105" s="15" t="s">
        <v>8</v>
      </c>
      <c r="C105" s="15">
        <v>0.88590000000000002</v>
      </c>
      <c r="D105" s="15">
        <v>1172</v>
      </c>
      <c r="E105" s="15">
        <v>1172</v>
      </c>
      <c r="F105" s="15">
        <v>0.88539999999999996</v>
      </c>
      <c r="G105" s="15">
        <v>7377</v>
      </c>
      <c r="H105" s="15">
        <v>7377</v>
      </c>
      <c r="I105" s="15">
        <v>0.88590000000000002</v>
      </c>
      <c r="J105" s="15">
        <v>173.95019557000001</v>
      </c>
      <c r="K105" s="15">
        <v>215559.89757326999</v>
      </c>
      <c r="L105" s="15">
        <v>2052441.2862473801</v>
      </c>
      <c r="M105" s="15">
        <v>0.88532884000000001</v>
      </c>
      <c r="N105" s="15">
        <v>0.88358194999999995</v>
      </c>
      <c r="O105" s="15">
        <v>486</v>
      </c>
      <c r="P105" s="15">
        <v>2891</v>
      </c>
      <c r="Q105" s="15">
        <v>0.88380000000000003</v>
      </c>
      <c r="R105" s="15">
        <v>0.85270000000000001</v>
      </c>
      <c r="S105" s="15">
        <v>0.88690000000000002</v>
      </c>
      <c r="T105" s="15">
        <v>0.89070000000000005</v>
      </c>
      <c r="U105" s="15">
        <v>0.88449999999999995</v>
      </c>
    </row>
    <row r="106" spans="2:21" x14ac:dyDescent="0.35">
      <c r="B106" s="15" t="s">
        <v>300</v>
      </c>
      <c r="C106" s="15">
        <v>0.78969999999999996</v>
      </c>
      <c r="D106" s="15">
        <v>10000</v>
      </c>
      <c r="E106" s="15">
        <v>10000</v>
      </c>
      <c r="F106" s="15">
        <v>0.78869999999999996</v>
      </c>
      <c r="G106" s="15">
        <v>10589</v>
      </c>
      <c r="H106" s="15">
        <v>10589</v>
      </c>
      <c r="I106" s="15">
        <v>0.7893</v>
      </c>
      <c r="J106" s="15">
        <v>196.52344765000001</v>
      </c>
      <c r="K106" s="15">
        <v>3095.7367748800002</v>
      </c>
      <c r="L106" s="15">
        <v>97104.133073000005</v>
      </c>
      <c r="M106" s="15">
        <v>0.78971740000000001</v>
      </c>
      <c r="N106" s="15">
        <v>0.79133655999999997</v>
      </c>
      <c r="O106" s="15">
        <v>22</v>
      </c>
      <c r="P106" s="15">
        <v>204</v>
      </c>
      <c r="Q106" s="15">
        <v>0.7873</v>
      </c>
      <c r="R106" s="15">
        <v>0.7873</v>
      </c>
      <c r="S106" s="15">
        <v>0.79049999999999998</v>
      </c>
      <c r="T106" s="15">
        <v>0.79379999999999995</v>
      </c>
      <c r="U106" s="15">
        <v>0.7873</v>
      </c>
    </row>
    <row r="107" spans="2:21" x14ac:dyDescent="0.35">
      <c r="B107" s="15" t="s">
        <v>302</v>
      </c>
      <c r="C107" s="15">
        <v>109.857</v>
      </c>
      <c r="D107" s="15">
        <v>408</v>
      </c>
      <c r="E107" s="15">
        <v>408</v>
      </c>
      <c r="F107" s="15">
        <v>109.297</v>
      </c>
      <c r="G107" s="15">
        <v>370</v>
      </c>
      <c r="H107" s="15">
        <v>370</v>
      </c>
      <c r="I107" s="15">
        <v>108.068</v>
      </c>
      <c r="J107" s="15">
        <v>125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108.068</v>
      </c>
      <c r="R107" s="15">
        <v>0</v>
      </c>
      <c r="S107" s="15">
        <v>108.068</v>
      </c>
      <c r="T107" s="15">
        <v>0</v>
      </c>
      <c r="U107" s="15">
        <v>108.068</v>
      </c>
    </row>
    <row r="108" spans="2:21" x14ac:dyDescent="0.35">
      <c r="B108" s="15" t="s">
        <v>304</v>
      </c>
      <c r="C108" s="15">
        <v>1.0002</v>
      </c>
      <c r="D108" s="15">
        <v>2324</v>
      </c>
      <c r="E108" s="15">
        <v>2324</v>
      </c>
      <c r="F108" s="15">
        <v>1.0001</v>
      </c>
      <c r="G108" s="15">
        <v>1060</v>
      </c>
      <c r="H108" s="15">
        <v>1060</v>
      </c>
      <c r="I108" s="15">
        <v>1.0002</v>
      </c>
      <c r="J108" s="15">
        <v>112.53278091</v>
      </c>
      <c r="K108" s="15">
        <v>2019758.6691433899</v>
      </c>
      <c r="L108" s="15">
        <v>5698103.4484078502</v>
      </c>
      <c r="M108" s="15">
        <v>1.0001420400000001</v>
      </c>
      <c r="N108" s="15">
        <v>0.99991492999999998</v>
      </c>
      <c r="O108" s="15">
        <v>2006</v>
      </c>
      <c r="P108" s="15">
        <v>7626</v>
      </c>
      <c r="Q108" s="15">
        <v>0.99990000000000001</v>
      </c>
      <c r="R108" s="15">
        <v>0.99939999999999996</v>
      </c>
      <c r="S108" s="15">
        <v>1.0006999999999999</v>
      </c>
      <c r="T108" s="15">
        <v>1.0006999999999999</v>
      </c>
      <c r="U108" s="15">
        <v>1.0004</v>
      </c>
    </row>
    <row r="109" spans="2:21" x14ac:dyDescent="0.35">
      <c r="B109" s="15" t="s">
        <v>307</v>
      </c>
      <c r="C109" s="15">
        <v>4.8221000000000002E-3</v>
      </c>
      <c r="D109" s="15">
        <v>436</v>
      </c>
      <c r="E109" s="15">
        <v>436</v>
      </c>
      <c r="F109" s="15">
        <v>4.7866000000000002E-3</v>
      </c>
      <c r="G109" s="15">
        <v>286</v>
      </c>
      <c r="H109" s="15">
        <v>286</v>
      </c>
      <c r="I109" s="15">
        <v>4.7929000000000001E-3</v>
      </c>
      <c r="J109" s="15">
        <v>842.69005042000003</v>
      </c>
      <c r="K109" s="15">
        <v>2035.4253175599999</v>
      </c>
      <c r="L109" s="15">
        <v>2060.4253175600002</v>
      </c>
      <c r="M109" s="15">
        <v>4.7859E-3</v>
      </c>
      <c r="N109" s="15">
        <v>4.7844200000000002E-3</v>
      </c>
      <c r="O109" s="15">
        <v>5</v>
      </c>
      <c r="P109" s="15">
        <v>6</v>
      </c>
      <c r="Q109" s="15">
        <v>4.6636000000000004E-3</v>
      </c>
      <c r="R109" s="15">
        <v>4.6636000000000004E-3</v>
      </c>
      <c r="S109" s="15">
        <v>4.7929000000000001E-3</v>
      </c>
      <c r="T109" s="15">
        <v>4.7929000000000001E-3</v>
      </c>
      <c r="U109" s="15">
        <v>4.6636000000000004E-3</v>
      </c>
    </row>
    <row r="110" spans="2:21" x14ac:dyDescent="0.35">
      <c r="B110" s="15" t="s">
        <v>309</v>
      </c>
      <c r="C110" s="15">
        <v>1.0389999999999999</v>
      </c>
      <c r="D110" s="15">
        <v>508</v>
      </c>
      <c r="E110" s="15">
        <v>508</v>
      </c>
      <c r="F110" s="15">
        <v>1.0334000000000001</v>
      </c>
      <c r="G110" s="15">
        <v>508</v>
      </c>
      <c r="H110" s="15">
        <v>508</v>
      </c>
      <c r="I110" s="15">
        <v>1.0210999999999999</v>
      </c>
      <c r="J110" s="15">
        <v>216.23454122999999</v>
      </c>
      <c r="K110" s="15">
        <v>1627.3727008999999</v>
      </c>
      <c r="L110" s="15">
        <v>40194.425969110001</v>
      </c>
      <c r="M110" s="15">
        <v>1.0173540000000001</v>
      </c>
      <c r="N110" s="15">
        <v>1.0108790000000001</v>
      </c>
      <c r="O110" s="15">
        <v>13</v>
      </c>
      <c r="P110" s="15">
        <v>110</v>
      </c>
      <c r="Q110" s="15">
        <v>1.0055000000000001</v>
      </c>
      <c r="R110" s="15">
        <v>0.99</v>
      </c>
      <c r="S110" s="15">
        <v>1.0210999999999999</v>
      </c>
      <c r="T110" s="15">
        <v>1.0362</v>
      </c>
      <c r="U110" s="15">
        <v>1.0121</v>
      </c>
    </row>
    <row r="111" spans="2:21" x14ac:dyDescent="0.35">
      <c r="B111" s="15" t="s">
        <v>311</v>
      </c>
      <c r="C111" s="15">
        <v>1.1748000000000001</v>
      </c>
      <c r="D111" s="15">
        <v>848</v>
      </c>
      <c r="E111" s="15">
        <v>848</v>
      </c>
      <c r="F111" s="15">
        <v>1.167</v>
      </c>
      <c r="G111" s="15">
        <v>1735</v>
      </c>
      <c r="H111" s="15">
        <v>1735</v>
      </c>
      <c r="I111" s="15">
        <v>1.1607000000000001</v>
      </c>
      <c r="J111" s="15">
        <v>400</v>
      </c>
      <c r="K111" s="15">
        <v>4093.4041828099998</v>
      </c>
      <c r="L111" s="15">
        <v>23490.89674996</v>
      </c>
      <c r="M111" s="15">
        <v>1.1487959999999999</v>
      </c>
      <c r="N111" s="15">
        <v>1.1388</v>
      </c>
      <c r="O111" s="15">
        <v>10</v>
      </c>
      <c r="P111" s="15">
        <v>46</v>
      </c>
      <c r="Q111" s="15">
        <v>1.1267</v>
      </c>
      <c r="R111" s="15">
        <v>1.1178999999999999</v>
      </c>
      <c r="S111" s="15">
        <v>1.1627000000000001</v>
      </c>
      <c r="T111" s="15">
        <v>1.1698999999999999</v>
      </c>
      <c r="U111" s="15">
        <v>1.1267</v>
      </c>
    </row>
    <row r="112" spans="2:21" x14ac:dyDescent="0.35">
      <c r="B112" s="15" t="s">
        <v>313</v>
      </c>
      <c r="C112" s="15">
        <v>1.2095999999999999E-4</v>
      </c>
      <c r="D112" s="15">
        <v>431</v>
      </c>
      <c r="E112" s="15">
        <v>431</v>
      </c>
      <c r="F112" s="15">
        <v>1.2042E-4</v>
      </c>
      <c r="G112" s="15">
        <v>431</v>
      </c>
      <c r="H112" s="15">
        <v>431</v>
      </c>
      <c r="I112" s="15">
        <v>1.2027E-4</v>
      </c>
      <c r="J112" s="15">
        <v>82.211275639999997</v>
      </c>
      <c r="K112" s="15">
        <v>1801.3474735</v>
      </c>
      <c r="L112" s="15">
        <v>4269.1440482400003</v>
      </c>
      <c r="M112" s="15">
        <v>1.1969E-4</v>
      </c>
      <c r="N112" s="15">
        <v>1.1622E-4</v>
      </c>
      <c r="O112" s="15">
        <v>15</v>
      </c>
      <c r="P112" s="15">
        <v>37</v>
      </c>
      <c r="Q112" s="15">
        <v>1.1619E-4</v>
      </c>
      <c r="R112" s="15">
        <v>1.1619E-4</v>
      </c>
      <c r="S112" s="15">
        <v>1.2027E-4</v>
      </c>
      <c r="T112" s="15">
        <v>1.2027E-4</v>
      </c>
      <c r="U112" s="15">
        <v>1.1619E-4</v>
      </c>
    </row>
    <row r="113" spans="2:21" x14ac:dyDescent="0.35">
      <c r="B113" s="15" t="s">
        <v>315</v>
      </c>
      <c r="C113" s="15">
        <v>9395.5</v>
      </c>
      <c r="D113" s="15">
        <v>1</v>
      </c>
      <c r="E113" s="15">
        <v>1</v>
      </c>
      <c r="F113" s="15">
        <v>9382.9</v>
      </c>
      <c r="G113" s="15">
        <v>1</v>
      </c>
      <c r="H113" s="15">
        <v>1</v>
      </c>
      <c r="I113" s="15">
        <v>9382.9</v>
      </c>
      <c r="J113" s="15">
        <v>4.0972080000000001E-2</v>
      </c>
      <c r="K113" s="15">
        <v>6.4318536599999998</v>
      </c>
      <c r="L113" s="15">
        <v>19.02499182</v>
      </c>
      <c r="M113" s="15">
        <v>9411.3734899999999</v>
      </c>
      <c r="N113" s="15">
        <v>9354.3841499999999</v>
      </c>
      <c r="O113" s="15">
        <v>65</v>
      </c>
      <c r="P113" s="15">
        <v>225</v>
      </c>
      <c r="Q113" s="15">
        <v>9376.4</v>
      </c>
      <c r="R113" s="15">
        <v>9155</v>
      </c>
      <c r="S113" s="15">
        <v>9431</v>
      </c>
      <c r="T113" s="15">
        <v>9431</v>
      </c>
      <c r="U113" s="15">
        <v>9376.4</v>
      </c>
    </row>
    <row r="114" spans="2:21" x14ac:dyDescent="0.35">
      <c r="B114" s="15" t="s">
        <v>317</v>
      </c>
      <c r="C114" s="15">
        <v>9690.4</v>
      </c>
      <c r="D114" s="15">
        <v>1</v>
      </c>
      <c r="E114" s="15">
        <v>1</v>
      </c>
      <c r="F114" s="15">
        <v>9665.2000000000007</v>
      </c>
      <c r="G114" s="15">
        <v>1</v>
      </c>
      <c r="H114" s="15">
        <v>1</v>
      </c>
      <c r="I114" s="15">
        <v>9742.9</v>
      </c>
      <c r="J114" s="15">
        <v>1.3243339999999999E-2</v>
      </c>
      <c r="K114" s="15">
        <v>5.6099999999999997E-2</v>
      </c>
      <c r="L114" s="15">
        <v>2.1258226900000001</v>
      </c>
      <c r="M114" s="15">
        <v>9742.8235999999997</v>
      </c>
      <c r="N114" s="15">
        <v>9449.2607599999992</v>
      </c>
      <c r="O114" s="15">
        <v>2</v>
      </c>
      <c r="P114" s="15">
        <v>25</v>
      </c>
      <c r="Q114" s="15">
        <v>9718.7000000000007</v>
      </c>
      <c r="R114" s="15">
        <v>9412.9</v>
      </c>
      <c r="S114" s="15">
        <v>9742.9</v>
      </c>
      <c r="T114" s="15">
        <v>9742.9</v>
      </c>
      <c r="U114" s="15">
        <v>9718.7000000000007</v>
      </c>
    </row>
    <row r="115" spans="2:21" x14ac:dyDescent="0.35">
      <c r="B115" s="15" t="s">
        <v>319</v>
      </c>
      <c r="C115" s="15">
        <v>9696.0400000000009</v>
      </c>
      <c r="D115" s="15">
        <v>1</v>
      </c>
      <c r="E115" s="15">
        <v>1</v>
      </c>
      <c r="F115" s="15">
        <v>9683.33</v>
      </c>
      <c r="G115" s="15">
        <v>1</v>
      </c>
      <c r="H115" s="15">
        <v>1</v>
      </c>
      <c r="I115" s="15">
        <v>9678.69</v>
      </c>
      <c r="J115" s="15">
        <v>2.0052199999999998E-3</v>
      </c>
      <c r="K115" s="15">
        <v>2.1465645499999999</v>
      </c>
      <c r="L115" s="15">
        <v>25.151645630000001</v>
      </c>
      <c r="M115" s="15">
        <v>9705.4117900000001</v>
      </c>
      <c r="N115" s="15">
        <v>9606.2109899999996</v>
      </c>
      <c r="O115" s="15">
        <v>26</v>
      </c>
      <c r="P115" s="15">
        <v>178</v>
      </c>
      <c r="Q115" s="15">
        <v>9656.39</v>
      </c>
      <c r="R115" s="15">
        <v>9390.6</v>
      </c>
      <c r="S115" s="15">
        <v>9767</v>
      </c>
      <c r="T115" s="15">
        <v>9800</v>
      </c>
      <c r="U115" s="15">
        <v>9724.2999999999993</v>
      </c>
    </row>
    <row r="116" spans="2:21" x14ac:dyDescent="0.35">
      <c r="B116" s="15" t="s">
        <v>321</v>
      </c>
      <c r="C116" s="15">
        <v>9696.5</v>
      </c>
      <c r="D116" s="15">
        <v>1</v>
      </c>
      <c r="E116" s="15">
        <v>1</v>
      </c>
      <c r="F116" s="15">
        <v>9687.2000000000007</v>
      </c>
      <c r="G116" s="15">
        <v>1</v>
      </c>
      <c r="H116" s="15">
        <v>1</v>
      </c>
      <c r="I116" s="15">
        <v>9687.7000000000007</v>
      </c>
      <c r="J116" s="15">
        <v>0.1</v>
      </c>
      <c r="K116" s="15">
        <v>55.685496649999997</v>
      </c>
      <c r="L116" s="15">
        <v>124.28261249000001</v>
      </c>
      <c r="M116" s="15">
        <v>9774.6700099999998</v>
      </c>
      <c r="N116" s="15">
        <v>9661.7776099999992</v>
      </c>
      <c r="O116" s="15">
        <v>398</v>
      </c>
      <c r="P116" s="15">
        <v>1168</v>
      </c>
      <c r="Q116" s="15">
        <v>9653.1</v>
      </c>
      <c r="R116" s="15">
        <v>9365.7999999999993</v>
      </c>
      <c r="S116" s="15">
        <v>9900</v>
      </c>
      <c r="T116" s="15">
        <v>9900</v>
      </c>
      <c r="U116" s="15">
        <v>9755.9</v>
      </c>
    </row>
    <row r="117" spans="2:21" x14ac:dyDescent="0.35">
      <c r="B117" s="15" t="s">
        <v>7</v>
      </c>
      <c r="C117" s="15">
        <v>2.2997E-3</v>
      </c>
      <c r="D117" s="15">
        <v>94775</v>
      </c>
      <c r="E117" s="15">
        <v>94775</v>
      </c>
      <c r="F117" s="15">
        <v>2.2872000000000001E-3</v>
      </c>
      <c r="G117" s="15">
        <v>1319921</v>
      </c>
      <c r="H117" s="15">
        <v>1319921</v>
      </c>
      <c r="I117" s="15">
        <v>2.2920000000000002E-3</v>
      </c>
      <c r="J117" s="15">
        <v>2.8999999999999998E-7</v>
      </c>
      <c r="K117" s="15">
        <v>411066.55178153003</v>
      </c>
      <c r="L117" s="15">
        <v>2821276.0933691701</v>
      </c>
      <c r="M117" s="15">
        <v>2.2895350000000001E-3</v>
      </c>
      <c r="N117" s="15">
        <v>2.2817279999999998E-3</v>
      </c>
      <c r="O117" s="15">
        <v>9</v>
      </c>
      <c r="P117" s="15">
        <v>62</v>
      </c>
      <c r="Q117" s="15">
        <v>2.2872000000000001E-3</v>
      </c>
      <c r="R117" s="15">
        <v>2.2501000000000001E-3</v>
      </c>
      <c r="S117" s="15">
        <v>2.3138999999999998E-3</v>
      </c>
      <c r="T117" s="15">
        <v>2.3153000000000002E-3</v>
      </c>
      <c r="U117" s="15">
        <v>2.3138999999999998E-3</v>
      </c>
    </row>
    <row r="118" spans="2:21" x14ac:dyDescent="0.35">
      <c r="B118" s="15" t="s">
        <v>324</v>
      </c>
      <c r="C118" s="15">
        <v>2.5952000000000002E-3</v>
      </c>
      <c r="D118" s="15">
        <v>61162</v>
      </c>
      <c r="E118" s="15">
        <v>61162</v>
      </c>
      <c r="F118" s="15">
        <v>2.5820999999999999E-3</v>
      </c>
      <c r="G118" s="15">
        <v>220905</v>
      </c>
      <c r="H118" s="15">
        <v>220905</v>
      </c>
      <c r="I118" s="15">
        <v>2.5923000000000001E-3</v>
      </c>
      <c r="J118" s="15">
        <v>19309.262045290001</v>
      </c>
      <c r="K118" s="15">
        <v>199907.30027529001</v>
      </c>
      <c r="L118" s="15">
        <v>3748136.0833972199</v>
      </c>
      <c r="M118" s="15">
        <v>2.5926080000000002E-3</v>
      </c>
      <c r="N118" s="15">
        <v>2.58815E-3</v>
      </c>
      <c r="O118" s="15">
        <v>6</v>
      </c>
      <c r="P118" s="15">
        <v>56</v>
      </c>
      <c r="Q118" s="15">
        <v>2.5868000000000002E-3</v>
      </c>
      <c r="R118" s="15">
        <v>2.5555E-3</v>
      </c>
      <c r="S118" s="15">
        <v>2.6034000000000001E-3</v>
      </c>
      <c r="T118" s="15">
        <v>2.6232E-3</v>
      </c>
      <c r="U118" s="15">
        <v>2.6034000000000001E-3</v>
      </c>
    </row>
    <row r="119" spans="2:21" x14ac:dyDescent="0.35">
      <c r="B119" s="15" t="s">
        <v>326</v>
      </c>
      <c r="C119" s="15">
        <v>2.8001999999999999E-2</v>
      </c>
      <c r="D119" s="15">
        <v>106</v>
      </c>
      <c r="E119" s="15">
        <v>106</v>
      </c>
      <c r="F119" s="15">
        <v>2.7904999999999999E-2</v>
      </c>
      <c r="G119" s="15">
        <v>79</v>
      </c>
      <c r="H119" s="15">
        <v>79</v>
      </c>
      <c r="I119" s="15">
        <v>2.7871E-2</v>
      </c>
      <c r="J119" s="15">
        <v>6.1727448699999998</v>
      </c>
      <c r="K119" s="15">
        <v>437.79596814000001</v>
      </c>
      <c r="L119" s="15">
        <v>2615.5975442700001</v>
      </c>
      <c r="M119" s="15">
        <v>2.7999360000000001E-2</v>
      </c>
      <c r="N119" s="15">
        <v>2.8197320000000001E-2</v>
      </c>
      <c r="O119" s="15">
        <v>26</v>
      </c>
      <c r="P119" s="15">
        <v>70</v>
      </c>
      <c r="Q119" s="15">
        <v>2.7817000000000001E-2</v>
      </c>
      <c r="R119" s="15">
        <v>2.7817000000000001E-2</v>
      </c>
      <c r="S119" s="15">
        <v>2.8105000000000002E-2</v>
      </c>
      <c r="T119" s="15">
        <v>2.8500000000000001E-2</v>
      </c>
      <c r="U119" s="15">
        <v>2.7945999999999999E-2</v>
      </c>
    </row>
    <row r="120" spans="2:21" x14ac:dyDescent="0.35">
      <c r="B120" s="15" t="s">
        <v>329</v>
      </c>
      <c r="C120" s="15">
        <v>7.0299999999999996E-4</v>
      </c>
      <c r="D120" s="15">
        <v>63</v>
      </c>
      <c r="E120" s="15">
        <v>63</v>
      </c>
      <c r="F120" s="15">
        <v>6.9999999999999999E-4</v>
      </c>
      <c r="G120" s="15">
        <v>552</v>
      </c>
      <c r="H120" s="15">
        <v>552</v>
      </c>
      <c r="I120" s="15">
        <v>7.0200000000000004E-4</v>
      </c>
      <c r="J120" s="15">
        <v>3.41831</v>
      </c>
      <c r="K120" s="15">
        <v>127.943783</v>
      </c>
      <c r="L120" s="15">
        <v>2298.09299758</v>
      </c>
      <c r="M120" s="15">
        <v>7.0041000000000005E-4</v>
      </c>
      <c r="N120" s="15">
        <v>7.0335000000000005E-4</v>
      </c>
      <c r="O120" s="15">
        <v>25</v>
      </c>
      <c r="P120" s="15">
        <v>77</v>
      </c>
      <c r="Q120" s="15">
        <v>6.9899999999999997E-4</v>
      </c>
      <c r="R120" s="15">
        <v>6.9800000000000005E-4</v>
      </c>
      <c r="S120" s="15">
        <v>7.0200000000000004E-4</v>
      </c>
      <c r="T120" s="15">
        <v>7.1100000000000004E-4</v>
      </c>
      <c r="U120" s="15">
        <v>6.9999999999999999E-4</v>
      </c>
    </row>
    <row r="121" spans="2:21" x14ac:dyDescent="0.35">
      <c r="B121" s="15" t="s">
        <v>332</v>
      </c>
      <c r="C121" s="15">
        <v>6.0209999999999999</v>
      </c>
      <c r="D121" s="15">
        <v>20</v>
      </c>
      <c r="E121" s="15">
        <v>20</v>
      </c>
      <c r="F121" s="15">
        <v>6.0170000000000003</v>
      </c>
      <c r="G121" s="15">
        <v>740</v>
      </c>
      <c r="H121" s="15">
        <v>740</v>
      </c>
      <c r="I121" s="15">
        <v>6.0209999999999999</v>
      </c>
      <c r="J121" s="15">
        <v>80</v>
      </c>
      <c r="K121" s="15">
        <v>959.67665188000001</v>
      </c>
      <c r="L121" s="15">
        <v>57757.439404919998</v>
      </c>
      <c r="M121" s="15">
        <v>6.0329585400000001</v>
      </c>
      <c r="N121" s="15">
        <v>6.0034499800000001</v>
      </c>
      <c r="O121" s="15">
        <v>55</v>
      </c>
      <c r="P121" s="15">
        <v>594</v>
      </c>
      <c r="Q121" s="15">
        <v>6.0049999999999999</v>
      </c>
      <c r="R121" s="15">
        <v>5.89</v>
      </c>
      <c r="S121" s="15">
        <v>6.0709999999999997</v>
      </c>
      <c r="T121" s="15">
        <v>6.0990000000000002</v>
      </c>
      <c r="U121" s="15">
        <v>6.0469999999999997</v>
      </c>
    </row>
    <row r="122" spans="2:21" x14ac:dyDescent="0.35">
      <c r="B122" s="15" t="s">
        <v>335</v>
      </c>
      <c r="C122" s="15">
        <v>6.8079999999999998</v>
      </c>
      <c r="D122" s="15">
        <v>55</v>
      </c>
      <c r="E122" s="15">
        <v>55</v>
      </c>
      <c r="F122" s="15">
        <v>6.7939999999999996</v>
      </c>
      <c r="G122" s="15">
        <v>92</v>
      </c>
      <c r="H122" s="15">
        <v>92</v>
      </c>
      <c r="I122" s="15">
        <v>6.8019999999999996</v>
      </c>
      <c r="J122" s="15">
        <v>3.9668625199999998</v>
      </c>
      <c r="K122" s="15">
        <v>1321.62188788</v>
      </c>
      <c r="L122" s="15">
        <v>13076.17201593</v>
      </c>
      <c r="M122" s="15">
        <v>6.8177483900000002</v>
      </c>
      <c r="N122" s="15">
        <v>6.7701241599999999</v>
      </c>
      <c r="O122" s="15">
        <v>82</v>
      </c>
      <c r="P122" s="15">
        <v>461</v>
      </c>
      <c r="Q122" s="15">
        <v>6.7949999999999999</v>
      </c>
      <c r="R122" s="15">
        <v>6.6210000000000004</v>
      </c>
      <c r="S122" s="15">
        <v>6.8419999999999996</v>
      </c>
      <c r="T122" s="15">
        <v>6.8620000000000001</v>
      </c>
      <c r="U122" s="15">
        <v>6.83</v>
      </c>
    </row>
    <row r="123" spans="2:21" x14ac:dyDescent="0.35">
      <c r="B123" s="15" t="s">
        <v>338</v>
      </c>
      <c r="C123" s="15">
        <v>2.512E-2</v>
      </c>
      <c r="D123" s="15">
        <v>32</v>
      </c>
      <c r="E123" s="15">
        <v>32</v>
      </c>
      <c r="F123" s="15">
        <v>2.511E-2</v>
      </c>
      <c r="G123" s="15">
        <v>44</v>
      </c>
      <c r="H123" s="15">
        <v>44</v>
      </c>
      <c r="I123" s="15">
        <v>2.511E-2</v>
      </c>
      <c r="J123" s="15">
        <v>1.8561000000000001E-4</v>
      </c>
      <c r="K123" s="15">
        <v>529.52710443000001</v>
      </c>
      <c r="L123" s="15">
        <v>5940.3754165700002</v>
      </c>
      <c r="M123" s="15">
        <v>2.5052000000000001E-2</v>
      </c>
      <c r="N123" s="15">
        <v>-6.7559999999999999E-3</v>
      </c>
      <c r="O123" s="15">
        <v>160</v>
      </c>
      <c r="P123" s="15">
        <v>1648</v>
      </c>
      <c r="Q123" s="15">
        <v>2.5010000000000001E-2</v>
      </c>
      <c r="R123" s="15">
        <v>2.4740000000000002E-2</v>
      </c>
      <c r="S123" s="15">
        <v>2.5159999999999998E-2</v>
      </c>
      <c r="T123" s="15">
        <v>2.5159999999999998E-2</v>
      </c>
      <c r="U123" s="15">
        <v>2.5090000000000001E-2</v>
      </c>
    </row>
    <row r="124" spans="2:21" x14ac:dyDescent="0.35">
      <c r="B124" s="15" t="s">
        <v>343</v>
      </c>
      <c r="C124" s="15">
        <v>328.15</v>
      </c>
      <c r="D124" s="15">
        <v>2</v>
      </c>
      <c r="E124" s="15">
        <v>2</v>
      </c>
      <c r="F124" s="15">
        <v>327.33999999999997</v>
      </c>
      <c r="G124" s="15">
        <v>5</v>
      </c>
      <c r="H124" s="15">
        <v>5</v>
      </c>
      <c r="I124" s="15">
        <v>327.51</v>
      </c>
      <c r="J124" s="15">
        <v>0.83745685000000003</v>
      </c>
      <c r="K124" s="15">
        <v>49.227567469999997</v>
      </c>
      <c r="L124" s="15">
        <v>169.89003976000001</v>
      </c>
      <c r="M124" s="15">
        <v>329.10025000000002</v>
      </c>
      <c r="N124" s="15">
        <v>323.52348000000001</v>
      </c>
      <c r="O124" s="15">
        <v>35</v>
      </c>
      <c r="P124" s="15">
        <v>127</v>
      </c>
      <c r="Q124" s="15">
        <v>325.97000000000003</v>
      </c>
      <c r="R124" s="15">
        <v>317.62</v>
      </c>
      <c r="S124" s="15">
        <v>330.02</v>
      </c>
      <c r="T124" s="15">
        <v>330.02</v>
      </c>
      <c r="U124" s="15">
        <v>328.07</v>
      </c>
    </row>
    <row r="125" spans="2:21" x14ac:dyDescent="0.35">
      <c r="B125" s="15" t="s">
        <v>1</v>
      </c>
      <c r="C125" s="15">
        <v>215.36</v>
      </c>
      <c r="D125" s="15">
        <v>1</v>
      </c>
      <c r="E125" s="15">
        <v>1</v>
      </c>
      <c r="F125" s="15">
        <v>215.35</v>
      </c>
      <c r="G125" s="15">
        <v>219</v>
      </c>
      <c r="H125" s="15">
        <v>219</v>
      </c>
      <c r="I125" s="15">
        <v>215.36</v>
      </c>
      <c r="J125" s="15">
        <v>0.23300936</v>
      </c>
      <c r="K125" s="15">
        <v>1708.9734089799999</v>
      </c>
      <c r="L125" s="15">
        <v>40705.494771750004</v>
      </c>
      <c r="M125" s="15">
        <v>215.56109000000001</v>
      </c>
      <c r="N125" s="15">
        <v>212.50596999999999</v>
      </c>
      <c r="O125" s="15">
        <v>330</v>
      </c>
      <c r="P125" s="15">
        <v>7175</v>
      </c>
      <c r="Q125" s="15">
        <v>214.67</v>
      </c>
      <c r="R125" s="15">
        <v>208.6</v>
      </c>
      <c r="S125" s="15">
        <v>217</v>
      </c>
      <c r="T125" s="15">
        <v>217.01</v>
      </c>
      <c r="U125" s="15">
        <v>216</v>
      </c>
    </row>
    <row r="126" spans="2:21" x14ac:dyDescent="0.35">
      <c r="B126" s="15" t="s">
        <v>352</v>
      </c>
      <c r="C126" s="15">
        <v>192.3</v>
      </c>
      <c r="D126" s="15">
        <v>2</v>
      </c>
      <c r="E126" s="15">
        <v>2</v>
      </c>
      <c r="F126" s="15">
        <v>191.79</v>
      </c>
      <c r="G126" s="15">
        <v>7</v>
      </c>
      <c r="H126" s="15">
        <v>7</v>
      </c>
      <c r="I126" s="15">
        <v>192.33</v>
      </c>
      <c r="J126" s="15">
        <v>0.20499856</v>
      </c>
      <c r="K126" s="15">
        <v>18.597906999999999</v>
      </c>
      <c r="L126" s="15">
        <v>128.87180599000001</v>
      </c>
      <c r="M126" s="15">
        <v>192.32566</v>
      </c>
      <c r="N126" s="15">
        <v>190.44873000000001</v>
      </c>
      <c r="O126" s="15">
        <v>29</v>
      </c>
      <c r="P126" s="15">
        <v>130</v>
      </c>
      <c r="Q126" s="15">
        <v>191.73</v>
      </c>
      <c r="R126" s="15">
        <v>186.63</v>
      </c>
      <c r="S126" s="15">
        <v>192.73</v>
      </c>
      <c r="T126" s="15">
        <v>192.81</v>
      </c>
      <c r="U126" s="15">
        <v>191.91</v>
      </c>
    </row>
    <row r="127" spans="2:21" x14ac:dyDescent="0.35">
      <c r="B127" s="15" t="s">
        <v>357</v>
      </c>
      <c r="C127" s="15">
        <v>26734</v>
      </c>
      <c r="D127" s="15">
        <v>1</v>
      </c>
      <c r="E127" s="15">
        <v>1</v>
      </c>
      <c r="F127" s="15">
        <v>26632</v>
      </c>
      <c r="G127" s="15">
        <v>13</v>
      </c>
      <c r="H127" s="15">
        <v>13</v>
      </c>
      <c r="I127" s="15">
        <v>26558</v>
      </c>
      <c r="J127" s="15">
        <v>0.02</v>
      </c>
      <c r="K127" s="15">
        <v>0</v>
      </c>
      <c r="L127" s="15">
        <v>0</v>
      </c>
      <c r="M127" s="15">
        <v>0</v>
      </c>
      <c r="N127" s="15">
        <v>0</v>
      </c>
      <c r="O127" s="15">
        <v>0</v>
      </c>
      <c r="P127" s="15">
        <v>0</v>
      </c>
      <c r="Q127" s="15">
        <v>26558</v>
      </c>
      <c r="R127" s="15">
        <v>0</v>
      </c>
      <c r="S127" s="15">
        <v>26558</v>
      </c>
      <c r="T127" s="15">
        <v>0</v>
      </c>
      <c r="U127" s="15">
        <v>26558</v>
      </c>
    </row>
    <row r="128" spans="2:21" x14ac:dyDescent="0.35">
      <c r="B128" s="15" t="s">
        <v>362</v>
      </c>
      <c r="C128" s="15">
        <v>243.26</v>
      </c>
      <c r="D128" s="15">
        <v>25</v>
      </c>
      <c r="E128" s="15">
        <v>25</v>
      </c>
      <c r="F128" s="15">
        <v>243.25</v>
      </c>
      <c r="G128" s="15">
        <v>122</v>
      </c>
      <c r="H128" s="15">
        <v>122</v>
      </c>
      <c r="I128" s="15">
        <v>243.25</v>
      </c>
      <c r="J128" s="15">
        <v>0.02</v>
      </c>
      <c r="K128" s="15">
        <v>9382.0448553299993</v>
      </c>
      <c r="L128" s="15">
        <v>72732.291742119996</v>
      </c>
      <c r="M128" s="15">
        <v>243.9255</v>
      </c>
      <c r="N128" s="15">
        <v>239.97241</v>
      </c>
      <c r="O128" s="15">
        <v>1385</v>
      </c>
      <c r="P128" s="15">
        <v>8455</v>
      </c>
      <c r="Q128" s="15">
        <v>242.61</v>
      </c>
      <c r="R128" s="15">
        <v>234.37</v>
      </c>
      <c r="S128" s="15">
        <v>245.62</v>
      </c>
      <c r="T128" s="15">
        <v>245.93</v>
      </c>
      <c r="U128" s="15">
        <v>244.9</v>
      </c>
    </row>
    <row r="129" spans="2:21" x14ac:dyDescent="0.35">
      <c r="B129" s="15" t="s">
        <v>367</v>
      </c>
      <c r="C129" s="15">
        <v>4.7939999999999997E-3</v>
      </c>
      <c r="D129" s="15">
        <v>16</v>
      </c>
      <c r="E129" s="15">
        <v>16</v>
      </c>
      <c r="F129" s="15">
        <v>4.7879999999999997E-3</v>
      </c>
      <c r="G129" s="15">
        <v>120</v>
      </c>
      <c r="H129" s="15">
        <v>120</v>
      </c>
      <c r="I129" s="15">
        <v>4.7930000000000004E-3</v>
      </c>
      <c r="J129" s="15">
        <v>0.2626251</v>
      </c>
      <c r="K129" s="15">
        <v>573.64925648999997</v>
      </c>
      <c r="L129" s="15">
        <v>2410.6398435299998</v>
      </c>
      <c r="M129" s="15">
        <v>4.7912900000000001E-3</v>
      </c>
      <c r="N129" s="15">
        <v>4.7987100000000003E-3</v>
      </c>
      <c r="O129" s="15">
        <v>67</v>
      </c>
      <c r="P129" s="15">
        <v>275</v>
      </c>
      <c r="Q129" s="15">
        <v>4.7660000000000003E-3</v>
      </c>
      <c r="R129" s="15">
        <v>4.7660000000000003E-3</v>
      </c>
      <c r="S129" s="15">
        <v>4.8079999999999998E-3</v>
      </c>
      <c r="T129" s="15">
        <v>4.8380000000000003E-3</v>
      </c>
      <c r="U129" s="15">
        <v>4.7829999999999999E-3</v>
      </c>
    </row>
    <row r="130" spans="2:21" x14ac:dyDescent="0.35">
      <c r="B130" s="15" t="s">
        <v>370</v>
      </c>
      <c r="C130" s="15">
        <v>41.14</v>
      </c>
      <c r="D130" s="15">
        <v>16</v>
      </c>
      <c r="E130" s="15">
        <v>16</v>
      </c>
      <c r="F130" s="15">
        <v>41.13</v>
      </c>
      <c r="G130" s="15">
        <v>68</v>
      </c>
      <c r="H130" s="15">
        <v>68</v>
      </c>
      <c r="I130" s="15">
        <v>41.14</v>
      </c>
      <c r="J130" s="15">
        <v>2.4307240000000001</v>
      </c>
      <c r="K130" s="15">
        <v>1764.12136298</v>
      </c>
      <c r="L130" s="15">
        <v>11019.088327470001</v>
      </c>
      <c r="M130" s="15">
        <v>41.159469999999999</v>
      </c>
      <c r="N130" s="15">
        <v>40.940130000000003</v>
      </c>
      <c r="O130" s="15">
        <v>165</v>
      </c>
      <c r="P130" s="15">
        <v>1115</v>
      </c>
      <c r="Q130" s="15">
        <v>40.89</v>
      </c>
      <c r="R130" s="15">
        <v>40.119999999999997</v>
      </c>
      <c r="S130" s="15">
        <v>41.46</v>
      </c>
      <c r="T130" s="15">
        <v>41.6</v>
      </c>
      <c r="U130" s="15">
        <v>41.23</v>
      </c>
    </row>
    <row r="131" spans="2:21" x14ac:dyDescent="0.35">
      <c r="B131" s="15" t="s">
        <v>373</v>
      </c>
      <c r="C131" s="15">
        <v>46.45</v>
      </c>
      <c r="D131" s="15">
        <v>205</v>
      </c>
      <c r="E131" s="15">
        <v>205</v>
      </c>
      <c r="F131" s="15">
        <v>46.42</v>
      </c>
      <c r="G131" s="15">
        <v>110</v>
      </c>
      <c r="H131" s="15">
        <v>110</v>
      </c>
      <c r="I131" s="15">
        <v>46.41</v>
      </c>
      <c r="J131" s="15">
        <v>0.5</v>
      </c>
      <c r="K131" s="15">
        <v>3498.6705010300002</v>
      </c>
      <c r="L131" s="15">
        <v>11474.03854508</v>
      </c>
      <c r="M131" s="15">
        <v>46.570689999999999</v>
      </c>
      <c r="N131" s="15">
        <v>46.236820000000002</v>
      </c>
      <c r="O131" s="15">
        <v>250</v>
      </c>
      <c r="P131" s="15">
        <v>958</v>
      </c>
      <c r="Q131" s="15">
        <v>46.23</v>
      </c>
      <c r="R131" s="15">
        <v>45.18</v>
      </c>
      <c r="S131" s="15">
        <v>46.78</v>
      </c>
      <c r="T131" s="15">
        <v>46.93</v>
      </c>
      <c r="U131" s="15">
        <v>46.56</v>
      </c>
    </row>
    <row r="132" spans="2:21" x14ac:dyDescent="0.35">
      <c r="B132" s="15" t="s">
        <v>376</v>
      </c>
      <c r="C132" s="15">
        <v>1.6709999999999999E-2</v>
      </c>
      <c r="D132" s="15">
        <v>5</v>
      </c>
      <c r="E132" s="15">
        <v>5</v>
      </c>
      <c r="F132" s="15">
        <v>1.6570000000000001E-2</v>
      </c>
      <c r="G132" s="15">
        <v>83</v>
      </c>
      <c r="H132" s="15">
        <v>83</v>
      </c>
      <c r="I132" s="15">
        <v>1.6709999999999999E-2</v>
      </c>
      <c r="J132" s="15">
        <v>1.4629679099999999</v>
      </c>
      <c r="K132" s="15">
        <v>81.467348860000001</v>
      </c>
      <c r="L132" s="15">
        <v>304.29067813</v>
      </c>
      <c r="M132" s="15">
        <v>1.6687339999999998E-2</v>
      </c>
      <c r="N132" s="15">
        <v>1.6245309999999999E-2</v>
      </c>
      <c r="O132" s="15">
        <v>6</v>
      </c>
      <c r="P132" s="15">
        <v>21</v>
      </c>
      <c r="Q132" s="15">
        <v>1.6629999999999999E-2</v>
      </c>
      <c r="R132" s="15">
        <v>1.6629999999999999E-2</v>
      </c>
      <c r="S132" s="15">
        <v>1.6709999999999999E-2</v>
      </c>
      <c r="T132" s="15">
        <v>1.6959999999999999E-2</v>
      </c>
      <c r="U132" s="15">
        <v>1.6629999999999999E-2</v>
      </c>
    </row>
    <row r="133" spans="2:21" x14ac:dyDescent="0.35">
      <c r="B133" s="15" t="s">
        <v>379</v>
      </c>
      <c r="C133" s="15">
        <v>4.2200000000000001E-4</v>
      </c>
      <c r="D133" s="15">
        <v>45</v>
      </c>
      <c r="E133" s="15">
        <v>45</v>
      </c>
      <c r="F133" s="15">
        <v>4.1800000000000002E-4</v>
      </c>
      <c r="G133" s="15">
        <v>3</v>
      </c>
      <c r="H133" s="15">
        <v>3</v>
      </c>
      <c r="I133" s="15">
        <v>4.2200000000000001E-4</v>
      </c>
      <c r="J133" s="15">
        <v>1.45809795</v>
      </c>
      <c r="K133" s="15">
        <v>101.01330347</v>
      </c>
      <c r="L133" s="15">
        <v>897.74088603999996</v>
      </c>
      <c r="M133" s="15">
        <v>4.1868999999999999E-4</v>
      </c>
      <c r="N133" s="15">
        <v>4.1876000000000001E-4</v>
      </c>
      <c r="O133" s="15">
        <v>16</v>
      </c>
      <c r="P133" s="15">
        <v>62</v>
      </c>
      <c r="Q133" s="15">
        <v>4.15E-4</v>
      </c>
      <c r="R133" s="15">
        <v>4.15E-4</v>
      </c>
      <c r="S133" s="15">
        <v>4.2200000000000001E-4</v>
      </c>
      <c r="T133" s="15">
        <v>4.28E-4</v>
      </c>
      <c r="U133" s="15">
        <v>4.1800000000000002E-4</v>
      </c>
    </row>
    <row r="134" spans="2:21" x14ac:dyDescent="0.35">
      <c r="B134" s="15" t="s">
        <v>382</v>
      </c>
      <c r="C134" s="15">
        <v>3.609</v>
      </c>
      <c r="D134" s="15">
        <v>5</v>
      </c>
      <c r="E134" s="15">
        <v>5</v>
      </c>
      <c r="F134" s="15">
        <v>3.5840000000000001</v>
      </c>
      <c r="G134" s="15">
        <v>6</v>
      </c>
      <c r="H134" s="15">
        <v>6</v>
      </c>
      <c r="I134" s="15">
        <v>3.6059999999999999</v>
      </c>
      <c r="J134" s="15">
        <v>4.1399999999999997</v>
      </c>
      <c r="K134" s="15">
        <v>130.94953092</v>
      </c>
      <c r="L134" s="15">
        <v>1741.4361716000001</v>
      </c>
      <c r="M134" s="15">
        <v>3.612117</v>
      </c>
      <c r="N134" s="15">
        <v>3.5724499999999999</v>
      </c>
      <c r="O134" s="15">
        <v>7</v>
      </c>
      <c r="P134" s="15">
        <v>99</v>
      </c>
      <c r="Q134" s="15">
        <v>3.6040000000000001</v>
      </c>
      <c r="R134" s="15">
        <v>3.55</v>
      </c>
      <c r="S134" s="15">
        <v>3.6190000000000002</v>
      </c>
      <c r="T134" s="15">
        <v>3.633</v>
      </c>
      <c r="U134" s="15">
        <v>3.6040000000000001</v>
      </c>
    </row>
    <row r="135" spans="2:21" x14ac:dyDescent="0.35">
      <c r="B135" s="15" t="s">
        <v>385</v>
      </c>
      <c r="C135" s="15">
        <v>4.0789999999999997</v>
      </c>
      <c r="D135" s="15">
        <v>5</v>
      </c>
      <c r="E135" s="15">
        <v>5</v>
      </c>
      <c r="F135" s="15">
        <v>4.0229999999999997</v>
      </c>
      <c r="G135" s="15">
        <v>130</v>
      </c>
      <c r="H135" s="15">
        <v>130</v>
      </c>
      <c r="I135" s="15">
        <v>4.077</v>
      </c>
      <c r="J135" s="15">
        <v>0.35304385999999999</v>
      </c>
      <c r="K135" s="15">
        <v>25.692686309999999</v>
      </c>
      <c r="L135" s="15">
        <v>96.882193360000002</v>
      </c>
      <c r="M135" s="15">
        <v>4.0847220000000002</v>
      </c>
      <c r="N135" s="15">
        <v>4.0758409999999996</v>
      </c>
      <c r="O135" s="15">
        <v>5</v>
      </c>
      <c r="P135" s="15">
        <v>24</v>
      </c>
      <c r="Q135" s="15">
        <v>4.077</v>
      </c>
      <c r="R135" s="15">
        <v>3.9620000000000002</v>
      </c>
      <c r="S135" s="15">
        <v>4.0890000000000004</v>
      </c>
      <c r="T135" s="15">
        <v>4.0890000000000004</v>
      </c>
      <c r="U135" s="15">
        <v>4.0890000000000004</v>
      </c>
    </row>
    <row r="136" spans="2:21" x14ac:dyDescent="0.35">
      <c r="B136" s="15" t="s">
        <v>388</v>
      </c>
      <c r="C136" s="15">
        <v>6.1420000000000002E-2</v>
      </c>
      <c r="D136" s="15">
        <v>35</v>
      </c>
      <c r="E136" s="15">
        <v>35</v>
      </c>
      <c r="F136" s="15">
        <v>6.1219999999999997E-2</v>
      </c>
      <c r="G136" s="15">
        <v>35</v>
      </c>
      <c r="H136" s="15">
        <v>35</v>
      </c>
      <c r="I136" s="15">
        <v>6.1499999999999999E-2</v>
      </c>
      <c r="J136" s="15">
        <v>8.1300813000000005</v>
      </c>
      <c r="K136" s="15">
        <v>266.27387820000001</v>
      </c>
      <c r="L136" s="15">
        <v>1443.26660769</v>
      </c>
      <c r="M136" s="15">
        <v>6.1464999999999999E-2</v>
      </c>
      <c r="N136" s="15">
        <v>6.0734999999999997E-2</v>
      </c>
      <c r="O136" s="15">
        <v>26</v>
      </c>
      <c r="P136" s="15">
        <v>85</v>
      </c>
      <c r="Q136" s="15">
        <v>5.9749999999999998E-2</v>
      </c>
      <c r="R136" s="15">
        <v>5.9560000000000002E-2</v>
      </c>
      <c r="S136" s="15">
        <v>6.25E-2</v>
      </c>
      <c r="T136" s="15">
        <v>6.25E-2</v>
      </c>
      <c r="U136" s="15">
        <v>6.0080000000000001E-2</v>
      </c>
    </row>
    <row r="137" spans="2:21" x14ac:dyDescent="0.35">
      <c r="B137" s="15" t="s">
        <v>391</v>
      </c>
      <c r="C137" s="15">
        <v>1.542E-3</v>
      </c>
      <c r="D137" s="15">
        <v>43</v>
      </c>
      <c r="E137" s="15">
        <v>43</v>
      </c>
      <c r="F137" s="15">
        <v>1.536E-3</v>
      </c>
      <c r="G137" s="15">
        <v>36</v>
      </c>
      <c r="H137" s="15">
        <v>36</v>
      </c>
      <c r="I137" s="15">
        <v>1.5380000000000001E-3</v>
      </c>
      <c r="J137" s="15">
        <v>0.32504154000000002</v>
      </c>
      <c r="K137" s="15">
        <v>803.22364949999996</v>
      </c>
      <c r="L137" s="15">
        <v>2017.2348536699999</v>
      </c>
      <c r="M137" s="15">
        <v>1.537E-3</v>
      </c>
      <c r="N137" s="15">
        <v>1.341E-3</v>
      </c>
      <c r="O137" s="15">
        <v>85</v>
      </c>
      <c r="P137" s="15">
        <v>167</v>
      </c>
      <c r="Q137" s="15">
        <v>1.4989999999999999E-3</v>
      </c>
      <c r="R137" s="15">
        <v>1.4790000000000001E-3</v>
      </c>
      <c r="S137" s="15">
        <v>1.565E-3</v>
      </c>
      <c r="T137" s="15">
        <v>1.565E-3</v>
      </c>
      <c r="U137" s="15">
        <v>1.4989999999999999E-3</v>
      </c>
    </row>
    <row r="138" spans="2:21" x14ac:dyDescent="0.35">
      <c r="B138" s="15" t="s">
        <v>394</v>
      </c>
      <c r="C138" s="15">
        <v>13.234999999999999</v>
      </c>
      <c r="D138" s="15">
        <v>36</v>
      </c>
      <c r="E138" s="15">
        <v>36</v>
      </c>
      <c r="F138" s="15">
        <v>13.198</v>
      </c>
      <c r="G138" s="15">
        <v>36</v>
      </c>
      <c r="H138" s="15">
        <v>36</v>
      </c>
      <c r="I138" s="15">
        <v>13.246</v>
      </c>
      <c r="J138" s="15">
        <v>13</v>
      </c>
      <c r="K138" s="15">
        <v>2676.7390332800001</v>
      </c>
      <c r="L138" s="15">
        <v>5105.0740210699996</v>
      </c>
      <c r="M138" s="15">
        <v>13.24048</v>
      </c>
      <c r="N138" s="15">
        <v>13.0312</v>
      </c>
      <c r="O138" s="15">
        <v>180</v>
      </c>
      <c r="P138" s="15">
        <v>378</v>
      </c>
      <c r="Q138" s="15">
        <v>12.92</v>
      </c>
      <c r="R138" s="15">
        <v>12.65</v>
      </c>
      <c r="S138" s="15">
        <v>13.5</v>
      </c>
      <c r="T138" s="15">
        <v>13.5</v>
      </c>
      <c r="U138" s="15">
        <v>12.92</v>
      </c>
    </row>
    <row r="139" spans="2:21" x14ac:dyDescent="0.35">
      <c r="B139" s="15" t="s">
        <v>397</v>
      </c>
      <c r="C139" s="15">
        <v>14.941000000000001</v>
      </c>
      <c r="D139" s="15">
        <v>36</v>
      </c>
      <c r="E139" s="15">
        <v>36</v>
      </c>
      <c r="F139" s="15">
        <v>14.906000000000001</v>
      </c>
      <c r="G139" s="15">
        <v>36</v>
      </c>
      <c r="H139" s="15">
        <v>36</v>
      </c>
      <c r="I139" s="15">
        <v>14.907999999999999</v>
      </c>
      <c r="J139" s="15">
        <v>2.5</v>
      </c>
      <c r="K139" s="15">
        <v>1694.106115</v>
      </c>
      <c r="L139" s="15">
        <v>3274.7085811900001</v>
      </c>
      <c r="M139" s="15">
        <v>14.929510000000001</v>
      </c>
      <c r="N139" s="15">
        <v>14.740550000000001</v>
      </c>
      <c r="O139" s="15">
        <v>81</v>
      </c>
      <c r="P139" s="15">
        <v>192</v>
      </c>
      <c r="Q139" s="15">
        <v>14.592000000000001</v>
      </c>
      <c r="R139" s="15">
        <v>14.278</v>
      </c>
      <c r="S139" s="15">
        <v>15.257</v>
      </c>
      <c r="T139" s="15">
        <v>15.257</v>
      </c>
      <c r="U139" s="15">
        <v>14.592000000000001</v>
      </c>
    </row>
    <row r="140" spans="2:21" x14ac:dyDescent="0.35">
      <c r="B140" s="15" t="s">
        <v>400</v>
      </c>
      <c r="C140" s="15">
        <v>8.317E-4</v>
      </c>
      <c r="D140" s="15">
        <v>7135</v>
      </c>
      <c r="E140" s="15">
        <v>7135</v>
      </c>
      <c r="F140" s="15">
        <v>8.298E-4</v>
      </c>
      <c r="G140" s="15">
        <v>2831</v>
      </c>
      <c r="H140" s="15">
        <v>2831</v>
      </c>
      <c r="I140" s="15">
        <v>8.3089999999999998E-4</v>
      </c>
      <c r="J140" s="15">
        <v>1000</v>
      </c>
      <c r="K140" s="15">
        <v>6764.1118166699998</v>
      </c>
      <c r="L140" s="15">
        <v>214380.61021491999</v>
      </c>
      <c r="M140" s="15">
        <v>8.3025449999999995E-4</v>
      </c>
      <c r="N140" s="15">
        <v>8.3683239999999995E-4</v>
      </c>
      <c r="O140" s="15">
        <v>31</v>
      </c>
      <c r="P140" s="15">
        <v>164</v>
      </c>
      <c r="Q140" s="15">
        <v>8.2910000000000004E-4</v>
      </c>
      <c r="R140" s="15">
        <v>8.2910000000000004E-4</v>
      </c>
      <c r="S140" s="15">
        <v>8.342E-4</v>
      </c>
      <c r="T140" s="15">
        <v>8.4979999999999995E-4</v>
      </c>
      <c r="U140" s="15">
        <v>8.3140000000000004E-4</v>
      </c>
    </row>
    <row r="141" spans="2:21" x14ac:dyDescent="0.35">
      <c r="B141" s="15" t="s">
        <v>402</v>
      </c>
      <c r="C141" s="15">
        <v>0.16045999999999999</v>
      </c>
      <c r="D141" s="15">
        <v>1883</v>
      </c>
      <c r="E141" s="15">
        <v>1883</v>
      </c>
      <c r="F141" s="15">
        <v>0.1595</v>
      </c>
      <c r="G141" s="15">
        <v>1147</v>
      </c>
      <c r="H141" s="15">
        <v>1147</v>
      </c>
      <c r="I141" s="15">
        <v>0.1595</v>
      </c>
      <c r="J141" s="15">
        <v>1081.1234567900001</v>
      </c>
      <c r="K141" s="15">
        <v>7280.1721624800002</v>
      </c>
      <c r="L141" s="15">
        <v>19734.943053769999</v>
      </c>
      <c r="M141" s="15">
        <v>0.15958368000000001</v>
      </c>
      <c r="N141" s="15">
        <v>0.15962498</v>
      </c>
      <c r="O141" s="15">
        <v>12</v>
      </c>
      <c r="P141" s="15">
        <v>34</v>
      </c>
      <c r="Q141" s="15">
        <v>0.15901000000000001</v>
      </c>
      <c r="R141" s="15">
        <v>0.15861</v>
      </c>
      <c r="S141" s="15">
        <v>0.16122</v>
      </c>
      <c r="T141" s="15">
        <v>0.16122</v>
      </c>
      <c r="U141" s="15">
        <v>0.15937999999999999</v>
      </c>
    </row>
    <row r="142" spans="2:21" x14ac:dyDescent="0.35">
      <c r="B142" s="15" t="s">
        <v>404</v>
      </c>
      <c r="C142" s="15">
        <v>0.20225000000000001</v>
      </c>
      <c r="D142" s="15">
        <v>2593</v>
      </c>
      <c r="E142" s="15">
        <v>2593</v>
      </c>
      <c r="F142" s="15">
        <v>0.20191000000000001</v>
      </c>
      <c r="G142" s="15">
        <v>862</v>
      </c>
      <c r="H142" s="15">
        <v>862</v>
      </c>
      <c r="I142" s="15">
        <v>0.20263</v>
      </c>
      <c r="J142" s="15">
        <v>2031.60999999</v>
      </c>
      <c r="K142" s="15">
        <v>0</v>
      </c>
      <c r="L142" s="15">
        <v>10009.027709419999</v>
      </c>
      <c r="M142" s="15">
        <v>0</v>
      </c>
      <c r="N142" s="15">
        <v>0.2019735</v>
      </c>
      <c r="O142" s="15">
        <v>0</v>
      </c>
      <c r="P142" s="15">
        <v>16</v>
      </c>
      <c r="Q142" s="15">
        <v>0.20263</v>
      </c>
      <c r="R142" s="15">
        <v>0.2006</v>
      </c>
      <c r="S142" s="15">
        <v>0.20263</v>
      </c>
      <c r="T142" s="15">
        <v>0.20263</v>
      </c>
      <c r="U142" s="15">
        <v>0.20263</v>
      </c>
    </row>
    <row r="143" spans="2:21" x14ac:dyDescent="0.35">
      <c r="B143" s="15" t="s">
        <v>406</v>
      </c>
      <c r="C143" s="15">
        <v>1.19931E-2</v>
      </c>
      <c r="D143" s="15">
        <v>3759</v>
      </c>
      <c r="E143" s="15">
        <v>3759</v>
      </c>
      <c r="F143" s="15">
        <v>1.1993E-2</v>
      </c>
      <c r="G143" s="15">
        <v>3</v>
      </c>
      <c r="H143" s="15">
        <v>3</v>
      </c>
      <c r="I143" s="15">
        <v>1.20357E-2</v>
      </c>
      <c r="J143" s="15">
        <v>40</v>
      </c>
      <c r="K143" s="15">
        <v>3064.16641028</v>
      </c>
      <c r="L143" s="15">
        <v>18219.552710439999</v>
      </c>
      <c r="M143" s="15">
        <v>1.182922E-2</v>
      </c>
      <c r="N143" s="15">
        <v>1.183173E-2</v>
      </c>
      <c r="O143" s="15">
        <v>39</v>
      </c>
      <c r="P143" s="15">
        <v>166</v>
      </c>
      <c r="Q143" s="15">
        <v>1.1767E-2</v>
      </c>
      <c r="R143" s="15">
        <v>1.17462E-2</v>
      </c>
      <c r="S143" s="15">
        <v>1.2042199999999999E-2</v>
      </c>
      <c r="T143" s="15">
        <v>1.2095099999999999E-2</v>
      </c>
      <c r="U143" s="15">
        <v>1.18119E-2</v>
      </c>
    </row>
    <row r="144" spans="2:21" x14ac:dyDescent="0.35">
      <c r="B144" s="15" t="s">
        <v>3</v>
      </c>
      <c r="C144" s="15">
        <v>2.5831</v>
      </c>
      <c r="D144" s="15">
        <v>890</v>
      </c>
      <c r="E144" s="15">
        <v>890</v>
      </c>
      <c r="F144" s="15">
        <v>2.5796000000000001</v>
      </c>
      <c r="G144" s="15">
        <v>10</v>
      </c>
      <c r="H144" s="15">
        <v>10</v>
      </c>
      <c r="I144" s="15">
        <v>2.5831</v>
      </c>
      <c r="J144" s="15">
        <v>60</v>
      </c>
      <c r="K144" s="15">
        <v>67708.735859349996</v>
      </c>
      <c r="L144" s="15">
        <v>322279.16722847999</v>
      </c>
      <c r="M144" s="15">
        <v>2.5747270000000002</v>
      </c>
      <c r="N144" s="15">
        <v>2.5451220000000001</v>
      </c>
      <c r="O144" s="15">
        <v>298</v>
      </c>
      <c r="P144" s="15">
        <v>1711</v>
      </c>
      <c r="Q144" s="15">
        <v>2.5398999999999998</v>
      </c>
      <c r="R144" s="15">
        <v>2.5</v>
      </c>
      <c r="S144" s="15">
        <v>2.5962999999999998</v>
      </c>
      <c r="T144" s="15">
        <v>2.5962999999999998</v>
      </c>
      <c r="U144" s="15">
        <v>2.5531000000000001</v>
      </c>
    </row>
    <row r="145" spans="2:21" x14ac:dyDescent="0.35">
      <c r="B145" s="15" t="s">
        <v>409</v>
      </c>
      <c r="C145" s="15">
        <v>2.9165999999999999</v>
      </c>
      <c r="D145" s="15">
        <v>258</v>
      </c>
      <c r="E145" s="15">
        <v>258</v>
      </c>
      <c r="F145" s="15">
        <v>2.9135</v>
      </c>
      <c r="G145" s="15">
        <v>533</v>
      </c>
      <c r="H145" s="15">
        <v>533</v>
      </c>
      <c r="I145" s="15">
        <v>2.9262999999999999</v>
      </c>
      <c r="J145" s="15">
        <v>790</v>
      </c>
      <c r="K145" s="15">
        <v>72590.833823659996</v>
      </c>
      <c r="L145" s="15">
        <v>286356.79076991999</v>
      </c>
      <c r="M145" s="15">
        <v>2.888944</v>
      </c>
      <c r="N145" s="15">
        <v>2.8655460000000001</v>
      </c>
      <c r="O145" s="15">
        <v>264</v>
      </c>
      <c r="P145" s="15">
        <v>1209</v>
      </c>
      <c r="Q145" s="15">
        <v>2.8683999999999998</v>
      </c>
      <c r="R145" s="15">
        <v>2.8105000000000002</v>
      </c>
      <c r="S145" s="15">
        <v>2.9318</v>
      </c>
      <c r="T145" s="15">
        <v>2.9318</v>
      </c>
      <c r="U145" s="15">
        <v>2.887</v>
      </c>
    </row>
    <row r="146" spans="2:21" x14ac:dyDescent="0.35">
      <c r="B146" s="15" t="s">
        <v>411</v>
      </c>
      <c r="C146" s="15">
        <v>3.012E-4</v>
      </c>
      <c r="D146" s="15">
        <v>3931</v>
      </c>
      <c r="E146" s="15">
        <v>3931</v>
      </c>
      <c r="F146" s="15">
        <v>3.011E-4</v>
      </c>
      <c r="G146" s="15">
        <v>5</v>
      </c>
      <c r="H146" s="15">
        <v>5</v>
      </c>
      <c r="I146" s="15">
        <v>3.0200000000000002E-4</v>
      </c>
      <c r="J146" s="15">
        <v>5</v>
      </c>
      <c r="K146" s="15">
        <v>13959.137191010001</v>
      </c>
      <c r="L146" s="15">
        <v>95293.164734849997</v>
      </c>
      <c r="M146" s="15">
        <v>2.9795000000000001E-4</v>
      </c>
      <c r="N146" s="15">
        <v>2.6068E-4</v>
      </c>
      <c r="O146" s="15">
        <v>135</v>
      </c>
      <c r="P146" s="15">
        <v>674</v>
      </c>
      <c r="Q146" s="15">
        <v>2.9369999999999998E-4</v>
      </c>
      <c r="R146" s="15">
        <v>2.9179999999999999E-4</v>
      </c>
      <c r="S146" s="15">
        <v>3.0289999999999999E-4</v>
      </c>
      <c r="T146" s="15">
        <v>3.0289999999999999E-4</v>
      </c>
      <c r="U146" s="15">
        <v>2.9510000000000002E-4</v>
      </c>
    </row>
    <row r="147" spans="2:21" x14ac:dyDescent="0.35">
      <c r="B147" s="15" t="s">
        <v>413</v>
      </c>
      <c r="C147" s="15">
        <v>13051.5</v>
      </c>
      <c r="D147" s="15">
        <v>1</v>
      </c>
      <c r="E147" s="15">
        <v>1</v>
      </c>
      <c r="F147" s="15">
        <v>13029.9</v>
      </c>
      <c r="G147" s="15">
        <v>1</v>
      </c>
      <c r="H147" s="15">
        <v>1</v>
      </c>
      <c r="I147" s="15">
        <v>13039.9</v>
      </c>
      <c r="J147" s="15">
        <v>4.7219999999999999E-5</v>
      </c>
      <c r="K147" s="15">
        <v>13.8606494</v>
      </c>
      <c r="L147" s="15">
        <v>42.414441099999998</v>
      </c>
      <c r="M147" s="15">
        <v>13177.68009</v>
      </c>
      <c r="N147" s="15">
        <v>12962.453750000001</v>
      </c>
      <c r="O147" s="15">
        <v>94</v>
      </c>
      <c r="P147" s="15">
        <v>695</v>
      </c>
      <c r="Q147" s="15">
        <v>13010.3</v>
      </c>
      <c r="R147" s="15">
        <v>12675.8</v>
      </c>
      <c r="S147" s="15">
        <v>13275.6</v>
      </c>
      <c r="T147" s="15">
        <v>13275.6</v>
      </c>
      <c r="U147" s="15">
        <v>13110</v>
      </c>
    </row>
    <row r="148" spans="2:21" x14ac:dyDescent="0.35">
      <c r="B148" s="15" t="s">
        <v>0</v>
      </c>
      <c r="C148" s="15">
        <v>8587.7999999999993</v>
      </c>
      <c r="D148" s="15">
        <v>5</v>
      </c>
      <c r="E148" s="15">
        <v>5</v>
      </c>
      <c r="F148" s="15">
        <v>8587.7000000000007</v>
      </c>
      <c r="G148" s="15">
        <v>9</v>
      </c>
      <c r="H148" s="15">
        <v>9</v>
      </c>
      <c r="I148" s="15">
        <v>8587.6</v>
      </c>
      <c r="J148" s="15">
        <v>3.0785700000000001E-3</v>
      </c>
      <c r="K148" s="15">
        <v>733.91986128999997</v>
      </c>
      <c r="L148" s="15">
        <v>4712.5627226500001</v>
      </c>
      <c r="M148" s="15">
        <v>8607.6360399999994</v>
      </c>
      <c r="N148" s="15">
        <v>8525.1471899999997</v>
      </c>
      <c r="O148" s="15">
        <v>4591</v>
      </c>
      <c r="P148" s="15">
        <v>23636</v>
      </c>
      <c r="Q148" s="15">
        <v>8534.9</v>
      </c>
      <c r="R148" s="15">
        <v>8350</v>
      </c>
      <c r="S148" s="15">
        <v>8655.2000000000007</v>
      </c>
      <c r="T148" s="15">
        <v>8666</v>
      </c>
      <c r="U148" s="15">
        <v>8623.6</v>
      </c>
    </row>
    <row r="149" spans="2:21" x14ac:dyDescent="0.35">
      <c r="B149" s="15" t="s">
        <v>420</v>
      </c>
      <c r="C149" s="15">
        <v>7652.7</v>
      </c>
      <c r="D149" s="15">
        <v>1</v>
      </c>
      <c r="E149" s="15">
        <v>1</v>
      </c>
      <c r="F149" s="15">
        <v>7643.5</v>
      </c>
      <c r="G149" s="15">
        <v>1</v>
      </c>
      <c r="H149" s="15">
        <v>1</v>
      </c>
      <c r="I149" s="15">
        <v>7656.9</v>
      </c>
      <c r="J149" s="15">
        <v>0.34224208</v>
      </c>
      <c r="K149" s="15">
        <v>6.35608488</v>
      </c>
      <c r="L149" s="15">
        <v>81.431821069999998</v>
      </c>
      <c r="M149" s="15">
        <v>7678.9469600000002</v>
      </c>
      <c r="N149" s="15">
        <v>7558.7236000000003</v>
      </c>
      <c r="O149" s="15">
        <v>55</v>
      </c>
      <c r="P149" s="15">
        <v>613</v>
      </c>
      <c r="Q149" s="15">
        <v>7631.4</v>
      </c>
      <c r="R149" s="15">
        <v>7445.7</v>
      </c>
      <c r="S149" s="15">
        <v>7702.7</v>
      </c>
      <c r="T149" s="15">
        <v>7747.3</v>
      </c>
      <c r="U149" s="15">
        <v>7678.1</v>
      </c>
    </row>
    <row r="150" spans="2:21" x14ac:dyDescent="0.35">
      <c r="B150" s="15" t="s">
        <v>425</v>
      </c>
      <c r="C150" s="15">
        <v>1065800</v>
      </c>
      <c r="D150" s="15">
        <v>1</v>
      </c>
      <c r="E150" s="15">
        <v>1</v>
      </c>
      <c r="F150" s="15">
        <v>1060651</v>
      </c>
      <c r="G150" s="15">
        <v>1</v>
      </c>
      <c r="H150" s="15">
        <v>1</v>
      </c>
      <c r="I150" s="15">
        <v>1072000</v>
      </c>
      <c r="J150" s="15">
        <v>0.4</v>
      </c>
      <c r="K150" s="15">
        <v>0</v>
      </c>
      <c r="L150" s="15">
        <v>0.4</v>
      </c>
      <c r="M150" s="15">
        <v>0</v>
      </c>
      <c r="N150" s="15">
        <v>1072000</v>
      </c>
      <c r="O150" s="15">
        <v>0</v>
      </c>
      <c r="P150" s="15">
        <v>1</v>
      </c>
      <c r="Q150" s="15">
        <v>1072000</v>
      </c>
      <c r="R150" s="15">
        <v>1072000</v>
      </c>
      <c r="S150" s="15">
        <v>1072000</v>
      </c>
      <c r="T150" s="15">
        <v>1072000</v>
      </c>
      <c r="U150" s="15">
        <v>1072000</v>
      </c>
    </row>
    <row r="151" spans="2:21" x14ac:dyDescent="0.35">
      <c r="B151" s="15" t="s">
        <v>430</v>
      </c>
      <c r="C151" s="15">
        <v>9692.1</v>
      </c>
      <c r="D151" s="15">
        <v>1</v>
      </c>
      <c r="E151" s="15">
        <v>1</v>
      </c>
      <c r="F151" s="15">
        <v>9692</v>
      </c>
      <c r="G151" s="15">
        <v>1</v>
      </c>
      <c r="H151" s="15">
        <v>1</v>
      </c>
      <c r="I151" s="15">
        <v>9692.6</v>
      </c>
      <c r="J151" s="15">
        <v>0.33</v>
      </c>
      <c r="K151" s="15">
        <v>839.10558908999997</v>
      </c>
      <c r="L151" s="15">
        <v>5095.8685581399995</v>
      </c>
      <c r="M151" s="15">
        <v>9723.1972499999993</v>
      </c>
      <c r="N151" s="15">
        <v>9613.7307700000001</v>
      </c>
      <c r="O151" s="15">
        <v>3385</v>
      </c>
      <c r="P151" s="15">
        <v>16409</v>
      </c>
      <c r="Q151" s="15">
        <v>9626.7999999999993</v>
      </c>
      <c r="R151" s="15">
        <v>9386.6</v>
      </c>
      <c r="S151" s="15">
        <v>9785</v>
      </c>
      <c r="T151" s="15">
        <v>9812.4</v>
      </c>
      <c r="U151" s="15">
        <v>9755.7000000000007</v>
      </c>
    </row>
    <row r="152" spans="2:21" x14ac:dyDescent="0.35">
      <c r="B152" s="15" t="s">
        <v>435</v>
      </c>
      <c r="C152" s="15">
        <v>2.7000000000000001E-7</v>
      </c>
      <c r="D152" s="15">
        <v>42695653</v>
      </c>
      <c r="E152" s="15">
        <v>42695653</v>
      </c>
      <c r="F152" s="15">
        <v>2.6E-7</v>
      </c>
      <c r="G152" s="15">
        <v>38553086</v>
      </c>
      <c r="H152" s="15">
        <v>38553086</v>
      </c>
      <c r="I152" s="15">
        <v>2.7000000000000001E-7</v>
      </c>
      <c r="J152" s="15">
        <v>22677.562314800001</v>
      </c>
      <c r="K152" s="15">
        <v>263356.32614601002</v>
      </c>
      <c r="L152" s="15">
        <v>6741195.9260112904</v>
      </c>
      <c r="M152" s="15">
        <v>2.6600000000000003E-7</v>
      </c>
      <c r="N152" s="15">
        <v>1.5200000000000001E-7</v>
      </c>
      <c r="O152" s="15">
        <v>17</v>
      </c>
      <c r="P152" s="15">
        <v>114</v>
      </c>
      <c r="Q152" s="15">
        <v>2.6E-7</v>
      </c>
      <c r="R152" s="15">
        <v>2.6E-7</v>
      </c>
      <c r="S152" s="15">
        <v>2.7000000000000001E-7</v>
      </c>
      <c r="T152" s="15">
        <v>2.8000000000000002E-7</v>
      </c>
      <c r="U152" s="15">
        <v>2.6E-7</v>
      </c>
    </row>
    <row r="153" spans="2:21" x14ac:dyDescent="0.35">
      <c r="B153" s="15" t="s">
        <v>438</v>
      </c>
      <c r="C153" s="15">
        <v>8.1599999999999998E-6</v>
      </c>
      <c r="D153" s="15">
        <v>10037</v>
      </c>
      <c r="E153" s="15">
        <v>10037</v>
      </c>
      <c r="F153" s="15">
        <v>8.14E-6</v>
      </c>
      <c r="G153" s="15">
        <v>128169</v>
      </c>
      <c r="H153" s="15">
        <v>128169</v>
      </c>
      <c r="I153" s="15">
        <v>8.1300000000000001E-6</v>
      </c>
      <c r="J153" s="15">
        <v>1537.9566221600001</v>
      </c>
      <c r="K153" s="15">
        <v>96837.5284617</v>
      </c>
      <c r="L153" s="15">
        <v>1576028.46138715</v>
      </c>
      <c r="M153" s="15">
        <v>8.0970000000000006E-6</v>
      </c>
      <c r="N153" s="15">
        <v>7.605E-6</v>
      </c>
      <c r="O153" s="15">
        <v>56</v>
      </c>
      <c r="P153" s="15">
        <v>341</v>
      </c>
      <c r="Q153" s="15">
        <v>8.0399999999999993E-6</v>
      </c>
      <c r="R153" s="15">
        <v>8.0199999999999994E-6</v>
      </c>
      <c r="S153" s="15">
        <v>8.1799999999999996E-6</v>
      </c>
      <c r="T153" s="15">
        <v>8.2500000000000006E-6</v>
      </c>
      <c r="U153" s="15">
        <v>8.0700000000000007E-6</v>
      </c>
    </row>
    <row r="154" spans="2:21" x14ac:dyDescent="0.35">
      <c r="B154" s="15" t="s">
        <v>441</v>
      </c>
      <c r="C154" s="15">
        <v>6.9977999999999999E-2</v>
      </c>
      <c r="D154" s="15">
        <v>10510</v>
      </c>
      <c r="E154" s="15">
        <v>10510</v>
      </c>
      <c r="F154" s="15">
        <v>6.9920999999999997E-2</v>
      </c>
      <c r="G154" s="15">
        <v>126648</v>
      </c>
      <c r="H154" s="15">
        <v>126648</v>
      </c>
      <c r="I154" s="15">
        <v>6.9944000000000006E-2</v>
      </c>
      <c r="J154" s="15">
        <v>45.270502120000003</v>
      </c>
      <c r="K154" s="15">
        <v>773500.83900834003</v>
      </c>
      <c r="L154" s="15">
        <v>2875966.9110785401</v>
      </c>
      <c r="M154" s="15">
        <v>6.9873679999999994E-2</v>
      </c>
      <c r="N154" s="15">
        <v>6.9149240000000001E-2</v>
      </c>
      <c r="O154" s="15">
        <v>130</v>
      </c>
      <c r="P154" s="15">
        <v>758</v>
      </c>
      <c r="Q154" s="15">
        <v>6.9235000000000005E-2</v>
      </c>
      <c r="R154" s="15">
        <v>6.7102999999999996E-2</v>
      </c>
      <c r="S154" s="15">
        <v>7.0300000000000001E-2</v>
      </c>
      <c r="T154" s="15">
        <v>7.0607000000000003E-2</v>
      </c>
      <c r="U154" s="15">
        <v>6.9668999999999995E-2</v>
      </c>
    </row>
    <row r="155" spans="2:21" x14ac:dyDescent="0.35">
      <c r="B155" s="15" t="s">
        <v>444</v>
      </c>
      <c r="C155" s="15">
        <v>7.8986000000000001E-2</v>
      </c>
      <c r="D155" s="15">
        <v>8447</v>
      </c>
      <c r="E155" s="15">
        <v>8447</v>
      </c>
      <c r="F155" s="15">
        <v>7.8955999999999998E-2</v>
      </c>
      <c r="G155" s="15">
        <v>126645</v>
      </c>
      <c r="H155" s="15">
        <v>126645</v>
      </c>
      <c r="I155" s="15">
        <v>7.8993999999999995E-2</v>
      </c>
      <c r="J155" s="15">
        <v>400</v>
      </c>
      <c r="K155" s="15">
        <v>529088.58189747995</v>
      </c>
      <c r="L155" s="15">
        <v>5947496.7415787904</v>
      </c>
      <c r="M155" s="15">
        <v>7.8902490000000006E-2</v>
      </c>
      <c r="N155" s="15">
        <v>7.7891050000000003E-2</v>
      </c>
      <c r="O155" s="15">
        <v>427</v>
      </c>
      <c r="P155" s="15">
        <v>1459</v>
      </c>
      <c r="Q155" s="15">
        <v>7.8094999999999998E-2</v>
      </c>
      <c r="R155" s="15">
        <v>7.5473999999999999E-2</v>
      </c>
      <c r="S155" s="15">
        <v>7.9479999999999995E-2</v>
      </c>
      <c r="T155" s="15">
        <v>7.9479999999999995E-2</v>
      </c>
      <c r="U155" s="15">
        <v>7.8825999999999993E-2</v>
      </c>
    </row>
    <row r="156" spans="2:21" x14ac:dyDescent="0.35">
      <c r="B156" s="15" t="s">
        <v>447</v>
      </c>
      <c r="C156" s="15">
        <v>6.914E-3</v>
      </c>
      <c r="D156" s="15">
        <v>25</v>
      </c>
      <c r="E156" s="15">
        <v>25</v>
      </c>
      <c r="F156" s="15">
        <v>6.9049999999999997E-3</v>
      </c>
      <c r="G156" s="15">
        <v>13</v>
      </c>
      <c r="H156" s="15">
        <v>13</v>
      </c>
      <c r="I156" s="15">
        <v>6.914E-3</v>
      </c>
      <c r="J156" s="15">
        <v>5</v>
      </c>
      <c r="K156" s="15">
        <v>550.57607919999998</v>
      </c>
      <c r="L156" s="15">
        <v>3176.5013137300002</v>
      </c>
      <c r="M156" s="15">
        <v>6.8579899999999996E-3</v>
      </c>
      <c r="N156" s="15">
        <v>6.9106899999999997E-3</v>
      </c>
      <c r="O156" s="15">
        <v>108</v>
      </c>
      <c r="P156" s="15">
        <v>459</v>
      </c>
      <c r="Q156" s="15">
        <v>6.8019999999999999E-3</v>
      </c>
      <c r="R156" s="15">
        <v>6.7650000000000002E-3</v>
      </c>
      <c r="S156" s="15">
        <v>6.9300000000000004E-3</v>
      </c>
      <c r="T156" s="15">
        <v>7.058E-3</v>
      </c>
      <c r="U156" s="15">
        <v>6.8199999999999997E-3</v>
      </c>
    </row>
    <row r="157" spans="2:21" x14ac:dyDescent="0.35">
      <c r="B157" s="15" t="s">
        <v>450</v>
      </c>
      <c r="C157" s="15">
        <v>59.33</v>
      </c>
      <c r="D157" s="15">
        <v>13</v>
      </c>
      <c r="E157" s="15">
        <v>13</v>
      </c>
      <c r="F157" s="15">
        <v>59.28</v>
      </c>
      <c r="G157" s="15">
        <v>39</v>
      </c>
      <c r="H157" s="15">
        <v>39</v>
      </c>
      <c r="I157" s="15">
        <v>59.25</v>
      </c>
      <c r="J157" s="15">
        <v>2</v>
      </c>
      <c r="K157" s="15">
        <v>1597.93076959</v>
      </c>
      <c r="L157" s="15">
        <v>6321.9258702699999</v>
      </c>
      <c r="M157" s="15">
        <v>59.215360889999999</v>
      </c>
      <c r="N157" s="15">
        <v>58.769761289999998</v>
      </c>
      <c r="O157" s="15">
        <v>254</v>
      </c>
      <c r="P157" s="15">
        <v>1232</v>
      </c>
      <c r="Q157" s="15">
        <v>58.73</v>
      </c>
      <c r="R157" s="15">
        <v>57.5</v>
      </c>
      <c r="S157" s="15">
        <v>59.39</v>
      </c>
      <c r="T157" s="15">
        <v>60.39</v>
      </c>
      <c r="U157" s="15">
        <v>58.73</v>
      </c>
    </row>
    <row r="158" spans="2:21" x14ac:dyDescent="0.35">
      <c r="B158" s="15" t="s">
        <v>453</v>
      </c>
      <c r="C158" s="15">
        <v>67.010000000000005</v>
      </c>
      <c r="D158" s="15">
        <v>9</v>
      </c>
      <c r="E158" s="15">
        <v>9</v>
      </c>
      <c r="F158" s="15">
        <v>66.94</v>
      </c>
      <c r="G158" s="15">
        <v>13</v>
      </c>
      <c r="H158" s="15">
        <v>13</v>
      </c>
      <c r="I158" s="15">
        <v>66.94</v>
      </c>
      <c r="J158" s="15">
        <v>0.1</v>
      </c>
      <c r="K158" s="15">
        <v>433.24264325000001</v>
      </c>
      <c r="L158" s="15">
        <v>2370.9357126599998</v>
      </c>
      <c r="M158" s="15">
        <v>66.652051180000001</v>
      </c>
      <c r="N158" s="15">
        <v>66.102372560000006</v>
      </c>
      <c r="O158" s="15">
        <v>170</v>
      </c>
      <c r="P158" s="15">
        <v>629</v>
      </c>
      <c r="Q158" s="15">
        <v>66.27</v>
      </c>
      <c r="R158" s="15">
        <v>64.790000000000006</v>
      </c>
      <c r="S158" s="15">
        <v>67.09</v>
      </c>
      <c r="T158" s="15">
        <v>67.97</v>
      </c>
      <c r="U158" s="15">
        <v>66.5</v>
      </c>
    </row>
    <row r="159" spans="2:21" x14ac:dyDescent="0.35">
      <c r="B159" s="15" t="s">
        <v>456</v>
      </c>
      <c r="C159" s="15">
        <v>2.086E-5</v>
      </c>
      <c r="D159" s="15">
        <v>17617</v>
      </c>
      <c r="E159" s="15">
        <v>17617</v>
      </c>
      <c r="F159" s="15">
        <v>2.0849999999999999E-5</v>
      </c>
      <c r="G159" s="15">
        <v>128</v>
      </c>
      <c r="H159" s="15">
        <v>128</v>
      </c>
      <c r="I159" s="15">
        <v>2.0869999999999998E-5</v>
      </c>
      <c r="J159" s="15">
        <v>260.18079633000002</v>
      </c>
      <c r="K159" s="15">
        <v>225133.54521504999</v>
      </c>
      <c r="L159" s="15">
        <v>637944.5538766</v>
      </c>
      <c r="M159" s="15">
        <v>2.0792999999999999E-5</v>
      </c>
      <c r="N159" s="15">
        <v>2.016E-5</v>
      </c>
      <c r="O159" s="15">
        <v>163</v>
      </c>
      <c r="P159" s="15">
        <v>472</v>
      </c>
      <c r="Q159" s="15">
        <v>2.075E-5</v>
      </c>
      <c r="R159" s="15">
        <v>2.075E-5</v>
      </c>
      <c r="S159" s="15">
        <v>2.0890000000000002E-5</v>
      </c>
      <c r="T159" s="15">
        <v>2.1229999999999998E-5</v>
      </c>
      <c r="U159" s="15">
        <v>2.0869999999999998E-5</v>
      </c>
    </row>
    <row r="160" spans="2:21" x14ac:dyDescent="0.35">
      <c r="B160" s="15" t="s">
        <v>459</v>
      </c>
      <c r="C160" s="15">
        <v>0.27273999999999998</v>
      </c>
      <c r="D160" s="15">
        <v>1080</v>
      </c>
      <c r="E160" s="15">
        <v>1080</v>
      </c>
      <c r="F160" s="15">
        <v>0.27139000000000002</v>
      </c>
      <c r="G160" s="15">
        <v>1875</v>
      </c>
      <c r="H160" s="15">
        <v>1875</v>
      </c>
      <c r="I160" s="15">
        <v>0.27249000000000001</v>
      </c>
      <c r="J160" s="15">
        <v>12311</v>
      </c>
      <c r="K160" s="15">
        <v>20000</v>
      </c>
      <c r="L160" s="15">
        <v>81562.177468959999</v>
      </c>
      <c r="M160" s="15">
        <v>0.27250152999999999</v>
      </c>
      <c r="N160" s="15">
        <v>0.27206495000000003</v>
      </c>
      <c r="O160" s="15">
        <v>2</v>
      </c>
      <c r="P160" s="15">
        <v>56</v>
      </c>
      <c r="Q160" s="15">
        <v>0.27249000000000001</v>
      </c>
      <c r="R160" s="15">
        <v>0.26926</v>
      </c>
      <c r="S160" s="15">
        <v>0.27251999999999998</v>
      </c>
      <c r="T160" s="15">
        <v>0.27500999999999998</v>
      </c>
      <c r="U160" s="15">
        <v>0.27250999999999997</v>
      </c>
    </row>
    <row r="161" spans="2:21" x14ac:dyDescent="0.35">
      <c r="B161" s="15" t="s">
        <v>2</v>
      </c>
      <c r="C161" s="15">
        <v>0.17899999999999999</v>
      </c>
      <c r="D161" s="15">
        <v>1904</v>
      </c>
      <c r="E161" s="15">
        <v>1904</v>
      </c>
      <c r="F161" s="15">
        <v>0.17896000000000001</v>
      </c>
      <c r="G161" s="15">
        <v>3594</v>
      </c>
      <c r="H161" s="15">
        <v>3594</v>
      </c>
      <c r="I161" s="15">
        <v>0.17899999999999999</v>
      </c>
      <c r="J161" s="15">
        <v>339.54747200000003</v>
      </c>
      <c r="K161" s="15">
        <v>696795.92972158</v>
      </c>
      <c r="L161" s="15">
        <v>4511844.6294700904</v>
      </c>
      <c r="M161" s="15">
        <v>0.17933832999999999</v>
      </c>
      <c r="N161" s="15">
        <v>0.17876386999999999</v>
      </c>
      <c r="O161" s="15">
        <v>467</v>
      </c>
      <c r="P161" s="15">
        <v>1845</v>
      </c>
      <c r="Q161" s="15">
        <v>0.17815</v>
      </c>
      <c r="R161" s="15">
        <v>0.17657</v>
      </c>
      <c r="S161" s="15">
        <v>0.18035000000000001</v>
      </c>
      <c r="T161" s="15">
        <v>0.18057000000000001</v>
      </c>
      <c r="U161" s="15">
        <v>0.17978</v>
      </c>
    </row>
    <row r="162" spans="2:21" x14ac:dyDescent="0.35">
      <c r="B162" s="15" t="s">
        <v>464</v>
      </c>
      <c r="C162" s="15">
        <v>22.202999999999999</v>
      </c>
      <c r="D162" s="15">
        <v>306</v>
      </c>
      <c r="E162" s="15">
        <v>306</v>
      </c>
      <c r="F162" s="15">
        <v>22.094999999999999</v>
      </c>
      <c r="G162" s="15">
        <v>5582</v>
      </c>
      <c r="H162" s="15">
        <v>5582</v>
      </c>
      <c r="I162" s="15">
        <v>22</v>
      </c>
      <c r="J162" s="15">
        <v>6.3636360000000003E-2</v>
      </c>
      <c r="K162" s="15">
        <v>0</v>
      </c>
      <c r="L162" s="15">
        <v>88.428679090000003</v>
      </c>
      <c r="M162" s="15">
        <v>0</v>
      </c>
      <c r="N162" s="15">
        <v>21.999999989999999</v>
      </c>
      <c r="O162" s="15">
        <v>0</v>
      </c>
      <c r="P162" s="15">
        <v>3</v>
      </c>
      <c r="Q162" s="15">
        <v>22</v>
      </c>
      <c r="R162" s="15">
        <v>22</v>
      </c>
      <c r="S162" s="15">
        <v>22</v>
      </c>
      <c r="T162" s="15">
        <v>22</v>
      </c>
      <c r="U162" s="15">
        <v>22</v>
      </c>
    </row>
    <row r="163" spans="2:21" x14ac:dyDescent="0.35">
      <c r="B163" s="15" t="s">
        <v>467</v>
      </c>
      <c r="C163" s="15">
        <v>0.20215</v>
      </c>
      <c r="D163" s="15">
        <v>9372</v>
      </c>
      <c r="E163" s="15">
        <v>9372</v>
      </c>
      <c r="F163" s="15">
        <v>0.20205000000000001</v>
      </c>
      <c r="G163" s="15">
        <v>55809</v>
      </c>
      <c r="H163" s="15">
        <v>55809</v>
      </c>
      <c r="I163" s="15">
        <v>0.20211999999999999</v>
      </c>
      <c r="J163" s="15">
        <v>557.14813800000002</v>
      </c>
      <c r="K163" s="15">
        <v>1301527.0057536101</v>
      </c>
      <c r="L163" s="15">
        <v>7403282.4405884398</v>
      </c>
      <c r="M163" s="15">
        <v>0.2027398</v>
      </c>
      <c r="N163" s="15">
        <v>0.20165717</v>
      </c>
      <c r="O163" s="15">
        <v>650</v>
      </c>
      <c r="P163" s="15">
        <v>1924</v>
      </c>
      <c r="Q163" s="15">
        <v>0.20141999999999999</v>
      </c>
      <c r="R163" s="15">
        <v>0.19861000000000001</v>
      </c>
      <c r="S163" s="15">
        <v>0.2036</v>
      </c>
      <c r="T163" s="15">
        <v>0.20369000000000001</v>
      </c>
      <c r="U163" s="15">
        <v>0.20327000000000001</v>
      </c>
    </row>
    <row r="164" spans="2:21" x14ac:dyDescent="0.35">
      <c r="B164" s="15" t="s">
        <v>470</v>
      </c>
      <c r="C164" s="15">
        <v>5.4000000000000003E-3</v>
      </c>
      <c r="D164" s="15">
        <v>299</v>
      </c>
      <c r="E164" s="15">
        <v>299</v>
      </c>
      <c r="F164" s="15">
        <v>5.3800000000000002E-3</v>
      </c>
      <c r="G164" s="15">
        <v>94</v>
      </c>
      <c r="H164" s="15">
        <v>94</v>
      </c>
      <c r="I164" s="15">
        <v>5.3899999999999998E-3</v>
      </c>
      <c r="J164" s="15">
        <v>4.850223E-2</v>
      </c>
      <c r="K164" s="15">
        <v>129.86146625000001</v>
      </c>
      <c r="L164" s="15">
        <v>1293.99848344</v>
      </c>
      <c r="M164" s="15">
        <v>5.3790000000000001E-3</v>
      </c>
      <c r="N164" s="15">
        <v>4.6719999999999999E-3</v>
      </c>
      <c r="O164" s="15">
        <v>60</v>
      </c>
      <c r="P164" s="15">
        <v>224</v>
      </c>
      <c r="Q164" s="15">
        <v>5.3299999999999997E-3</v>
      </c>
      <c r="R164" s="15">
        <v>5.2900000000000004E-3</v>
      </c>
      <c r="S164" s="15">
        <v>5.4099999999999999E-3</v>
      </c>
      <c r="T164" s="15">
        <v>5.45E-3</v>
      </c>
      <c r="U164" s="15">
        <v>5.3600000000000002E-3</v>
      </c>
    </row>
    <row r="165" spans="2:21" x14ac:dyDescent="0.35">
      <c r="B165" s="15" t="s">
        <v>473</v>
      </c>
      <c r="C165" s="15">
        <v>46.277999999999999</v>
      </c>
      <c r="D165" s="15">
        <v>11</v>
      </c>
      <c r="E165" s="15">
        <v>11</v>
      </c>
      <c r="F165" s="15">
        <v>46.191000000000003</v>
      </c>
      <c r="G165" s="15">
        <v>11</v>
      </c>
      <c r="H165" s="15">
        <v>11</v>
      </c>
      <c r="I165" s="15">
        <v>46.161000000000001</v>
      </c>
      <c r="J165" s="15">
        <v>3.2199999999999997E-5</v>
      </c>
      <c r="K165" s="15">
        <v>132.74875306999999</v>
      </c>
      <c r="L165" s="15">
        <v>1385.0202627799999</v>
      </c>
      <c r="M165" s="15">
        <v>46.281910000000003</v>
      </c>
      <c r="N165" s="15">
        <v>45.652920000000002</v>
      </c>
      <c r="O165" s="15">
        <v>47</v>
      </c>
      <c r="P165" s="15">
        <v>322</v>
      </c>
      <c r="Q165" s="15">
        <v>45.96</v>
      </c>
      <c r="R165" s="15">
        <v>45</v>
      </c>
      <c r="S165" s="15">
        <v>46.48</v>
      </c>
      <c r="T165" s="15">
        <v>46.61</v>
      </c>
      <c r="U165" s="15">
        <v>46.136000000000003</v>
      </c>
    </row>
    <row r="166" spans="2:21" x14ac:dyDescent="0.35">
      <c r="B166" s="15" t="s">
        <v>476</v>
      </c>
      <c r="C166" s="15">
        <v>52.28</v>
      </c>
      <c r="D166" s="15">
        <v>11</v>
      </c>
      <c r="E166" s="15">
        <v>11</v>
      </c>
      <c r="F166" s="15">
        <v>52.18</v>
      </c>
      <c r="G166" s="15">
        <v>13</v>
      </c>
      <c r="H166" s="15">
        <v>13</v>
      </c>
      <c r="I166" s="15">
        <v>52.25</v>
      </c>
      <c r="J166" s="15">
        <v>2.2581091299999998</v>
      </c>
      <c r="K166" s="15">
        <v>92.540121049999996</v>
      </c>
      <c r="L166" s="15">
        <v>756.63407686999994</v>
      </c>
      <c r="M166" s="15">
        <v>52.270879999999998</v>
      </c>
      <c r="N166" s="15">
        <v>51.979990000000001</v>
      </c>
      <c r="O166" s="15">
        <v>37</v>
      </c>
      <c r="P166" s="15">
        <v>150</v>
      </c>
      <c r="Q166" s="15">
        <v>51.93</v>
      </c>
      <c r="R166" s="15">
        <v>50.67</v>
      </c>
      <c r="S166" s="15">
        <v>52.51</v>
      </c>
      <c r="T166" s="15">
        <v>52.51</v>
      </c>
      <c r="U166" s="15">
        <v>52.28</v>
      </c>
    </row>
    <row r="167" spans="2:21" x14ac:dyDescent="0.35">
      <c r="B167" s="15" t="s">
        <v>479</v>
      </c>
      <c r="C167" s="15">
        <v>1.1299699999999999</v>
      </c>
      <c r="D167" s="15">
        <v>1339</v>
      </c>
      <c r="E167" s="15">
        <v>1339</v>
      </c>
      <c r="F167" s="15">
        <v>1.12903</v>
      </c>
      <c r="G167" s="15">
        <v>5256</v>
      </c>
      <c r="H167" s="15">
        <v>5256</v>
      </c>
      <c r="I167" s="15">
        <v>1.1291800000000001</v>
      </c>
      <c r="J167" s="15">
        <v>352.04594853999998</v>
      </c>
      <c r="K167" s="15">
        <v>160503.92942520999</v>
      </c>
      <c r="L167" s="15">
        <v>946956.39987845998</v>
      </c>
      <c r="M167" s="15">
        <v>1.12643</v>
      </c>
      <c r="N167" s="15">
        <v>1.1066100000000001</v>
      </c>
      <c r="O167" s="15">
        <v>232</v>
      </c>
      <c r="P167" s="15">
        <v>1335</v>
      </c>
      <c r="Q167" s="15">
        <v>1.111</v>
      </c>
      <c r="R167" s="15">
        <v>1.111</v>
      </c>
      <c r="S167" s="15">
        <v>1.1319399999999999</v>
      </c>
      <c r="T167" s="15">
        <v>1.1319399999999999</v>
      </c>
      <c r="U167" s="15">
        <v>1.1319300000000001</v>
      </c>
    </row>
    <row r="168" spans="2:21" x14ac:dyDescent="0.35">
      <c r="B168" s="15" t="s">
        <v>482</v>
      </c>
      <c r="C168" s="15">
        <v>1.2687999999999999</v>
      </c>
      <c r="D168" s="15">
        <v>302</v>
      </c>
      <c r="E168" s="15">
        <v>302</v>
      </c>
      <c r="F168" s="15">
        <v>1.2655099999999999</v>
      </c>
      <c r="G168" s="15">
        <v>413</v>
      </c>
      <c r="H168" s="15">
        <v>413</v>
      </c>
      <c r="I168" s="15">
        <v>1.2680199999999999</v>
      </c>
      <c r="J168" s="15">
        <v>155</v>
      </c>
      <c r="K168" s="15">
        <v>395</v>
      </c>
      <c r="L168" s="15">
        <v>4039.5740820400001</v>
      </c>
      <c r="M168" s="15">
        <v>1.2667900000000001</v>
      </c>
      <c r="N168" s="15">
        <v>1.2437100000000001</v>
      </c>
      <c r="O168" s="15">
        <v>3</v>
      </c>
      <c r="P168" s="15">
        <v>31</v>
      </c>
      <c r="Q168" s="15">
        <v>1.26515</v>
      </c>
      <c r="R168" s="15">
        <v>1.25895</v>
      </c>
      <c r="S168" s="15">
        <v>1.2689999999999999</v>
      </c>
      <c r="T168" s="15">
        <v>1.27078</v>
      </c>
      <c r="U168" s="15">
        <v>1.2689999999999999</v>
      </c>
    </row>
    <row r="169" spans="2:21" x14ac:dyDescent="0.35">
      <c r="B169" s="15" t="s">
        <v>485</v>
      </c>
      <c r="C169" s="15">
        <v>1.34958</v>
      </c>
      <c r="D169" s="15">
        <v>523</v>
      </c>
      <c r="E169" s="15">
        <v>523</v>
      </c>
      <c r="F169" s="15">
        <v>1.3447100000000001</v>
      </c>
      <c r="G169" s="15">
        <v>121</v>
      </c>
      <c r="H169" s="15">
        <v>121</v>
      </c>
      <c r="I169" s="15">
        <v>1.34999</v>
      </c>
      <c r="J169" s="15">
        <v>56.385300000000001</v>
      </c>
      <c r="K169" s="15">
        <v>1870.36733959</v>
      </c>
      <c r="L169" s="15">
        <v>15291.791289790001</v>
      </c>
      <c r="M169" s="15">
        <v>1.34887</v>
      </c>
      <c r="N169" s="15">
        <v>1.3408599999999999</v>
      </c>
      <c r="O169" s="15">
        <v>11</v>
      </c>
      <c r="P169" s="15">
        <v>40</v>
      </c>
      <c r="Q169" s="15">
        <v>1.34436</v>
      </c>
      <c r="R169" s="15">
        <v>1.33</v>
      </c>
      <c r="S169" s="15">
        <v>1.35</v>
      </c>
      <c r="T169" s="15">
        <v>1.3515900000000001</v>
      </c>
      <c r="U169" s="15">
        <v>1.34436</v>
      </c>
    </row>
    <row r="170" spans="2:21" x14ac:dyDescent="0.35">
      <c r="B170" s="15" t="s">
        <v>488</v>
      </c>
      <c r="C170" s="15">
        <v>109.998</v>
      </c>
      <c r="D170" s="15">
        <v>523</v>
      </c>
      <c r="E170" s="15">
        <v>523</v>
      </c>
      <c r="F170" s="15">
        <v>109.288</v>
      </c>
      <c r="G170" s="15">
        <v>1133</v>
      </c>
      <c r="H170" s="15">
        <v>1133</v>
      </c>
      <c r="I170" s="15">
        <v>109.392</v>
      </c>
      <c r="J170" s="15">
        <v>11.2959</v>
      </c>
      <c r="K170" s="15">
        <v>0</v>
      </c>
      <c r="L170" s="15">
        <v>11.2959</v>
      </c>
      <c r="M170" s="15">
        <v>0</v>
      </c>
      <c r="N170" s="15">
        <v>109.392</v>
      </c>
      <c r="O170" s="15">
        <v>0</v>
      </c>
      <c r="P170" s="15">
        <v>1</v>
      </c>
      <c r="Q170" s="15">
        <v>109.392</v>
      </c>
      <c r="R170" s="15">
        <v>109.392</v>
      </c>
      <c r="S170" s="15">
        <v>109.392</v>
      </c>
      <c r="T170" s="15">
        <v>109.392</v>
      </c>
      <c r="U170" s="15">
        <v>109.392</v>
      </c>
    </row>
  </sheetData>
  <mergeCells count="8">
    <mergeCell ref="Q10:R10"/>
    <mergeCell ref="S10:T10"/>
    <mergeCell ref="C10:E10"/>
    <mergeCell ref="F10:H10"/>
    <mergeCell ref="I10:J10"/>
    <mergeCell ref="K10:L10"/>
    <mergeCell ref="M10:N10"/>
    <mergeCell ref="O10:P10"/>
  </mergeCells>
  <hyperlinks>
    <hyperlink ref="B8" location="'Kraken Ticker'!B8" display="Get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M735"/>
  <sheetViews>
    <sheetView topLeftCell="B4" workbookViewId="0">
      <selection activeCell="B12" sqref="B12"/>
    </sheetView>
  </sheetViews>
  <sheetFormatPr baseColWidth="10" defaultRowHeight="14.5" x14ac:dyDescent="0.35"/>
  <cols>
    <col min="12" max="13" width="17.54296875" bestFit="1" customWidth="1"/>
  </cols>
  <sheetData>
    <row r="2" spans="2:13" ht="17.5" x14ac:dyDescent="0.35">
      <c r="B2" s="13" t="s">
        <v>513</v>
      </c>
    </row>
    <row r="3" spans="2:13" x14ac:dyDescent="0.35">
      <c r="B3" t="s">
        <v>514</v>
      </c>
    </row>
    <row r="5" spans="2:13" x14ac:dyDescent="0.35">
      <c r="B5" t="s">
        <v>24</v>
      </c>
      <c r="C5" t="s">
        <v>515</v>
      </c>
    </row>
    <row r="6" spans="2:13" x14ac:dyDescent="0.35">
      <c r="C6" s="10" t="s">
        <v>0</v>
      </c>
      <c r="D6" t="s">
        <v>525</v>
      </c>
      <c r="H6" t="s">
        <v>0</v>
      </c>
    </row>
    <row r="7" spans="2:13" x14ac:dyDescent="0.35">
      <c r="C7" t="s">
        <v>516</v>
      </c>
    </row>
    <row r="8" spans="2:13" x14ac:dyDescent="0.35">
      <c r="C8" s="10">
        <v>1</v>
      </c>
      <c r="D8" t="s">
        <v>517</v>
      </c>
    </row>
    <row r="9" spans="2:13" x14ac:dyDescent="0.35">
      <c r="C9" t="s">
        <v>518</v>
      </c>
    </row>
    <row r="10" spans="2:13" x14ac:dyDescent="0.35">
      <c r="C10" s="10">
        <v>1591606740</v>
      </c>
      <c r="D10" t="s">
        <v>524</v>
      </c>
      <c r="K10" s="20" t="s">
        <v>526</v>
      </c>
      <c r="L10" s="19">
        <f>(((C10/60)/60)/24)+DATE(1970,1,1)</f>
        <v>43990.374305555553</v>
      </c>
      <c r="M10" s="19">
        <f>TimestampToExcel(C10)</f>
        <v>43990.374305555553</v>
      </c>
    </row>
    <row r="12" spans="2:13" x14ac:dyDescent="0.35">
      <c r="B12" s="18" t="s">
        <v>19</v>
      </c>
      <c r="D12" s="16"/>
      <c r="E12" t="s">
        <v>527</v>
      </c>
    </row>
    <row r="14" spans="2:13" ht="15" thickBot="1" x14ac:dyDescent="0.4"/>
    <row r="15" spans="2:13" ht="15.5" thickTop="1" thickBot="1" x14ac:dyDescent="0.4">
      <c r="B15" s="3" t="s">
        <v>491</v>
      </c>
      <c r="C15" s="3" t="s">
        <v>519</v>
      </c>
      <c r="D15" s="3" t="s">
        <v>520</v>
      </c>
      <c r="E15" s="3" t="s">
        <v>505</v>
      </c>
      <c r="F15" s="3" t="s">
        <v>504</v>
      </c>
      <c r="G15" s="3" t="s">
        <v>521</v>
      </c>
      <c r="H15" s="3" t="s">
        <v>522</v>
      </c>
      <c r="I15" s="3" t="s">
        <v>501</v>
      </c>
      <c r="J15" s="3" t="s">
        <v>523</v>
      </c>
    </row>
    <row r="16" spans="2:13" ht="15" thickTop="1" x14ac:dyDescent="0.35">
      <c r="B16" s="15" t="s">
        <v>0</v>
      </c>
      <c r="C16" s="15">
        <v>1591606260</v>
      </c>
      <c r="D16" s="15">
        <v>8583.7999999999993</v>
      </c>
      <c r="E16" s="15">
        <v>8583.7999999999993</v>
      </c>
      <c r="F16" s="15">
        <v>8583.4</v>
      </c>
      <c r="G16" s="15">
        <v>8583.5</v>
      </c>
      <c r="H16" s="15">
        <v>8583.5</v>
      </c>
      <c r="I16" s="15">
        <v>0.52306489</v>
      </c>
      <c r="J16" s="15">
        <v>10</v>
      </c>
    </row>
    <row r="17" spans="2:10" x14ac:dyDescent="0.35">
      <c r="B17" s="15" t="s">
        <v>0</v>
      </c>
      <c r="C17" s="15">
        <v>1591606320</v>
      </c>
      <c r="D17" s="15">
        <v>8583.4</v>
      </c>
      <c r="E17" s="15">
        <v>8583.4</v>
      </c>
      <c r="F17" s="15">
        <v>8578.7000000000007</v>
      </c>
      <c r="G17" s="15">
        <v>8579.2000000000007</v>
      </c>
      <c r="H17" s="15">
        <v>8580.4</v>
      </c>
      <c r="I17" s="15">
        <v>6.2103387899999998</v>
      </c>
      <c r="J17" s="15">
        <v>25</v>
      </c>
    </row>
    <row r="18" spans="2:10" x14ac:dyDescent="0.35">
      <c r="B18" s="15" t="s">
        <v>0</v>
      </c>
      <c r="C18" s="15">
        <v>1591606380</v>
      </c>
      <c r="D18" s="15">
        <v>8579.2000000000007</v>
      </c>
      <c r="E18" s="15">
        <v>8580</v>
      </c>
      <c r="F18" s="15">
        <v>8579.2000000000007</v>
      </c>
      <c r="G18" s="15">
        <v>8579.4</v>
      </c>
      <c r="H18" s="15">
        <v>8579.2999999999993</v>
      </c>
      <c r="I18" s="15">
        <v>3.6224169399999999</v>
      </c>
      <c r="J18" s="15">
        <v>20</v>
      </c>
    </row>
    <row r="19" spans="2:10" x14ac:dyDescent="0.35">
      <c r="B19" s="15" t="s">
        <v>0</v>
      </c>
      <c r="C19" s="15">
        <v>1591606440</v>
      </c>
      <c r="D19" s="15">
        <v>8579.4</v>
      </c>
      <c r="E19" s="15">
        <v>8581.5</v>
      </c>
      <c r="F19" s="15">
        <v>8579.2999999999993</v>
      </c>
      <c r="G19" s="15">
        <v>8581.5</v>
      </c>
      <c r="H19" s="15">
        <v>8579.4</v>
      </c>
      <c r="I19" s="15">
        <v>1.91325759</v>
      </c>
      <c r="J19" s="15">
        <v>19</v>
      </c>
    </row>
    <row r="20" spans="2:10" x14ac:dyDescent="0.35">
      <c r="B20" s="15" t="s">
        <v>0</v>
      </c>
      <c r="C20" s="15">
        <v>1591606500</v>
      </c>
      <c r="D20" s="15">
        <v>8581.5</v>
      </c>
      <c r="E20" s="15">
        <v>8581.5</v>
      </c>
      <c r="F20" s="15">
        <v>8579.5</v>
      </c>
      <c r="G20" s="15">
        <v>8579.7000000000007</v>
      </c>
      <c r="H20" s="15">
        <v>8580.4</v>
      </c>
      <c r="I20" s="15">
        <v>0.25465140000000003</v>
      </c>
      <c r="J20" s="15">
        <v>9</v>
      </c>
    </row>
    <row r="21" spans="2:10" x14ac:dyDescent="0.35">
      <c r="B21" s="15" t="s">
        <v>0</v>
      </c>
      <c r="C21" s="15">
        <v>1591606560</v>
      </c>
      <c r="D21" s="15">
        <v>8579.7000000000007</v>
      </c>
      <c r="E21" s="15">
        <v>8580.1</v>
      </c>
      <c r="F21" s="15">
        <v>8579.7000000000007</v>
      </c>
      <c r="G21" s="15">
        <v>8580</v>
      </c>
      <c r="H21" s="15">
        <v>8579.9</v>
      </c>
      <c r="I21" s="15">
        <v>0.56546989000000003</v>
      </c>
      <c r="J21" s="15">
        <v>11</v>
      </c>
    </row>
    <row r="22" spans="2:10" x14ac:dyDescent="0.35">
      <c r="B22" s="15" t="s">
        <v>0</v>
      </c>
      <c r="C22" s="15">
        <v>1591606620</v>
      </c>
      <c r="D22" s="15">
        <v>8580</v>
      </c>
      <c r="E22" s="15">
        <v>8583.7999999999993</v>
      </c>
      <c r="F22" s="15">
        <v>8580</v>
      </c>
      <c r="G22" s="15">
        <v>8583.7999999999993</v>
      </c>
      <c r="H22" s="15">
        <v>8581.6</v>
      </c>
      <c r="I22" s="15">
        <v>1.07309152</v>
      </c>
      <c r="J22" s="15">
        <v>22</v>
      </c>
    </row>
    <row r="23" spans="2:10" x14ac:dyDescent="0.35">
      <c r="B23" s="15" t="s">
        <v>0</v>
      </c>
      <c r="C23" s="15">
        <v>1591606680</v>
      </c>
      <c r="D23" s="15">
        <v>8583.7999999999993</v>
      </c>
      <c r="E23" s="15">
        <v>8587.6</v>
      </c>
      <c r="F23" s="15">
        <v>8583.7000000000007</v>
      </c>
      <c r="G23" s="15">
        <v>8587.5</v>
      </c>
      <c r="H23" s="15">
        <v>8585.4</v>
      </c>
      <c r="I23" s="15">
        <v>2.37297461</v>
      </c>
      <c r="J23" s="15">
        <v>26</v>
      </c>
    </row>
    <row r="24" spans="2:10" x14ac:dyDescent="0.35">
      <c r="B24" s="15" t="s">
        <v>0</v>
      </c>
      <c r="C24" s="15">
        <v>1591606740</v>
      </c>
      <c r="D24" s="15">
        <v>8586</v>
      </c>
      <c r="E24" s="15">
        <v>8587.7999999999993</v>
      </c>
      <c r="F24" s="15">
        <v>8586</v>
      </c>
      <c r="G24" s="15">
        <v>8587.7999999999993</v>
      </c>
      <c r="H24" s="15">
        <v>8586.5</v>
      </c>
      <c r="I24" s="15">
        <v>3.35754142</v>
      </c>
      <c r="J24" s="15">
        <v>19</v>
      </c>
    </row>
    <row r="25" spans="2:10" x14ac:dyDescent="0.35">
      <c r="B25" s="15" t="s">
        <v>0</v>
      </c>
      <c r="C25" s="15">
        <v>1591606800</v>
      </c>
      <c r="D25" s="15">
        <v>8587.6</v>
      </c>
      <c r="E25" s="15">
        <v>8587.7999999999993</v>
      </c>
      <c r="F25" s="15">
        <v>8587.6</v>
      </c>
      <c r="G25" s="15">
        <v>8587.7999999999993</v>
      </c>
      <c r="H25" s="15">
        <v>8587.7000000000007</v>
      </c>
      <c r="I25" s="15">
        <v>0.22694830999999999</v>
      </c>
      <c r="J25" s="15">
        <v>2</v>
      </c>
    </row>
    <row r="26" spans="2:10" x14ac:dyDescent="0.35">
      <c r="B26" s="15"/>
      <c r="C26" s="15"/>
      <c r="D26" s="15"/>
      <c r="E26" s="15"/>
      <c r="F26" s="15"/>
      <c r="G26" s="15"/>
      <c r="H26" s="15"/>
      <c r="I26" s="15"/>
      <c r="J26" s="15"/>
    </row>
    <row r="27" spans="2:10" x14ac:dyDescent="0.35">
      <c r="B27" s="15"/>
      <c r="C27" s="15"/>
      <c r="D27" s="15"/>
      <c r="E27" s="15"/>
      <c r="F27" s="15"/>
      <c r="G27" s="15"/>
      <c r="H27" s="15"/>
      <c r="I27" s="15"/>
      <c r="J27" s="15"/>
    </row>
    <row r="28" spans="2:10" x14ac:dyDescent="0.35">
      <c r="B28" s="15"/>
      <c r="C28" s="15"/>
      <c r="D28" s="15"/>
      <c r="E28" s="15"/>
      <c r="F28" s="15"/>
      <c r="G28" s="15"/>
      <c r="H28" s="15"/>
      <c r="I28" s="15"/>
      <c r="J28" s="15"/>
    </row>
    <row r="29" spans="2:10" x14ac:dyDescent="0.35">
      <c r="B29" s="15"/>
      <c r="C29" s="15"/>
      <c r="D29" s="15"/>
      <c r="E29" s="15"/>
      <c r="F29" s="15"/>
      <c r="G29" s="15"/>
      <c r="H29" s="15"/>
      <c r="I29" s="15"/>
      <c r="J29" s="15"/>
    </row>
    <row r="30" spans="2:10" x14ac:dyDescent="0.35">
      <c r="B30" s="15"/>
      <c r="C30" s="15"/>
      <c r="D30" s="15"/>
      <c r="E30" s="15"/>
      <c r="F30" s="15"/>
      <c r="G30" s="15"/>
      <c r="H30" s="15"/>
      <c r="I30" s="15"/>
      <c r="J30" s="15"/>
    </row>
    <row r="31" spans="2:10" x14ac:dyDescent="0.35">
      <c r="B31" s="15"/>
      <c r="C31" s="15"/>
      <c r="D31" s="15"/>
      <c r="E31" s="15"/>
      <c r="F31" s="15"/>
      <c r="G31" s="15"/>
      <c r="H31" s="15"/>
      <c r="I31" s="15"/>
      <c r="J31" s="15"/>
    </row>
    <row r="32" spans="2:10" x14ac:dyDescent="0.35">
      <c r="B32" s="15"/>
      <c r="C32" s="15"/>
      <c r="D32" s="15"/>
      <c r="E32" s="15"/>
      <c r="F32" s="15"/>
      <c r="G32" s="15"/>
      <c r="H32" s="15"/>
      <c r="I32" s="15"/>
      <c r="J32" s="15"/>
    </row>
    <row r="33" spans="2:10" x14ac:dyDescent="0.35">
      <c r="B33" s="15"/>
      <c r="C33" s="15"/>
      <c r="D33" s="15"/>
      <c r="E33" s="15"/>
      <c r="F33" s="15"/>
      <c r="G33" s="15"/>
      <c r="H33" s="15"/>
      <c r="I33" s="15"/>
      <c r="J33" s="15"/>
    </row>
    <row r="34" spans="2:10" x14ac:dyDescent="0.35">
      <c r="B34" s="15"/>
      <c r="C34" s="15"/>
      <c r="D34" s="15"/>
      <c r="E34" s="15"/>
      <c r="F34" s="15"/>
      <c r="G34" s="15"/>
      <c r="H34" s="15"/>
      <c r="I34" s="15"/>
      <c r="J34" s="15"/>
    </row>
    <row r="35" spans="2:10" x14ac:dyDescent="0.35">
      <c r="B35" s="15"/>
      <c r="C35" s="15"/>
      <c r="D35" s="15"/>
      <c r="E35" s="15"/>
      <c r="F35" s="15"/>
      <c r="G35" s="15"/>
      <c r="H35" s="15"/>
      <c r="I35" s="15"/>
      <c r="J35" s="15"/>
    </row>
    <row r="36" spans="2:10" x14ac:dyDescent="0.35">
      <c r="B36" s="15"/>
      <c r="C36" s="15"/>
      <c r="D36" s="15"/>
      <c r="E36" s="15"/>
      <c r="F36" s="15"/>
      <c r="G36" s="15"/>
      <c r="H36" s="15"/>
      <c r="I36" s="15"/>
      <c r="J36" s="15"/>
    </row>
    <row r="37" spans="2:10" x14ac:dyDescent="0.35">
      <c r="B37" s="15"/>
      <c r="C37" s="15"/>
      <c r="D37" s="15"/>
      <c r="E37" s="15"/>
      <c r="F37" s="15"/>
      <c r="G37" s="15"/>
      <c r="H37" s="15"/>
      <c r="I37" s="15"/>
      <c r="J37" s="15"/>
    </row>
    <row r="38" spans="2:10" x14ac:dyDescent="0.35">
      <c r="B38" s="15"/>
      <c r="C38" s="15"/>
      <c r="D38" s="15"/>
      <c r="E38" s="15"/>
      <c r="F38" s="15"/>
      <c r="G38" s="15"/>
      <c r="H38" s="15"/>
      <c r="I38" s="15"/>
      <c r="J38" s="15"/>
    </row>
    <row r="39" spans="2:10" x14ac:dyDescent="0.35">
      <c r="B39" s="15"/>
      <c r="C39" s="15"/>
      <c r="D39" s="15"/>
      <c r="E39" s="15"/>
      <c r="F39" s="15"/>
      <c r="G39" s="15"/>
      <c r="H39" s="15"/>
      <c r="I39" s="15"/>
      <c r="J39" s="15"/>
    </row>
    <row r="40" spans="2:10" x14ac:dyDescent="0.35">
      <c r="B40" s="15"/>
      <c r="C40" s="15"/>
      <c r="D40" s="15"/>
      <c r="E40" s="15"/>
      <c r="F40" s="15"/>
      <c r="G40" s="15"/>
      <c r="H40" s="15"/>
      <c r="I40" s="15"/>
      <c r="J40" s="15"/>
    </row>
    <row r="41" spans="2:10" x14ac:dyDescent="0.35">
      <c r="B41" s="15"/>
      <c r="C41" s="15"/>
      <c r="D41" s="15"/>
      <c r="E41" s="15"/>
      <c r="F41" s="15"/>
      <c r="G41" s="15"/>
      <c r="H41" s="15"/>
      <c r="I41" s="15"/>
      <c r="J41" s="15"/>
    </row>
    <row r="42" spans="2:10" x14ac:dyDescent="0.35">
      <c r="B42" s="15"/>
      <c r="C42" s="15"/>
      <c r="D42" s="15"/>
      <c r="E42" s="15"/>
      <c r="F42" s="15"/>
      <c r="G42" s="15"/>
      <c r="H42" s="15"/>
      <c r="I42" s="15"/>
      <c r="J42" s="15"/>
    </row>
    <row r="43" spans="2:10" x14ac:dyDescent="0.35">
      <c r="B43" s="15"/>
      <c r="C43" s="15"/>
      <c r="D43" s="15"/>
      <c r="E43" s="15"/>
      <c r="F43" s="15"/>
      <c r="G43" s="15"/>
      <c r="H43" s="15"/>
      <c r="I43" s="15"/>
      <c r="J43" s="15"/>
    </row>
    <row r="44" spans="2:10" x14ac:dyDescent="0.35">
      <c r="B44" s="15"/>
      <c r="C44" s="15"/>
      <c r="D44" s="15"/>
      <c r="E44" s="15"/>
      <c r="F44" s="15"/>
      <c r="G44" s="15"/>
      <c r="H44" s="15"/>
      <c r="I44" s="15"/>
      <c r="J44" s="15"/>
    </row>
    <row r="45" spans="2:10" x14ac:dyDescent="0.35">
      <c r="B45" s="15"/>
      <c r="C45" s="15"/>
      <c r="D45" s="15"/>
      <c r="E45" s="15"/>
      <c r="F45" s="15"/>
      <c r="G45" s="15"/>
      <c r="H45" s="15"/>
      <c r="I45" s="15"/>
      <c r="J45" s="15"/>
    </row>
    <row r="46" spans="2:10" x14ac:dyDescent="0.35">
      <c r="B46" s="15"/>
      <c r="C46" s="15"/>
      <c r="D46" s="15"/>
      <c r="E46" s="15"/>
      <c r="F46" s="15"/>
      <c r="G46" s="15"/>
      <c r="H46" s="15"/>
      <c r="I46" s="15"/>
      <c r="J46" s="15"/>
    </row>
    <row r="47" spans="2:10" x14ac:dyDescent="0.35">
      <c r="B47" s="15"/>
      <c r="C47" s="15"/>
      <c r="D47" s="15"/>
      <c r="E47" s="15"/>
      <c r="F47" s="15"/>
      <c r="G47" s="15"/>
      <c r="H47" s="15"/>
      <c r="I47" s="15"/>
      <c r="J47" s="15"/>
    </row>
    <row r="48" spans="2:10" x14ac:dyDescent="0.35">
      <c r="B48" s="15"/>
      <c r="C48" s="15"/>
      <c r="D48" s="15"/>
      <c r="E48" s="15"/>
      <c r="F48" s="15"/>
      <c r="G48" s="15"/>
      <c r="H48" s="15"/>
      <c r="I48" s="15"/>
      <c r="J48" s="15"/>
    </row>
    <row r="49" spans="2:10" x14ac:dyDescent="0.35">
      <c r="B49" s="15"/>
      <c r="C49" s="15"/>
      <c r="D49" s="15"/>
      <c r="E49" s="15"/>
      <c r="F49" s="15"/>
      <c r="G49" s="15"/>
      <c r="H49" s="15"/>
      <c r="I49" s="15"/>
      <c r="J49" s="15"/>
    </row>
    <row r="50" spans="2:10" x14ac:dyDescent="0.35">
      <c r="B50" s="15"/>
      <c r="C50" s="15"/>
      <c r="D50" s="15"/>
      <c r="E50" s="15"/>
      <c r="F50" s="15"/>
      <c r="G50" s="15"/>
      <c r="H50" s="15"/>
      <c r="I50" s="15"/>
      <c r="J50" s="15"/>
    </row>
    <row r="51" spans="2:10" x14ac:dyDescent="0.35">
      <c r="B51" s="15"/>
      <c r="C51" s="15"/>
      <c r="D51" s="15"/>
      <c r="E51" s="15"/>
      <c r="F51" s="15"/>
      <c r="G51" s="15"/>
      <c r="H51" s="15"/>
      <c r="I51" s="15"/>
      <c r="J51" s="15"/>
    </row>
    <row r="52" spans="2:10" x14ac:dyDescent="0.35">
      <c r="B52" s="15"/>
      <c r="C52" s="15"/>
      <c r="D52" s="15"/>
      <c r="E52" s="15"/>
      <c r="F52" s="15"/>
      <c r="G52" s="15"/>
      <c r="H52" s="15"/>
      <c r="I52" s="15"/>
      <c r="J52" s="15"/>
    </row>
    <row r="53" spans="2:10" x14ac:dyDescent="0.35">
      <c r="B53" s="15"/>
      <c r="C53" s="15"/>
      <c r="D53" s="15"/>
      <c r="E53" s="15"/>
      <c r="F53" s="15"/>
      <c r="G53" s="15"/>
      <c r="H53" s="15"/>
      <c r="I53" s="15"/>
      <c r="J53" s="15"/>
    </row>
    <row r="54" spans="2:10" x14ac:dyDescent="0.35">
      <c r="B54" s="15"/>
      <c r="C54" s="15"/>
      <c r="D54" s="15"/>
      <c r="E54" s="15"/>
      <c r="F54" s="15"/>
      <c r="G54" s="15"/>
      <c r="H54" s="15"/>
      <c r="I54" s="15"/>
      <c r="J54" s="15"/>
    </row>
    <row r="55" spans="2:10" x14ac:dyDescent="0.35">
      <c r="B55" s="15"/>
      <c r="C55" s="15"/>
      <c r="D55" s="15"/>
      <c r="E55" s="15"/>
      <c r="F55" s="15"/>
      <c r="G55" s="15"/>
      <c r="H55" s="15"/>
      <c r="I55" s="15"/>
      <c r="J55" s="15"/>
    </row>
    <row r="56" spans="2:10" x14ac:dyDescent="0.35">
      <c r="B56" s="15"/>
      <c r="C56" s="15"/>
      <c r="D56" s="15"/>
      <c r="E56" s="15"/>
      <c r="F56" s="15"/>
      <c r="G56" s="15"/>
      <c r="H56" s="15"/>
      <c r="I56" s="15"/>
      <c r="J56" s="15"/>
    </row>
    <row r="57" spans="2:10" x14ac:dyDescent="0.35">
      <c r="B57" s="15"/>
      <c r="C57" s="15"/>
      <c r="D57" s="15"/>
      <c r="E57" s="15"/>
      <c r="F57" s="15"/>
      <c r="G57" s="15"/>
      <c r="H57" s="15"/>
      <c r="I57" s="15"/>
      <c r="J57" s="15"/>
    </row>
    <row r="58" spans="2:10" x14ac:dyDescent="0.35">
      <c r="B58" s="15"/>
      <c r="C58" s="15"/>
      <c r="D58" s="15"/>
      <c r="E58" s="15"/>
      <c r="F58" s="15"/>
      <c r="G58" s="15"/>
      <c r="H58" s="15"/>
      <c r="I58" s="15"/>
      <c r="J58" s="15"/>
    </row>
    <row r="59" spans="2:10" x14ac:dyDescent="0.35">
      <c r="B59" s="15"/>
      <c r="C59" s="15"/>
      <c r="D59" s="15"/>
      <c r="E59" s="15"/>
      <c r="F59" s="15"/>
      <c r="G59" s="15"/>
      <c r="H59" s="15"/>
      <c r="I59" s="15"/>
      <c r="J59" s="15"/>
    </row>
    <row r="60" spans="2:10" x14ac:dyDescent="0.35">
      <c r="B60" s="15"/>
      <c r="C60" s="15"/>
      <c r="D60" s="15"/>
      <c r="E60" s="15"/>
      <c r="F60" s="15"/>
      <c r="G60" s="15"/>
      <c r="H60" s="15"/>
      <c r="I60" s="15"/>
      <c r="J60" s="15"/>
    </row>
    <row r="61" spans="2:10" x14ac:dyDescent="0.35">
      <c r="B61" s="15"/>
      <c r="C61" s="15"/>
      <c r="D61" s="15"/>
      <c r="E61" s="15"/>
      <c r="F61" s="15"/>
      <c r="G61" s="15"/>
      <c r="H61" s="15"/>
      <c r="I61" s="15"/>
      <c r="J61" s="15"/>
    </row>
    <row r="62" spans="2:10" x14ac:dyDescent="0.35">
      <c r="B62" s="15"/>
      <c r="C62" s="15"/>
      <c r="D62" s="15"/>
      <c r="E62" s="15"/>
      <c r="F62" s="15"/>
      <c r="G62" s="15"/>
      <c r="H62" s="15"/>
      <c r="I62" s="15"/>
      <c r="J62" s="15"/>
    </row>
    <row r="63" spans="2:10" x14ac:dyDescent="0.35">
      <c r="B63" s="15"/>
      <c r="C63" s="15"/>
      <c r="D63" s="15"/>
      <c r="E63" s="15"/>
      <c r="F63" s="15"/>
      <c r="G63" s="15"/>
      <c r="H63" s="15"/>
      <c r="I63" s="15"/>
      <c r="J63" s="15"/>
    </row>
    <row r="64" spans="2:10" x14ac:dyDescent="0.35">
      <c r="B64" s="15"/>
      <c r="C64" s="15"/>
      <c r="D64" s="15"/>
      <c r="E64" s="15"/>
      <c r="F64" s="15"/>
      <c r="G64" s="15"/>
      <c r="H64" s="15"/>
      <c r="I64" s="15"/>
      <c r="J64" s="15"/>
    </row>
    <row r="65" spans="2:10" x14ac:dyDescent="0.35">
      <c r="B65" s="15"/>
      <c r="C65" s="15"/>
      <c r="D65" s="15"/>
      <c r="E65" s="15"/>
      <c r="F65" s="15"/>
      <c r="G65" s="15"/>
      <c r="H65" s="15"/>
      <c r="I65" s="15"/>
      <c r="J65" s="15"/>
    </row>
    <row r="66" spans="2:10" x14ac:dyDescent="0.35">
      <c r="B66" s="15"/>
      <c r="C66" s="15"/>
      <c r="D66" s="15"/>
      <c r="E66" s="15"/>
      <c r="F66" s="15"/>
      <c r="G66" s="15"/>
      <c r="H66" s="15"/>
      <c r="I66" s="15"/>
      <c r="J66" s="15"/>
    </row>
    <row r="67" spans="2:10" x14ac:dyDescent="0.35">
      <c r="B67" s="15"/>
      <c r="C67" s="15"/>
      <c r="D67" s="15"/>
      <c r="E67" s="15"/>
      <c r="F67" s="15"/>
      <c r="G67" s="15"/>
      <c r="H67" s="15"/>
      <c r="I67" s="15"/>
      <c r="J67" s="15"/>
    </row>
    <row r="68" spans="2:10" x14ac:dyDescent="0.35">
      <c r="B68" s="15"/>
      <c r="C68" s="15"/>
      <c r="D68" s="15"/>
      <c r="E68" s="15"/>
      <c r="F68" s="15"/>
      <c r="G68" s="15"/>
      <c r="H68" s="15"/>
      <c r="I68" s="15"/>
      <c r="J68" s="15"/>
    </row>
    <row r="69" spans="2:10" x14ac:dyDescent="0.35">
      <c r="B69" s="15"/>
      <c r="C69" s="15"/>
      <c r="D69" s="15"/>
      <c r="E69" s="15"/>
      <c r="F69" s="15"/>
      <c r="G69" s="15"/>
      <c r="H69" s="15"/>
      <c r="I69" s="15"/>
      <c r="J69" s="15"/>
    </row>
    <row r="70" spans="2:10" x14ac:dyDescent="0.35">
      <c r="B70" s="15"/>
      <c r="C70" s="15"/>
      <c r="D70" s="15"/>
      <c r="E70" s="15"/>
      <c r="F70" s="15"/>
      <c r="G70" s="15"/>
      <c r="H70" s="15"/>
      <c r="I70" s="15"/>
      <c r="J70" s="15"/>
    </row>
    <row r="71" spans="2:10" x14ac:dyDescent="0.35">
      <c r="B71" s="15"/>
      <c r="C71" s="15"/>
      <c r="D71" s="15"/>
      <c r="E71" s="15"/>
      <c r="F71" s="15"/>
      <c r="G71" s="15"/>
      <c r="H71" s="15"/>
      <c r="I71" s="15"/>
      <c r="J71" s="15"/>
    </row>
    <row r="72" spans="2:10" x14ac:dyDescent="0.35">
      <c r="B72" s="15"/>
      <c r="C72" s="15"/>
      <c r="D72" s="15"/>
      <c r="E72" s="15"/>
      <c r="F72" s="15"/>
      <c r="G72" s="15"/>
      <c r="H72" s="15"/>
      <c r="I72" s="15"/>
      <c r="J72" s="15"/>
    </row>
    <row r="73" spans="2:10" x14ac:dyDescent="0.35">
      <c r="B73" s="15"/>
      <c r="C73" s="15"/>
      <c r="D73" s="15"/>
      <c r="E73" s="15"/>
      <c r="F73" s="15"/>
      <c r="G73" s="15"/>
      <c r="H73" s="15"/>
      <c r="I73" s="15"/>
      <c r="J73" s="15"/>
    </row>
    <row r="74" spans="2:10" x14ac:dyDescent="0.35">
      <c r="B74" s="15"/>
      <c r="C74" s="15"/>
      <c r="D74" s="15"/>
      <c r="E74" s="15"/>
      <c r="F74" s="15"/>
      <c r="G74" s="15"/>
      <c r="H74" s="15"/>
      <c r="I74" s="15"/>
      <c r="J74" s="15"/>
    </row>
    <row r="75" spans="2:10" x14ac:dyDescent="0.35">
      <c r="B75" s="15"/>
      <c r="C75" s="15"/>
      <c r="D75" s="15"/>
      <c r="E75" s="15"/>
      <c r="F75" s="15"/>
      <c r="G75" s="15"/>
      <c r="H75" s="15"/>
      <c r="I75" s="15"/>
      <c r="J75" s="15"/>
    </row>
    <row r="76" spans="2:10" x14ac:dyDescent="0.35">
      <c r="B76" s="15"/>
      <c r="C76" s="15"/>
      <c r="D76" s="15"/>
      <c r="E76" s="15"/>
      <c r="F76" s="15"/>
      <c r="G76" s="15"/>
      <c r="H76" s="15"/>
      <c r="I76" s="15"/>
      <c r="J76" s="15"/>
    </row>
    <row r="77" spans="2:10" x14ac:dyDescent="0.35">
      <c r="B77" s="15"/>
      <c r="C77" s="15"/>
      <c r="D77" s="15"/>
      <c r="E77" s="15"/>
      <c r="F77" s="15"/>
      <c r="G77" s="15"/>
      <c r="H77" s="15"/>
      <c r="I77" s="15"/>
      <c r="J77" s="15"/>
    </row>
    <row r="78" spans="2:10" x14ac:dyDescent="0.35">
      <c r="B78" s="15"/>
      <c r="C78" s="15"/>
      <c r="D78" s="15"/>
      <c r="E78" s="15"/>
      <c r="F78" s="15"/>
      <c r="G78" s="15"/>
      <c r="H78" s="15"/>
      <c r="I78" s="15"/>
      <c r="J78" s="15"/>
    </row>
    <row r="79" spans="2:10" x14ac:dyDescent="0.35">
      <c r="B79" s="15"/>
      <c r="C79" s="15"/>
      <c r="D79" s="15"/>
      <c r="E79" s="15"/>
      <c r="F79" s="15"/>
      <c r="G79" s="15"/>
      <c r="H79" s="15"/>
      <c r="I79" s="15"/>
      <c r="J79" s="15"/>
    </row>
    <row r="80" spans="2:10" x14ac:dyDescent="0.35">
      <c r="B80" s="15"/>
      <c r="C80" s="15"/>
      <c r="D80" s="15"/>
      <c r="E80" s="15"/>
      <c r="F80" s="15"/>
      <c r="G80" s="15"/>
      <c r="H80" s="15"/>
      <c r="I80" s="15"/>
      <c r="J80" s="15"/>
    </row>
    <row r="81" spans="2:10" x14ac:dyDescent="0.35">
      <c r="B81" s="15"/>
      <c r="C81" s="15"/>
      <c r="D81" s="15"/>
      <c r="E81" s="15"/>
      <c r="F81" s="15"/>
      <c r="G81" s="15"/>
      <c r="H81" s="15"/>
      <c r="I81" s="15"/>
      <c r="J81" s="15"/>
    </row>
    <row r="82" spans="2:10" x14ac:dyDescent="0.35">
      <c r="B82" s="15"/>
      <c r="C82" s="15"/>
      <c r="D82" s="15"/>
      <c r="E82" s="15"/>
      <c r="F82" s="15"/>
      <c r="G82" s="15"/>
      <c r="H82" s="15"/>
      <c r="I82" s="15"/>
      <c r="J82" s="15"/>
    </row>
    <row r="83" spans="2:10" x14ac:dyDescent="0.35">
      <c r="B83" s="15"/>
      <c r="C83" s="15"/>
      <c r="D83" s="15"/>
      <c r="E83" s="15"/>
      <c r="F83" s="15"/>
      <c r="G83" s="15"/>
      <c r="H83" s="15"/>
      <c r="I83" s="15"/>
      <c r="J83" s="15"/>
    </row>
    <row r="84" spans="2:10" x14ac:dyDescent="0.35">
      <c r="B84" s="15"/>
      <c r="C84" s="15"/>
      <c r="D84" s="15"/>
      <c r="E84" s="15"/>
      <c r="F84" s="15"/>
      <c r="G84" s="15"/>
      <c r="H84" s="15"/>
      <c r="I84" s="15"/>
      <c r="J84" s="15"/>
    </row>
    <row r="85" spans="2:10" x14ac:dyDescent="0.35">
      <c r="B85" s="15"/>
      <c r="C85" s="15"/>
      <c r="D85" s="15"/>
      <c r="E85" s="15"/>
      <c r="F85" s="15"/>
      <c r="G85" s="15"/>
      <c r="H85" s="15"/>
      <c r="I85" s="15"/>
      <c r="J85" s="15"/>
    </row>
    <row r="86" spans="2:10" x14ac:dyDescent="0.35">
      <c r="B86" s="15"/>
      <c r="C86" s="15"/>
      <c r="D86" s="15"/>
      <c r="E86" s="15"/>
      <c r="F86" s="15"/>
      <c r="G86" s="15"/>
      <c r="H86" s="15"/>
      <c r="I86" s="15"/>
      <c r="J86" s="15"/>
    </row>
    <row r="87" spans="2:10" x14ac:dyDescent="0.35">
      <c r="B87" s="15"/>
      <c r="C87" s="15"/>
      <c r="D87" s="15"/>
      <c r="E87" s="15"/>
      <c r="F87" s="15"/>
      <c r="G87" s="15"/>
      <c r="H87" s="15"/>
      <c r="I87" s="15"/>
      <c r="J87" s="15"/>
    </row>
    <row r="88" spans="2:10" x14ac:dyDescent="0.35">
      <c r="B88" s="15"/>
      <c r="C88" s="15"/>
      <c r="D88" s="15"/>
      <c r="E88" s="15"/>
      <c r="F88" s="15"/>
      <c r="G88" s="15"/>
      <c r="H88" s="15"/>
      <c r="I88" s="15"/>
      <c r="J88" s="15"/>
    </row>
    <row r="89" spans="2:10" x14ac:dyDescent="0.35">
      <c r="B89" s="15"/>
      <c r="C89" s="15"/>
      <c r="D89" s="15"/>
      <c r="E89" s="15"/>
      <c r="F89" s="15"/>
      <c r="G89" s="15"/>
      <c r="H89" s="15"/>
      <c r="I89" s="15"/>
      <c r="J89" s="15"/>
    </row>
    <row r="90" spans="2:10" x14ac:dyDescent="0.35">
      <c r="B90" s="15"/>
      <c r="C90" s="15"/>
      <c r="D90" s="15"/>
      <c r="E90" s="15"/>
      <c r="F90" s="15"/>
      <c r="G90" s="15"/>
      <c r="H90" s="15"/>
      <c r="I90" s="15"/>
      <c r="J90" s="15"/>
    </row>
    <row r="91" spans="2:10" x14ac:dyDescent="0.35">
      <c r="B91" s="15"/>
      <c r="C91" s="15"/>
      <c r="D91" s="15"/>
      <c r="E91" s="15"/>
      <c r="F91" s="15"/>
      <c r="G91" s="15"/>
      <c r="H91" s="15"/>
      <c r="I91" s="15"/>
      <c r="J91" s="15"/>
    </row>
    <row r="92" spans="2:10" x14ac:dyDescent="0.35">
      <c r="B92" s="15"/>
      <c r="C92" s="15"/>
      <c r="D92" s="15"/>
      <c r="E92" s="15"/>
      <c r="F92" s="15"/>
      <c r="G92" s="15"/>
      <c r="H92" s="15"/>
      <c r="I92" s="15"/>
      <c r="J92" s="15"/>
    </row>
    <row r="93" spans="2:10" x14ac:dyDescent="0.35">
      <c r="B93" s="15"/>
      <c r="C93" s="15"/>
      <c r="D93" s="15"/>
      <c r="E93" s="15"/>
      <c r="F93" s="15"/>
      <c r="G93" s="15"/>
      <c r="H93" s="15"/>
      <c r="I93" s="15"/>
      <c r="J93" s="15"/>
    </row>
    <row r="94" spans="2:10" x14ac:dyDescent="0.35">
      <c r="B94" s="15"/>
      <c r="C94" s="15"/>
      <c r="D94" s="15"/>
      <c r="E94" s="15"/>
      <c r="F94" s="15"/>
      <c r="G94" s="15"/>
      <c r="H94" s="15"/>
      <c r="I94" s="15"/>
      <c r="J94" s="15"/>
    </row>
    <row r="95" spans="2:10" x14ac:dyDescent="0.35">
      <c r="B95" s="15"/>
      <c r="C95" s="15"/>
      <c r="D95" s="15"/>
      <c r="E95" s="15"/>
      <c r="F95" s="15"/>
      <c r="G95" s="15"/>
      <c r="H95" s="15"/>
      <c r="I95" s="15"/>
      <c r="J95" s="15"/>
    </row>
    <row r="96" spans="2:10" x14ac:dyDescent="0.35">
      <c r="B96" s="15"/>
      <c r="C96" s="15"/>
      <c r="D96" s="15"/>
      <c r="E96" s="15"/>
      <c r="F96" s="15"/>
      <c r="G96" s="15"/>
      <c r="H96" s="15"/>
      <c r="I96" s="15"/>
      <c r="J96" s="15"/>
    </row>
    <row r="97" spans="2:10" x14ac:dyDescent="0.35">
      <c r="B97" s="15"/>
      <c r="C97" s="15"/>
      <c r="D97" s="15"/>
      <c r="E97" s="15"/>
      <c r="F97" s="15"/>
      <c r="G97" s="15"/>
      <c r="H97" s="15"/>
      <c r="I97" s="15"/>
      <c r="J97" s="15"/>
    </row>
    <row r="98" spans="2:10" x14ac:dyDescent="0.35">
      <c r="B98" s="15"/>
      <c r="C98" s="15"/>
      <c r="D98" s="15"/>
      <c r="E98" s="15"/>
      <c r="F98" s="15"/>
      <c r="G98" s="15"/>
      <c r="H98" s="15"/>
      <c r="I98" s="15"/>
      <c r="J98" s="15"/>
    </row>
    <row r="99" spans="2:10" x14ac:dyDescent="0.35">
      <c r="B99" s="15"/>
      <c r="C99" s="15"/>
      <c r="D99" s="15"/>
      <c r="E99" s="15"/>
      <c r="F99" s="15"/>
      <c r="G99" s="15"/>
      <c r="H99" s="15"/>
      <c r="I99" s="15"/>
      <c r="J99" s="15"/>
    </row>
    <row r="100" spans="2:10" x14ac:dyDescent="0.35"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2:10" x14ac:dyDescent="0.35"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2:10" x14ac:dyDescent="0.35"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2:10" x14ac:dyDescent="0.35"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2:10" x14ac:dyDescent="0.35"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2:10" x14ac:dyDescent="0.35"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2:10" x14ac:dyDescent="0.35"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2:10" x14ac:dyDescent="0.35"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2:10" x14ac:dyDescent="0.35">
      <c r="B108" s="15"/>
      <c r="C108" s="15"/>
      <c r="D108" s="15"/>
      <c r="E108" s="15"/>
      <c r="F108" s="15"/>
      <c r="G108" s="15"/>
      <c r="H108" s="15"/>
      <c r="I108" s="15"/>
      <c r="J108" s="15"/>
    </row>
    <row r="109" spans="2:10" x14ac:dyDescent="0.35">
      <c r="B109" s="15"/>
      <c r="C109" s="15"/>
      <c r="D109" s="15"/>
      <c r="E109" s="15"/>
      <c r="F109" s="15"/>
      <c r="G109" s="15"/>
      <c r="H109" s="15"/>
      <c r="I109" s="15"/>
      <c r="J109" s="15"/>
    </row>
    <row r="110" spans="2:10" x14ac:dyDescent="0.35">
      <c r="B110" s="15"/>
      <c r="C110" s="15"/>
      <c r="D110" s="15"/>
      <c r="E110" s="15"/>
      <c r="F110" s="15"/>
      <c r="G110" s="15"/>
      <c r="H110" s="15"/>
      <c r="I110" s="15"/>
      <c r="J110" s="15"/>
    </row>
    <row r="111" spans="2:10" x14ac:dyDescent="0.35">
      <c r="B111" s="15"/>
      <c r="C111" s="15"/>
      <c r="D111" s="15"/>
      <c r="E111" s="15"/>
      <c r="F111" s="15"/>
      <c r="G111" s="15"/>
      <c r="H111" s="15"/>
      <c r="I111" s="15"/>
      <c r="J111" s="15"/>
    </row>
    <row r="112" spans="2:10" x14ac:dyDescent="0.35"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2:10" x14ac:dyDescent="0.35"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2:10" x14ac:dyDescent="0.35"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2:10" x14ac:dyDescent="0.35"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2:10" x14ac:dyDescent="0.35"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2:10" x14ac:dyDescent="0.35"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2:10" x14ac:dyDescent="0.35"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2:10" x14ac:dyDescent="0.35"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2:10" x14ac:dyDescent="0.35"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2:10" x14ac:dyDescent="0.35"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2:10" x14ac:dyDescent="0.35"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2:10" x14ac:dyDescent="0.35">
      <c r="B123" s="15"/>
      <c r="C123" s="15"/>
      <c r="D123" s="15"/>
      <c r="E123" s="15"/>
      <c r="F123" s="15"/>
      <c r="G123" s="15"/>
      <c r="H123" s="15"/>
      <c r="I123" s="15"/>
      <c r="J123" s="15"/>
    </row>
    <row r="124" spans="2:10" x14ac:dyDescent="0.35"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2:10" x14ac:dyDescent="0.35"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2:10" x14ac:dyDescent="0.35"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2:10" x14ac:dyDescent="0.35"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2:10" x14ac:dyDescent="0.35"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2:10" x14ac:dyDescent="0.35"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2:10" x14ac:dyDescent="0.35"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2:10" x14ac:dyDescent="0.35"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2:10" x14ac:dyDescent="0.35"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2:10" x14ac:dyDescent="0.35"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2:10" x14ac:dyDescent="0.35"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2:10" x14ac:dyDescent="0.35"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2:10" x14ac:dyDescent="0.35"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2:10" x14ac:dyDescent="0.35"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2:10" x14ac:dyDescent="0.35"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2:10" x14ac:dyDescent="0.35"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2:10" x14ac:dyDescent="0.35"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2:10" x14ac:dyDescent="0.35"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2:10" x14ac:dyDescent="0.35">
      <c r="B142" s="15"/>
      <c r="C142" s="15"/>
      <c r="D142" s="15"/>
      <c r="E142" s="15"/>
      <c r="F142" s="15"/>
      <c r="G142" s="15"/>
      <c r="H142" s="15"/>
      <c r="I142" s="15"/>
      <c r="J142" s="15"/>
    </row>
    <row r="143" spans="2:10" x14ac:dyDescent="0.35">
      <c r="B143" s="15"/>
      <c r="C143" s="15"/>
      <c r="D143" s="15"/>
      <c r="E143" s="15"/>
      <c r="F143" s="15"/>
      <c r="G143" s="15"/>
      <c r="H143" s="15"/>
      <c r="I143" s="15"/>
      <c r="J143" s="15"/>
    </row>
    <row r="144" spans="2:10" x14ac:dyDescent="0.35">
      <c r="B144" s="15"/>
      <c r="C144" s="15"/>
      <c r="D144" s="15"/>
      <c r="E144" s="15"/>
      <c r="F144" s="15"/>
      <c r="G144" s="15"/>
      <c r="H144" s="15"/>
      <c r="I144" s="15"/>
      <c r="J144" s="15"/>
    </row>
    <row r="145" spans="2:10" x14ac:dyDescent="0.35">
      <c r="B145" s="15"/>
      <c r="C145" s="15"/>
      <c r="D145" s="15"/>
      <c r="E145" s="15"/>
      <c r="F145" s="15"/>
      <c r="G145" s="15"/>
      <c r="H145" s="15"/>
      <c r="I145" s="15"/>
      <c r="J145" s="15"/>
    </row>
    <row r="146" spans="2:10" x14ac:dyDescent="0.35">
      <c r="B146" s="15"/>
      <c r="C146" s="15"/>
      <c r="D146" s="15"/>
      <c r="E146" s="15"/>
      <c r="F146" s="15"/>
      <c r="G146" s="15"/>
      <c r="H146" s="15"/>
      <c r="I146" s="15"/>
      <c r="J146" s="15"/>
    </row>
    <row r="147" spans="2:10" x14ac:dyDescent="0.35">
      <c r="B147" s="15"/>
      <c r="C147" s="15"/>
      <c r="D147" s="15"/>
      <c r="E147" s="15"/>
      <c r="F147" s="15"/>
      <c r="G147" s="15"/>
      <c r="H147" s="15"/>
      <c r="I147" s="15"/>
      <c r="J147" s="15"/>
    </row>
    <row r="148" spans="2:10" x14ac:dyDescent="0.35">
      <c r="B148" s="15"/>
      <c r="C148" s="15"/>
      <c r="D148" s="15"/>
      <c r="E148" s="15"/>
      <c r="F148" s="15"/>
      <c r="G148" s="15"/>
      <c r="H148" s="15"/>
      <c r="I148" s="15"/>
      <c r="J148" s="15"/>
    </row>
    <row r="149" spans="2:10" x14ac:dyDescent="0.35">
      <c r="B149" s="15"/>
      <c r="C149" s="15"/>
      <c r="D149" s="15"/>
      <c r="E149" s="15"/>
      <c r="F149" s="15"/>
      <c r="G149" s="15"/>
      <c r="H149" s="15"/>
      <c r="I149" s="15"/>
      <c r="J149" s="15"/>
    </row>
    <row r="150" spans="2:10" x14ac:dyDescent="0.35">
      <c r="B150" s="15"/>
      <c r="C150" s="15"/>
      <c r="D150" s="15"/>
      <c r="E150" s="15"/>
      <c r="F150" s="15"/>
      <c r="G150" s="15"/>
      <c r="H150" s="15"/>
      <c r="I150" s="15"/>
      <c r="J150" s="15"/>
    </row>
    <row r="151" spans="2:10" x14ac:dyDescent="0.35">
      <c r="B151" s="15"/>
      <c r="C151" s="15"/>
      <c r="D151" s="15"/>
      <c r="E151" s="15"/>
      <c r="F151" s="15"/>
      <c r="G151" s="15"/>
      <c r="H151" s="15"/>
      <c r="I151" s="15"/>
      <c r="J151" s="15"/>
    </row>
    <row r="152" spans="2:10" x14ac:dyDescent="0.35">
      <c r="B152" s="15"/>
      <c r="C152" s="15"/>
      <c r="D152" s="15"/>
      <c r="E152" s="15"/>
      <c r="F152" s="15"/>
      <c r="G152" s="15"/>
      <c r="H152" s="15"/>
      <c r="I152" s="15"/>
      <c r="J152" s="15"/>
    </row>
    <row r="153" spans="2:10" x14ac:dyDescent="0.35">
      <c r="B153" s="15"/>
      <c r="C153" s="15"/>
      <c r="D153" s="15"/>
      <c r="E153" s="15"/>
      <c r="F153" s="15"/>
      <c r="G153" s="15"/>
      <c r="H153" s="15"/>
      <c r="I153" s="15"/>
      <c r="J153" s="15"/>
    </row>
    <row r="154" spans="2:10" x14ac:dyDescent="0.35">
      <c r="B154" s="15"/>
      <c r="C154" s="15"/>
      <c r="D154" s="15"/>
      <c r="E154" s="15"/>
      <c r="F154" s="15"/>
      <c r="G154" s="15"/>
      <c r="H154" s="15"/>
      <c r="I154" s="15"/>
      <c r="J154" s="15"/>
    </row>
    <row r="155" spans="2:10" x14ac:dyDescent="0.35">
      <c r="B155" s="15"/>
      <c r="C155" s="15"/>
      <c r="D155" s="15"/>
      <c r="E155" s="15"/>
      <c r="F155" s="15"/>
      <c r="G155" s="15"/>
      <c r="H155" s="15"/>
      <c r="I155" s="15"/>
      <c r="J155" s="15"/>
    </row>
    <row r="156" spans="2:10" x14ac:dyDescent="0.35">
      <c r="B156" s="15"/>
      <c r="C156" s="15"/>
      <c r="D156" s="15"/>
      <c r="E156" s="15"/>
      <c r="F156" s="15"/>
      <c r="G156" s="15"/>
      <c r="H156" s="15"/>
      <c r="I156" s="15"/>
      <c r="J156" s="15"/>
    </row>
    <row r="157" spans="2:10" x14ac:dyDescent="0.35">
      <c r="B157" s="15"/>
      <c r="C157" s="15"/>
      <c r="D157" s="15"/>
      <c r="E157" s="15"/>
      <c r="F157" s="15"/>
      <c r="G157" s="15"/>
      <c r="H157" s="15"/>
      <c r="I157" s="15"/>
      <c r="J157" s="15"/>
    </row>
    <row r="158" spans="2:10" x14ac:dyDescent="0.35">
      <c r="B158" s="15"/>
      <c r="C158" s="15"/>
      <c r="D158" s="15"/>
      <c r="E158" s="15"/>
      <c r="F158" s="15"/>
      <c r="G158" s="15"/>
      <c r="H158" s="15"/>
      <c r="I158" s="15"/>
      <c r="J158" s="15"/>
    </row>
    <row r="159" spans="2:10" x14ac:dyDescent="0.35">
      <c r="B159" s="15"/>
      <c r="C159" s="15"/>
      <c r="D159" s="15"/>
      <c r="E159" s="15"/>
      <c r="F159" s="15"/>
      <c r="G159" s="15"/>
      <c r="H159" s="15"/>
      <c r="I159" s="15"/>
      <c r="J159" s="15"/>
    </row>
    <row r="160" spans="2:10" x14ac:dyDescent="0.35">
      <c r="B160" s="15"/>
      <c r="C160" s="15"/>
      <c r="D160" s="15"/>
      <c r="E160" s="15"/>
      <c r="F160" s="15"/>
      <c r="G160" s="15"/>
      <c r="H160" s="15"/>
      <c r="I160" s="15"/>
      <c r="J160" s="15"/>
    </row>
    <row r="161" spans="2:10" x14ac:dyDescent="0.35">
      <c r="B161" s="15"/>
      <c r="C161" s="15"/>
      <c r="D161" s="15"/>
      <c r="E161" s="15"/>
      <c r="F161" s="15"/>
      <c r="G161" s="15"/>
      <c r="H161" s="15"/>
      <c r="I161" s="15"/>
      <c r="J161" s="15"/>
    </row>
    <row r="162" spans="2:10" x14ac:dyDescent="0.35">
      <c r="B162" s="15"/>
      <c r="C162" s="15"/>
      <c r="D162" s="15"/>
      <c r="E162" s="15"/>
      <c r="F162" s="15"/>
      <c r="G162" s="15"/>
      <c r="H162" s="15"/>
      <c r="I162" s="15"/>
      <c r="J162" s="15"/>
    </row>
    <row r="163" spans="2:10" x14ac:dyDescent="0.35">
      <c r="B163" s="15"/>
      <c r="C163" s="15"/>
      <c r="D163" s="15"/>
      <c r="E163" s="15"/>
      <c r="F163" s="15"/>
      <c r="G163" s="15"/>
      <c r="H163" s="15"/>
      <c r="I163" s="15"/>
      <c r="J163" s="15"/>
    </row>
    <row r="164" spans="2:10" x14ac:dyDescent="0.35">
      <c r="B164" s="15"/>
      <c r="C164" s="15"/>
      <c r="D164" s="15"/>
      <c r="E164" s="15"/>
      <c r="F164" s="15"/>
      <c r="G164" s="15"/>
      <c r="H164" s="15"/>
      <c r="I164" s="15"/>
      <c r="J164" s="15"/>
    </row>
    <row r="165" spans="2:10" x14ac:dyDescent="0.35">
      <c r="B165" s="15"/>
      <c r="C165" s="15"/>
      <c r="D165" s="15"/>
      <c r="E165" s="15"/>
      <c r="F165" s="15"/>
      <c r="G165" s="15"/>
      <c r="H165" s="15"/>
      <c r="I165" s="15"/>
      <c r="J165" s="15"/>
    </row>
    <row r="166" spans="2:10" x14ac:dyDescent="0.35">
      <c r="B166" s="15"/>
      <c r="C166" s="15"/>
      <c r="D166" s="15"/>
      <c r="E166" s="15"/>
      <c r="F166" s="15"/>
      <c r="G166" s="15"/>
      <c r="H166" s="15"/>
      <c r="I166" s="15"/>
      <c r="J166" s="15"/>
    </row>
    <row r="167" spans="2:10" x14ac:dyDescent="0.35">
      <c r="B167" s="15"/>
      <c r="C167" s="15"/>
      <c r="D167" s="15"/>
      <c r="E167" s="15"/>
      <c r="F167" s="15"/>
      <c r="G167" s="15"/>
      <c r="H167" s="15"/>
      <c r="I167" s="15"/>
      <c r="J167" s="15"/>
    </row>
    <row r="168" spans="2:10" x14ac:dyDescent="0.35">
      <c r="B168" s="15"/>
      <c r="C168" s="15"/>
      <c r="D168" s="15"/>
      <c r="E168" s="15"/>
      <c r="F168" s="15"/>
      <c r="G168" s="15"/>
      <c r="H168" s="15"/>
      <c r="I168" s="15"/>
      <c r="J168" s="15"/>
    </row>
    <row r="169" spans="2:10" x14ac:dyDescent="0.35">
      <c r="B169" s="15"/>
      <c r="C169" s="15"/>
      <c r="D169" s="15"/>
      <c r="E169" s="15"/>
      <c r="F169" s="15"/>
      <c r="G169" s="15"/>
      <c r="H169" s="15"/>
      <c r="I169" s="15"/>
      <c r="J169" s="15"/>
    </row>
    <row r="170" spans="2:10" x14ac:dyDescent="0.35">
      <c r="B170" s="15"/>
      <c r="C170" s="15"/>
      <c r="D170" s="15"/>
      <c r="E170" s="15"/>
      <c r="F170" s="15"/>
      <c r="G170" s="15"/>
      <c r="H170" s="15"/>
      <c r="I170" s="15"/>
      <c r="J170" s="15"/>
    </row>
    <row r="171" spans="2:10" x14ac:dyDescent="0.35">
      <c r="B171" s="15"/>
      <c r="C171" s="15"/>
      <c r="D171" s="15"/>
      <c r="E171" s="15"/>
      <c r="F171" s="15"/>
      <c r="G171" s="15"/>
      <c r="H171" s="15"/>
      <c r="I171" s="15"/>
      <c r="J171" s="15"/>
    </row>
    <row r="172" spans="2:10" x14ac:dyDescent="0.35">
      <c r="B172" s="15"/>
      <c r="C172" s="15"/>
      <c r="D172" s="15"/>
      <c r="E172" s="15"/>
      <c r="F172" s="15"/>
      <c r="G172" s="15"/>
      <c r="H172" s="15"/>
      <c r="I172" s="15"/>
      <c r="J172" s="15"/>
    </row>
    <row r="173" spans="2:10" x14ac:dyDescent="0.35">
      <c r="B173" s="15"/>
      <c r="C173" s="15"/>
      <c r="D173" s="15"/>
      <c r="E173" s="15"/>
      <c r="F173" s="15"/>
      <c r="G173" s="15"/>
      <c r="H173" s="15"/>
      <c r="I173" s="15"/>
      <c r="J173" s="15"/>
    </row>
    <row r="174" spans="2:10" x14ac:dyDescent="0.35">
      <c r="B174" s="15"/>
      <c r="C174" s="15"/>
      <c r="D174" s="15"/>
      <c r="E174" s="15"/>
      <c r="F174" s="15"/>
      <c r="G174" s="15"/>
      <c r="H174" s="15"/>
      <c r="I174" s="15"/>
      <c r="J174" s="15"/>
    </row>
    <row r="175" spans="2:10" x14ac:dyDescent="0.35">
      <c r="B175" s="15"/>
      <c r="C175" s="15"/>
      <c r="D175" s="15"/>
      <c r="E175" s="15"/>
      <c r="F175" s="15"/>
      <c r="G175" s="15"/>
      <c r="H175" s="15"/>
      <c r="I175" s="15"/>
      <c r="J175" s="15"/>
    </row>
    <row r="176" spans="2:10" x14ac:dyDescent="0.35">
      <c r="B176" s="15"/>
      <c r="C176" s="15"/>
      <c r="D176" s="15"/>
      <c r="E176" s="15"/>
      <c r="F176" s="15"/>
      <c r="G176" s="15"/>
      <c r="H176" s="15"/>
      <c r="I176" s="15"/>
      <c r="J176" s="15"/>
    </row>
    <row r="177" spans="2:10" x14ac:dyDescent="0.35">
      <c r="B177" s="15"/>
      <c r="C177" s="15"/>
      <c r="D177" s="15"/>
      <c r="E177" s="15"/>
      <c r="F177" s="15"/>
      <c r="G177" s="15"/>
      <c r="H177" s="15"/>
      <c r="I177" s="15"/>
      <c r="J177" s="15"/>
    </row>
    <row r="178" spans="2:10" x14ac:dyDescent="0.35">
      <c r="B178" s="15"/>
      <c r="C178" s="15"/>
      <c r="D178" s="15"/>
      <c r="E178" s="15"/>
      <c r="F178" s="15"/>
      <c r="G178" s="15"/>
      <c r="H178" s="15"/>
      <c r="I178" s="15"/>
      <c r="J178" s="15"/>
    </row>
    <row r="179" spans="2:10" x14ac:dyDescent="0.35">
      <c r="B179" s="15"/>
      <c r="C179" s="15"/>
      <c r="D179" s="15"/>
      <c r="E179" s="15"/>
      <c r="F179" s="15"/>
      <c r="G179" s="15"/>
      <c r="H179" s="15"/>
      <c r="I179" s="15"/>
      <c r="J179" s="15"/>
    </row>
    <row r="180" spans="2:10" x14ac:dyDescent="0.35">
      <c r="B180" s="15"/>
      <c r="C180" s="15"/>
      <c r="D180" s="15"/>
      <c r="E180" s="15"/>
      <c r="F180" s="15"/>
      <c r="G180" s="15"/>
      <c r="H180" s="15"/>
      <c r="I180" s="15"/>
      <c r="J180" s="15"/>
    </row>
    <row r="181" spans="2:10" x14ac:dyDescent="0.35">
      <c r="B181" s="15"/>
      <c r="C181" s="15"/>
      <c r="D181" s="15"/>
      <c r="E181" s="15"/>
      <c r="F181" s="15"/>
      <c r="G181" s="15"/>
      <c r="H181" s="15"/>
      <c r="I181" s="15"/>
      <c r="J181" s="15"/>
    </row>
    <row r="182" spans="2:10" x14ac:dyDescent="0.35">
      <c r="B182" s="15"/>
      <c r="C182" s="15"/>
      <c r="D182" s="15"/>
      <c r="E182" s="15"/>
      <c r="F182" s="15"/>
      <c r="G182" s="15"/>
      <c r="H182" s="15"/>
      <c r="I182" s="15"/>
      <c r="J182" s="15"/>
    </row>
    <row r="183" spans="2:10" x14ac:dyDescent="0.35">
      <c r="B183" s="15"/>
      <c r="C183" s="15"/>
      <c r="D183" s="15"/>
      <c r="E183" s="15"/>
      <c r="F183" s="15"/>
      <c r="G183" s="15"/>
      <c r="H183" s="15"/>
      <c r="I183" s="15"/>
      <c r="J183" s="15"/>
    </row>
    <row r="184" spans="2:10" x14ac:dyDescent="0.35">
      <c r="B184" s="15"/>
      <c r="C184" s="15"/>
      <c r="D184" s="15"/>
      <c r="E184" s="15"/>
      <c r="F184" s="15"/>
      <c r="G184" s="15"/>
      <c r="H184" s="15"/>
      <c r="I184" s="15"/>
      <c r="J184" s="15"/>
    </row>
    <row r="185" spans="2:10" x14ac:dyDescent="0.35">
      <c r="B185" s="15"/>
      <c r="C185" s="15"/>
      <c r="D185" s="15"/>
      <c r="E185" s="15"/>
      <c r="F185" s="15"/>
      <c r="G185" s="15"/>
      <c r="H185" s="15"/>
      <c r="I185" s="15"/>
      <c r="J185" s="15"/>
    </row>
    <row r="186" spans="2:10" x14ac:dyDescent="0.35">
      <c r="B186" s="15"/>
      <c r="C186" s="15"/>
      <c r="D186" s="15"/>
      <c r="E186" s="15"/>
      <c r="F186" s="15"/>
      <c r="G186" s="15"/>
      <c r="H186" s="15"/>
      <c r="I186" s="15"/>
      <c r="J186" s="15"/>
    </row>
    <row r="187" spans="2:10" x14ac:dyDescent="0.35">
      <c r="B187" s="15"/>
      <c r="C187" s="15"/>
      <c r="D187" s="15"/>
      <c r="E187" s="15"/>
      <c r="F187" s="15"/>
      <c r="G187" s="15"/>
      <c r="H187" s="15"/>
      <c r="I187" s="15"/>
      <c r="J187" s="15"/>
    </row>
    <row r="188" spans="2:10" x14ac:dyDescent="0.35">
      <c r="B188" s="15"/>
      <c r="C188" s="15"/>
      <c r="D188" s="15"/>
      <c r="E188" s="15"/>
      <c r="F188" s="15"/>
      <c r="G188" s="15"/>
      <c r="H188" s="15"/>
      <c r="I188" s="15"/>
      <c r="J188" s="15"/>
    </row>
    <row r="189" spans="2:10" x14ac:dyDescent="0.35">
      <c r="B189" s="15"/>
      <c r="C189" s="15"/>
      <c r="D189" s="15"/>
      <c r="E189" s="15"/>
      <c r="F189" s="15"/>
      <c r="G189" s="15"/>
      <c r="H189" s="15"/>
      <c r="I189" s="15"/>
      <c r="J189" s="15"/>
    </row>
    <row r="190" spans="2:10" x14ac:dyDescent="0.35">
      <c r="B190" s="15"/>
      <c r="C190" s="15"/>
      <c r="D190" s="15"/>
      <c r="E190" s="15"/>
      <c r="F190" s="15"/>
      <c r="G190" s="15"/>
      <c r="H190" s="15"/>
      <c r="I190" s="15"/>
      <c r="J190" s="15"/>
    </row>
    <row r="191" spans="2:10" x14ac:dyDescent="0.35">
      <c r="B191" s="15"/>
      <c r="C191" s="15"/>
      <c r="D191" s="15"/>
      <c r="E191" s="15"/>
      <c r="F191" s="15"/>
      <c r="G191" s="15"/>
      <c r="H191" s="15"/>
      <c r="I191" s="15"/>
      <c r="J191" s="15"/>
    </row>
    <row r="192" spans="2:10" x14ac:dyDescent="0.35">
      <c r="B192" s="15"/>
      <c r="C192" s="15"/>
      <c r="D192" s="15"/>
      <c r="E192" s="15"/>
      <c r="F192" s="15"/>
      <c r="G192" s="15"/>
      <c r="H192" s="15"/>
      <c r="I192" s="15"/>
      <c r="J192" s="15"/>
    </row>
    <row r="193" spans="2:10" x14ac:dyDescent="0.35">
      <c r="B193" s="15"/>
      <c r="C193" s="15"/>
      <c r="D193" s="15"/>
      <c r="E193" s="15"/>
      <c r="F193" s="15"/>
      <c r="G193" s="15"/>
      <c r="H193" s="15"/>
      <c r="I193" s="15"/>
      <c r="J193" s="15"/>
    </row>
    <row r="194" spans="2:10" x14ac:dyDescent="0.35">
      <c r="B194" s="15"/>
      <c r="C194" s="15"/>
      <c r="D194" s="15"/>
      <c r="E194" s="15"/>
      <c r="F194" s="15"/>
      <c r="G194" s="15"/>
      <c r="H194" s="15"/>
      <c r="I194" s="15"/>
      <c r="J194" s="15"/>
    </row>
    <row r="195" spans="2:10" x14ac:dyDescent="0.35">
      <c r="B195" s="15"/>
      <c r="C195" s="15"/>
      <c r="D195" s="15"/>
      <c r="E195" s="15"/>
      <c r="F195" s="15"/>
      <c r="G195" s="15"/>
      <c r="H195" s="15"/>
      <c r="I195" s="15"/>
      <c r="J195" s="15"/>
    </row>
    <row r="196" spans="2:10" x14ac:dyDescent="0.35">
      <c r="B196" s="15"/>
      <c r="C196" s="15"/>
      <c r="D196" s="15"/>
      <c r="E196" s="15"/>
      <c r="F196" s="15"/>
      <c r="G196" s="15"/>
      <c r="H196" s="15"/>
      <c r="I196" s="15"/>
      <c r="J196" s="15"/>
    </row>
    <row r="197" spans="2:10" x14ac:dyDescent="0.35">
      <c r="B197" s="15"/>
      <c r="C197" s="15"/>
      <c r="D197" s="15"/>
      <c r="E197" s="15"/>
      <c r="F197" s="15"/>
      <c r="G197" s="15"/>
      <c r="H197" s="15"/>
      <c r="I197" s="15"/>
      <c r="J197" s="15"/>
    </row>
    <row r="198" spans="2:10" x14ac:dyDescent="0.35"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2:10" x14ac:dyDescent="0.35"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2:10" x14ac:dyDescent="0.35"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2:10" x14ac:dyDescent="0.35"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2:10" x14ac:dyDescent="0.35"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2:10" x14ac:dyDescent="0.35"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2:10" x14ac:dyDescent="0.35"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2:10" x14ac:dyDescent="0.35"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2:10" x14ac:dyDescent="0.35"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2:10" x14ac:dyDescent="0.35"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2:10" x14ac:dyDescent="0.35"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2:10" x14ac:dyDescent="0.35"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2:10" x14ac:dyDescent="0.35"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2:10" x14ac:dyDescent="0.35"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2:10" x14ac:dyDescent="0.35">
      <c r="B212" s="15"/>
      <c r="C212" s="15"/>
      <c r="D212" s="15"/>
      <c r="E212" s="15"/>
      <c r="F212" s="15"/>
      <c r="G212" s="15"/>
      <c r="H212" s="15"/>
      <c r="I212" s="15"/>
      <c r="J212" s="15"/>
    </row>
    <row r="213" spans="2:10" x14ac:dyDescent="0.35">
      <c r="B213" s="15"/>
      <c r="C213" s="15"/>
      <c r="D213" s="15"/>
      <c r="E213" s="15"/>
      <c r="F213" s="15"/>
      <c r="G213" s="15"/>
      <c r="H213" s="15"/>
      <c r="I213" s="15"/>
      <c r="J213" s="15"/>
    </row>
    <row r="214" spans="2:10" x14ac:dyDescent="0.35">
      <c r="B214" s="15"/>
      <c r="C214" s="15"/>
      <c r="D214" s="15"/>
      <c r="E214" s="15"/>
      <c r="F214" s="15"/>
      <c r="G214" s="15"/>
      <c r="H214" s="15"/>
      <c r="I214" s="15"/>
      <c r="J214" s="15"/>
    </row>
    <row r="215" spans="2:10" x14ac:dyDescent="0.35">
      <c r="B215" s="15"/>
      <c r="C215" s="15"/>
      <c r="D215" s="15"/>
      <c r="E215" s="15"/>
      <c r="F215" s="15"/>
      <c r="G215" s="15"/>
      <c r="H215" s="15"/>
      <c r="I215" s="15"/>
      <c r="J215" s="15"/>
    </row>
    <row r="216" spans="2:10" x14ac:dyDescent="0.35">
      <c r="B216" s="15"/>
      <c r="C216" s="15"/>
      <c r="D216" s="15"/>
      <c r="E216" s="15"/>
      <c r="F216" s="15"/>
      <c r="G216" s="15"/>
      <c r="H216" s="15"/>
      <c r="I216" s="15"/>
      <c r="J216" s="15"/>
    </row>
    <row r="217" spans="2:10" x14ac:dyDescent="0.35">
      <c r="B217" s="15"/>
      <c r="C217" s="15"/>
      <c r="D217" s="15"/>
      <c r="E217" s="15"/>
      <c r="F217" s="15"/>
      <c r="G217" s="15"/>
      <c r="H217" s="15"/>
      <c r="I217" s="15"/>
      <c r="J217" s="15"/>
    </row>
    <row r="218" spans="2:10" x14ac:dyDescent="0.35">
      <c r="B218" s="15"/>
      <c r="C218" s="15"/>
      <c r="D218" s="15"/>
      <c r="E218" s="15"/>
      <c r="F218" s="15"/>
      <c r="G218" s="15"/>
      <c r="H218" s="15"/>
      <c r="I218" s="15"/>
      <c r="J218" s="15"/>
    </row>
    <row r="219" spans="2:10" x14ac:dyDescent="0.35">
      <c r="B219" s="15"/>
      <c r="C219" s="15"/>
      <c r="D219" s="15"/>
      <c r="E219" s="15"/>
      <c r="F219" s="15"/>
      <c r="G219" s="15"/>
      <c r="H219" s="15"/>
      <c r="I219" s="15"/>
      <c r="J219" s="15"/>
    </row>
    <row r="220" spans="2:10" x14ac:dyDescent="0.35">
      <c r="B220" s="15"/>
      <c r="C220" s="15"/>
      <c r="D220" s="15"/>
      <c r="E220" s="15"/>
      <c r="F220" s="15"/>
      <c r="G220" s="15"/>
      <c r="H220" s="15"/>
      <c r="I220" s="15"/>
      <c r="J220" s="15"/>
    </row>
    <row r="221" spans="2:10" x14ac:dyDescent="0.35">
      <c r="B221" s="15"/>
      <c r="C221" s="15"/>
      <c r="D221" s="15"/>
      <c r="E221" s="15"/>
      <c r="F221" s="15"/>
      <c r="G221" s="15"/>
      <c r="H221" s="15"/>
      <c r="I221" s="15"/>
      <c r="J221" s="15"/>
    </row>
    <row r="222" spans="2:10" x14ac:dyDescent="0.35">
      <c r="B222" s="15"/>
      <c r="C222" s="15"/>
      <c r="D222" s="15"/>
      <c r="E222" s="15"/>
      <c r="F222" s="15"/>
      <c r="G222" s="15"/>
      <c r="H222" s="15"/>
      <c r="I222" s="15"/>
      <c r="J222" s="15"/>
    </row>
    <row r="223" spans="2:10" x14ac:dyDescent="0.35">
      <c r="B223" s="15"/>
      <c r="C223" s="15"/>
      <c r="D223" s="15"/>
      <c r="E223" s="15"/>
      <c r="F223" s="15"/>
      <c r="G223" s="15"/>
      <c r="H223" s="15"/>
      <c r="I223" s="15"/>
      <c r="J223" s="15"/>
    </row>
    <row r="224" spans="2:10" x14ac:dyDescent="0.35">
      <c r="B224" s="15"/>
      <c r="C224" s="15"/>
      <c r="D224" s="15"/>
      <c r="E224" s="15"/>
      <c r="F224" s="15"/>
      <c r="G224" s="15"/>
      <c r="H224" s="15"/>
      <c r="I224" s="15"/>
      <c r="J224" s="15"/>
    </row>
    <row r="225" spans="2:10" x14ac:dyDescent="0.35">
      <c r="B225" s="15"/>
      <c r="C225" s="15"/>
      <c r="D225" s="15"/>
      <c r="E225" s="15"/>
      <c r="F225" s="15"/>
      <c r="G225" s="15"/>
      <c r="H225" s="15"/>
      <c r="I225" s="15"/>
      <c r="J225" s="15"/>
    </row>
    <row r="226" spans="2:10" x14ac:dyDescent="0.35">
      <c r="B226" s="15"/>
      <c r="C226" s="15"/>
      <c r="D226" s="15"/>
      <c r="E226" s="15"/>
      <c r="F226" s="15"/>
      <c r="G226" s="15"/>
      <c r="H226" s="15"/>
      <c r="I226" s="15"/>
      <c r="J226" s="15"/>
    </row>
    <row r="227" spans="2:10" x14ac:dyDescent="0.35">
      <c r="B227" s="15"/>
      <c r="C227" s="15"/>
      <c r="D227" s="15"/>
      <c r="E227" s="15"/>
      <c r="F227" s="15"/>
      <c r="G227" s="15"/>
      <c r="H227" s="15"/>
      <c r="I227" s="15"/>
      <c r="J227" s="15"/>
    </row>
    <row r="228" spans="2:10" x14ac:dyDescent="0.35">
      <c r="B228" s="15"/>
      <c r="C228" s="15"/>
      <c r="D228" s="15"/>
      <c r="E228" s="15"/>
      <c r="F228" s="15"/>
      <c r="G228" s="15"/>
      <c r="H228" s="15"/>
      <c r="I228" s="15"/>
      <c r="J228" s="15"/>
    </row>
    <row r="229" spans="2:10" x14ac:dyDescent="0.35">
      <c r="B229" s="15"/>
      <c r="C229" s="15"/>
      <c r="D229" s="15"/>
      <c r="E229" s="15"/>
      <c r="F229" s="15"/>
      <c r="G229" s="15"/>
      <c r="H229" s="15"/>
      <c r="I229" s="15"/>
      <c r="J229" s="15"/>
    </row>
    <row r="230" spans="2:10" x14ac:dyDescent="0.35">
      <c r="B230" s="15"/>
      <c r="C230" s="15"/>
      <c r="D230" s="15"/>
      <c r="E230" s="15"/>
      <c r="F230" s="15"/>
      <c r="G230" s="15"/>
      <c r="H230" s="15"/>
      <c r="I230" s="15"/>
      <c r="J230" s="15"/>
    </row>
    <row r="231" spans="2:10" x14ac:dyDescent="0.35">
      <c r="B231" s="15"/>
      <c r="C231" s="15"/>
      <c r="D231" s="15"/>
      <c r="E231" s="15"/>
      <c r="F231" s="15"/>
      <c r="G231" s="15"/>
      <c r="H231" s="15"/>
      <c r="I231" s="15"/>
      <c r="J231" s="15"/>
    </row>
    <row r="232" spans="2:10" x14ac:dyDescent="0.35">
      <c r="B232" s="15"/>
      <c r="C232" s="15"/>
      <c r="D232" s="15"/>
      <c r="E232" s="15"/>
      <c r="F232" s="15"/>
      <c r="G232" s="15"/>
      <c r="H232" s="15"/>
      <c r="I232" s="15"/>
      <c r="J232" s="15"/>
    </row>
    <row r="233" spans="2:10" x14ac:dyDescent="0.35">
      <c r="B233" s="15"/>
      <c r="C233" s="15"/>
      <c r="D233" s="15"/>
      <c r="E233" s="15"/>
      <c r="F233" s="15"/>
      <c r="G233" s="15"/>
      <c r="H233" s="15"/>
      <c r="I233" s="15"/>
      <c r="J233" s="15"/>
    </row>
    <row r="234" spans="2:10" x14ac:dyDescent="0.35">
      <c r="B234" s="15"/>
      <c r="C234" s="15"/>
      <c r="D234" s="15"/>
      <c r="E234" s="15"/>
      <c r="F234" s="15"/>
      <c r="G234" s="15"/>
      <c r="H234" s="15"/>
      <c r="I234" s="15"/>
      <c r="J234" s="15"/>
    </row>
    <row r="235" spans="2:10" x14ac:dyDescent="0.35">
      <c r="B235" s="15"/>
      <c r="C235" s="15"/>
      <c r="D235" s="15"/>
      <c r="E235" s="15"/>
      <c r="F235" s="15"/>
      <c r="G235" s="15"/>
      <c r="H235" s="15"/>
      <c r="I235" s="15"/>
      <c r="J235" s="15"/>
    </row>
    <row r="236" spans="2:10" x14ac:dyDescent="0.35">
      <c r="B236" s="15"/>
      <c r="C236" s="15"/>
      <c r="D236" s="15"/>
      <c r="E236" s="15"/>
      <c r="F236" s="15"/>
      <c r="G236" s="15"/>
      <c r="H236" s="15"/>
      <c r="I236" s="15"/>
      <c r="J236" s="15"/>
    </row>
    <row r="237" spans="2:10" x14ac:dyDescent="0.35">
      <c r="B237" s="15"/>
      <c r="C237" s="15"/>
      <c r="D237" s="15"/>
      <c r="E237" s="15"/>
      <c r="F237" s="15"/>
      <c r="G237" s="15"/>
      <c r="H237" s="15"/>
      <c r="I237" s="15"/>
      <c r="J237" s="15"/>
    </row>
    <row r="238" spans="2:10" x14ac:dyDescent="0.35">
      <c r="B238" s="15"/>
      <c r="C238" s="15"/>
      <c r="D238" s="15"/>
      <c r="E238" s="15"/>
      <c r="F238" s="15"/>
      <c r="G238" s="15"/>
      <c r="H238" s="15"/>
      <c r="I238" s="15"/>
      <c r="J238" s="15"/>
    </row>
    <row r="239" spans="2:10" x14ac:dyDescent="0.35">
      <c r="B239" s="15"/>
      <c r="C239" s="15"/>
      <c r="D239" s="15"/>
      <c r="E239" s="15"/>
      <c r="F239" s="15"/>
      <c r="G239" s="15"/>
      <c r="H239" s="15"/>
      <c r="I239" s="15"/>
      <c r="J239" s="15"/>
    </row>
    <row r="240" spans="2:10" x14ac:dyDescent="0.35">
      <c r="B240" s="15"/>
      <c r="C240" s="15"/>
      <c r="D240" s="15"/>
      <c r="E240" s="15"/>
      <c r="F240" s="15"/>
      <c r="G240" s="15"/>
      <c r="H240" s="15"/>
      <c r="I240" s="15"/>
      <c r="J240" s="15"/>
    </row>
    <row r="241" spans="2:10" x14ac:dyDescent="0.35">
      <c r="B241" s="15"/>
      <c r="C241" s="15"/>
      <c r="D241" s="15"/>
      <c r="E241" s="15"/>
      <c r="F241" s="15"/>
      <c r="G241" s="15"/>
      <c r="H241" s="15"/>
      <c r="I241" s="15"/>
      <c r="J241" s="15"/>
    </row>
    <row r="242" spans="2:10" x14ac:dyDescent="0.35">
      <c r="B242" s="15"/>
      <c r="C242" s="15"/>
      <c r="D242" s="15"/>
      <c r="E242" s="15"/>
      <c r="F242" s="15"/>
      <c r="G242" s="15"/>
      <c r="H242" s="15"/>
      <c r="I242" s="15"/>
      <c r="J242" s="15"/>
    </row>
    <row r="243" spans="2:10" x14ac:dyDescent="0.35">
      <c r="B243" s="15"/>
      <c r="C243" s="15"/>
      <c r="D243" s="15"/>
      <c r="E243" s="15"/>
      <c r="F243" s="15"/>
      <c r="G243" s="15"/>
      <c r="H243" s="15"/>
      <c r="I243" s="15"/>
      <c r="J243" s="15"/>
    </row>
    <row r="244" spans="2:10" x14ac:dyDescent="0.35">
      <c r="B244" s="15"/>
      <c r="C244" s="15"/>
      <c r="D244" s="15"/>
      <c r="E244" s="15"/>
      <c r="F244" s="15"/>
      <c r="G244" s="15"/>
      <c r="H244" s="15"/>
      <c r="I244" s="15"/>
      <c r="J244" s="15"/>
    </row>
    <row r="245" spans="2:10" x14ac:dyDescent="0.35">
      <c r="B245" s="15"/>
      <c r="C245" s="15"/>
      <c r="D245" s="15"/>
      <c r="E245" s="15"/>
      <c r="F245" s="15"/>
      <c r="G245" s="15"/>
      <c r="H245" s="15"/>
      <c r="I245" s="15"/>
      <c r="J245" s="15"/>
    </row>
    <row r="246" spans="2:10" x14ac:dyDescent="0.35">
      <c r="B246" s="15"/>
      <c r="C246" s="15"/>
      <c r="D246" s="15"/>
      <c r="E246" s="15"/>
      <c r="F246" s="15"/>
      <c r="G246" s="15"/>
      <c r="H246" s="15"/>
      <c r="I246" s="15"/>
      <c r="J246" s="15"/>
    </row>
    <row r="247" spans="2:10" x14ac:dyDescent="0.35">
      <c r="B247" s="15"/>
      <c r="C247" s="15"/>
      <c r="D247" s="15"/>
      <c r="E247" s="15"/>
      <c r="F247" s="15"/>
      <c r="G247" s="15"/>
      <c r="H247" s="15"/>
      <c r="I247" s="15"/>
      <c r="J247" s="15"/>
    </row>
    <row r="248" spans="2:10" x14ac:dyDescent="0.35">
      <c r="B248" s="15"/>
      <c r="C248" s="15"/>
      <c r="D248" s="15"/>
      <c r="E248" s="15"/>
      <c r="F248" s="15"/>
      <c r="G248" s="15"/>
      <c r="H248" s="15"/>
      <c r="I248" s="15"/>
      <c r="J248" s="15"/>
    </row>
    <row r="249" spans="2:10" x14ac:dyDescent="0.35">
      <c r="B249" s="15"/>
      <c r="C249" s="15"/>
      <c r="D249" s="15"/>
      <c r="E249" s="15"/>
      <c r="F249" s="15"/>
      <c r="G249" s="15"/>
      <c r="H249" s="15"/>
      <c r="I249" s="15"/>
      <c r="J249" s="15"/>
    </row>
    <row r="250" spans="2:10" x14ac:dyDescent="0.35">
      <c r="B250" s="15"/>
      <c r="C250" s="15"/>
      <c r="D250" s="15"/>
      <c r="E250" s="15"/>
      <c r="F250" s="15"/>
      <c r="G250" s="15"/>
      <c r="H250" s="15"/>
      <c r="I250" s="15"/>
      <c r="J250" s="15"/>
    </row>
    <row r="251" spans="2:10" x14ac:dyDescent="0.35">
      <c r="B251" s="15"/>
      <c r="C251" s="15"/>
      <c r="D251" s="15"/>
      <c r="E251" s="15"/>
      <c r="F251" s="15"/>
      <c r="G251" s="15"/>
      <c r="H251" s="15"/>
      <c r="I251" s="15"/>
      <c r="J251" s="15"/>
    </row>
    <row r="252" spans="2:10" x14ac:dyDescent="0.35">
      <c r="B252" s="15"/>
      <c r="C252" s="15"/>
      <c r="D252" s="15"/>
      <c r="E252" s="15"/>
      <c r="F252" s="15"/>
      <c r="G252" s="15"/>
      <c r="H252" s="15"/>
      <c r="I252" s="15"/>
      <c r="J252" s="15"/>
    </row>
    <row r="253" spans="2:10" x14ac:dyDescent="0.35">
      <c r="B253" s="15"/>
      <c r="C253" s="15"/>
      <c r="D253" s="15"/>
      <c r="E253" s="15"/>
      <c r="F253" s="15"/>
      <c r="G253" s="15"/>
      <c r="H253" s="15"/>
      <c r="I253" s="15"/>
      <c r="J253" s="15"/>
    </row>
    <row r="254" spans="2:10" x14ac:dyDescent="0.35">
      <c r="B254" s="15"/>
      <c r="C254" s="15"/>
      <c r="D254" s="15"/>
      <c r="E254" s="15"/>
      <c r="F254" s="15"/>
      <c r="G254" s="15"/>
      <c r="H254" s="15"/>
      <c r="I254" s="15"/>
      <c r="J254" s="15"/>
    </row>
    <row r="255" spans="2:10" x14ac:dyDescent="0.35">
      <c r="B255" s="15"/>
      <c r="C255" s="15"/>
      <c r="D255" s="15"/>
      <c r="E255" s="15"/>
      <c r="F255" s="15"/>
      <c r="G255" s="15"/>
      <c r="H255" s="15"/>
      <c r="I255" s="15"/>
      <c r="J255" s="15"/>
    </row>
    <row r="256" spans="2:10" x14ac:dyDescent="0.35">
      <c r="B256" s="15"/>
      <c r="C256" s="15"/>
      <c r="D256" s="15"/>
      <c r="E256" s="15"/>
      <c r="F256" s="15"/>
      <c r="G256" s="15"/>
      <c r="H256" s="15"/>
      <c r="I256" s="15"/>
      <c r="J256" s="15"/>
    </row>
    <row r="257" spans="2:10" x14ac:dyDescent="0.35">
      <c r="B257" s="15"/>
      <c r="C257" s="15"/>
      <c r="D257" s="15"/>
      <c r="E257" s="15"/>
      <c r="F257" s="15"/>
      <c r="G257" s="15"/>
      <c r="H257" s="15"/>
      <c r="I257" s="15"/>
      <c r="J257" s="15"/>
    </row>
    <row r="258" spans="2:10" x14ac:dyDescent="0.35">
      <c r="B258" s="15"/>
      <c r="C258" s="15"/>
      <c r="D258" s="15"/>
      <c r="E258" s="15"/>
      <c r="F258" s="15"/>
      <c r="G258" s="15"/>
      <c r="H258" s="15"/>
      <c r="I258" s="15"/>
      <c r="J258" s="15"/>
    </row>
    <row r="259" spans="2:10" x14ac:dyDescent="0.35">
      <c r="B259" s="15"/>
      <c r="C259" s="15"/>
      <c r="D259" s="15"/>
      <c r="E259" s="15"/>
      <c r="F259" s="15"/>
      <c r="G259" s="15"/>
      <c r="H259" s="15"/>
      <c r="I259" s="15"/>
      <c r="J259" s="15"/>
    </row>
    <row r="260" spans="2:10" x14ac:dyDescent="0.35">
      <c r="B260" s="15"/>
      <c r="C260" s="15"/>
      <c r="D260" s="15"/>
      <c r="E260" s="15"/>
      <c r="F260" s="15"/>
      <c r="G260" s="15"/>
      <c r="H260" s="15"/>
      <c r="I260" s="15"/>
      <c r="J260" s="15"/>
    </row>
    <row r="261" spans="2:10" x14ac:dyDescent="0.35">
      <c r="B261" s="15"/>
      <c r="C261" s="15"/>
      <c r="D261" s="15"/>
      <c r="E261" s="15"/>
      <c r="F261" s="15"/>
      <c r="G261" s="15"/>
      <c r="H261" s="15"/>
      <c r="I261" s="15"/>
      <c r="J261" s="15"/>
    </row>
    <row r="262" spans="2:10" x14ac:dyDescent="0.35">
      <c r="B262" s="15"/>
      <c r="C262" s="15"/>
      <c r="D262" s="15"/>
      <c r="E262" s="15"/>
      <c r="F262" s="15"/>
      <c r="G262" s="15"/>
      <c r="H262" s="15"/>
      <c r="I262" s="15"/>
      <c r="J262" s="15"/>
    </row>
    <row r="263" spans="2:10" x14ac:dyDescent="0.35">
      <c r="B263" s="15"/>
      <c r="C263" s="15"/>
      <c r="D263" s="15"/>
      <c r="E263" s="15"/>
      <c r="F263" s="15"/>
      <c r="G263" s="15"/>
      <c r="H263" s="15"/>
      <c r="I263" s="15"/>
      <c r="J263" s="15"/>
    </row>
    <row r="264" spans="2:10" x14ac:dyDescent="0.35">
      <c r="B264" s="15"/>
      <c r="C264" s="15"/>
      <c r="D264" s="15"/>
      <c r="E264" s="15"/>
      <c r="F264" s="15"/>
      <c r="G264" s="15"/>
      <c r="H264" s="15"/>
      <c r="I264" s="15"/>
      <c r="J264" s="15"/>
    </row>
    <row r="265" spans="2:10" x14ac:dyDescent="0.35">
      <c r="B265" s="15"/>
      <c r="C265" s="15"/>
      <c r="D265" s="15"/>
      <c r="E265" s="15"/>
      <c r="F265" s="15"/>
      <c r="G265" s="15"/>
      <c r="H265" s="15"/>
      <c r="I265" s="15"/>
      <c r="J265" s="15"/>
    </row>
    <row r="266" spans="2:10" x14ac:dyDescent="0.35">
      <c r="B266" s="15"/>
      <c r="C266" s="15"/>
      <c r="D266" s="15"/>
      <c r="E266" s="15"/>
      <c r="F266" s="15"/>
      <c r="G266" s="15"/>
      <c r="H266" s="15"/>
      <c r="I266" s="15"/>
      <c r="J266" s="15"/>
    </row>
    <row r="267" spans="2:10" x14ac:dyDescent="0.35">
      <c r="B267" s="15"/>
      <c r="C267" s="15"/>
      <c r="D267" s="15"/>
      <c r="E267" s="15"/>
      <c r="F267" s="15"/>
      <c r="G267" s="15"/>
      <c r="H267" s="15"/>
      <c r="I267" s="15"/>
      <c r="J267" s="15"/>
    </row>
    <row r="268" spans="2:10" x14ac:dyDescent="0.35">
      <c r="B268" s="15"/>
      <c r="C268" s="15"/>
      <c r="D268" s="15"/>
      <c r="E268" s="15"/>
      <c r="F268" s="15"/>
      <c r="G268" s="15"/>
      <c r="H268" s="15"/>
      <c r="I268" s="15"/>
      <c r="J268" s="15"/>
    </row>
    <row r="269" spans="2:10" x14ac:dyDescent="0.35">
      <c r="B269" s="15"/>
      <c r="C269" s="15"/>
      <c r="D269" s="15"/>
      <c r="E269" s="15"/>
      <c r="F269" s="15"/>
      <c r="G269" s="15"/>
      <c r="H269" s="15"/>
      <c r="I269" s="15"/>
      <c r="J269" s="15"/>
    </row>
    <row r="270" spans="2:10" x14ac:dyDescent="0.35">
      <c r="B270" s="15"/>
      <c r="C270" s="15"/>
      <c r="D270" s="15"/>
      <c r="E270" s="15"/>
      <c r="F270" s="15"/>
      <c r="G270" s="15"/>
      <c r="H270" s="15"/>
      <c r="I270" s="15"/>
      <c r="J270" s="15"/>
    </row>
    <row r="271" spans="2:10" x14ac:dyDescent="0.35">
      <c r="B271" s="15"/>
      <c r="C271" s="15"/>
      <c r="D271" s="15"/>
      <c r="E271" s="15"/>
      <c r="F271" s="15"/>
      <c r="G271" s="15"/>
      <c r="H271" s="15"/>
      <c r="I271" s="15"/>
      <c r="J271" s="15"/>
    </row>
    <row r="272" spans="2:10" x14ac:dyDescent="0.35">
      <c r="B272" s="15"/>
      <c r="C272" s="15"/>
      <c r="D272" s="15"/>
      <c r="E272" s="15"/>
      <c r="F272" s="15"/>
      <c r="G272" s="15"/>
      <c r="H272" s="15"/>
      <c r="I272" s="15"/>
      <c r="J272" s="15"/>
    </row>
    <row r="273" spans="2:10" x14ac:dyDescent="0.35">
      <c r="B273" s="15"/>
      <c r="C273" s="15"/>
      <c r="D273" s="15"/>
      <c r="E273" s="15"/>
      <c r="F273" s="15"/>
      <c r="G273" s="15"/>
      <c r="H273" s="15"/>
      <c r="I273" s="15"/>
      <c r="J273" s="15"/>
    </row>
    <row r="274" spans="2:10" x14ac:dyDescent="0.35">
      <c r="B274" s="15"/>
      <c r="C274" s="15"/>
      <c r="D274" s="15"/>
      <c r="E274" s="15"/>
      <c r="F274" s="15"/>
      <c r="G274" s="15"/>
      <c r="H274" s="15"/>
      <c r="I274" s="15"/>
      <c r="J274" s="15"/>
    </row>
    <row r="275" spans="2:10" x14ac:dyDescent="0.35">
      <c r="B275" s="15"/>
      <c r="C275" s="15"/>
      <c r="D275" s="15"/>
      <c r="E275" s="15"/>
      <c r="F275" s="15"/>
      <c r="G275" s="15"/>
      <c r="H275" s="15"/>
      <c r="I275" s="15"/>
      <c r="J275" s="15"/>
    </row>
    <row r="276" spans="2:10" x14ac:dyDescent="0.35">
      <c r="B276" s="15"/>
      <c r="C276" s="15"/>
      <c r="D276" s="15"/>
      <c r="E276" s="15"/>
      <c r="F276" s="15"/>
      <c r="G276" s="15"/>
      <c r="H276" s="15"/>
      <c r="I276" s="15"/>
      <c r="J276" s="15"/>
    </row>
    <row r="277" spans="2:10" x14ac:dyDescent="0.35">
      <c r="B277" s="15"/>
      <c r="C277" s="15"/>
      <c r="D277" s="15"/>
      <c r="E277" s="15"/>
      <c r="F277" s="15"/>
      <c r="G277" s="15"/>
      <c r="H277" s="15"/>
      <c r="I277" s="15"/>
      <c r="J277" s="15"/>
    </row>
    <row r="278" spans="2:10" x14ac:dyDescent="0.35">
      <c r="B278" s="15"/>
      <c r="C278" s="15"/>
      <c r="D278" s="15"/>
      <c r="E278" s="15"/>
      <c r="F278" s="15"/>
      <c r="G278" s="15"/>
      <c r="H278" s="15"/>
      <c r="I278" s="15"/>
      <c r="J278" s="15"/>
    </row>
    <row r="279" spans="2:10" x14ac:dyDescent="0.35">
      <c r="B279" s="15"/>
      <c r="C279" s="15"/>
      <c r="D279" s="15"/>
      <c r="E279" s="15"/>
      <c r="F279" s="15"/>
      <c r="G279" s="15"/>
      <c r="H279" s="15"/>
      <c r="I279" s="15"/>
      <c r="J279" s="15"/>
    </row>
    <row r="280" spans="2:10" x14ac:dyDescent="0.35">
      <c r="B280" s="15"/>
      <c r="C280" s="15"/>
      <c r="D280" s="15"/>
      <c r="E280" s="15"/>
      <c r="F280" s="15"/>
      <c r="G280" s="15"/>
      <c r="H280" s="15"/>
      <c r="I280" s="15"/>
      <c r="J280" s="15"/>
    </row>
    <row r="281" spans="2:10" x14ac:dyDescent="0.35">
      <c r="B281" s="15"/>
      <c r="C281" s="15"/>
      <c r="D281" s="15"/>
      <c r="E281" s="15"/>
      <c r="F281" s="15"/>
      <c r="G281" s="15"/>
      <c r="H281" s="15"/>
      <c r="I281" s="15"/>
      <c r="J281" s="15"/>
    </row>
    <row r="282" spans="2:10" x14ac:dyDescent="0.35">
      <c r="B282" s="15"/>
      <c r="C282" s="15"/>
      <c r="D282" s="15"/>
      <c r="E282" s="15"/>
      <c r="F282" s="15"/>
      <c r="G282" s="15"/>
      <c r="H282" s="15"/>
      <c r="I282" s="15"/>
      <c r="J282" s="15"/>
    </row>
    <row r="283" spans="2:10" x14ac:dyDescent="0.35">
      <c r="B283" s="15"/>
      <c r="C283" s="15"/>
      <c r="D283" s="15"/>
      <c r="E283" s="15"/>
      <c r="F283" s="15"/>
      <c r="G283" s="15"/>
      <c r="H283" s="15"/>
      <c r="I283" s="15"/>
      <c r="J283" s="15"/>
    </row>
    <row r="284" spans="2:10" x14ac:dyDescent="0.35">
      <c r="B284" s="15"/>
      <c r="C284" s="15"/>
      <c r="D284" s="15"/>
      <c r="E284" s="15"/>
      <c r="F284" s="15"/>
      <c r="G284" s="15"/>
      <c r="H284" s="15"/>
      <c r="I284" s="15"/>
      <c r="J284" s="15"/>
    </row>
    <row r="285" spans="2:10" x14ac:dyDescent="0.35">
      <c r="B285" s="15"/>
      <c r="C285" s="15"/>
      <c r="D285" s="15"/>
      <c r="E285" s="15"/>
      <c r="F285" s="15"/>
      <c r="G285" s="15"/>
      <c r="H285" s="15"/>
      <c r="I285" s="15"/>
      <c r="J285" s="15"/>
    </row>
    <row r="286" spans="2:10" x14ac:dyDescent="0.35">
      <c r="B286" s="15"/>
      <c r="C286" s="15"/>
      <c r="D286" s="15"/>
      <c r="E286" s="15"/>
      <c r="F286" s="15"/>
      <c r="G286" s="15"/>
      <c r="H286" s="15"/>
      <c r="I286" s="15"/>
      <c r="J286" s="15"/>
    </row>
    <row r="287" spans="2:10" x14ac:dyDescent="0.35">
      <c r="B287" s="15"/>
      <c r="C287" s="15"/>
      <c r="D287" s="15"/>
      <c r="E287" s="15"/>
      <c r="F287" s="15"/>
      <c r="G287" s="15"/>
      <c r="H287" s="15"/>
      <c r="I287" s="15"/>
      <c r="J287" s="15"/>
    </row>
    <row r="288" spans="2:10" x14ac:dyDescent="0.35">
      <c r="B288" s="15"/>
      <c r="C288" s="15"/>
      <c r="D288" s="15"/>
      <c r="E288" s="15"/>
      <c r="F288" s="15"/>
      <c r="G288" s="15"/>
      <c r="H288" s="15"/>
      <c r="I288" s="15"/>
      <c r="J288" s="15"/>
    </row>
    <row r="289" spans="2:10" x14ac:dyDescent="0.35">
      <c r="B289" s="15"/>
      <c r="C289" s="15"/>
      <c r="D289" s="15"/>
      <c r="E289" s="15"/>
      <c r="F289" s="15"/>
      <c r="G289" s="15"/>
      <c r="H289" s="15"/>
      <c r="I289" s="15"/>
      <c r="J289" s="15"/>
    </row>
    <row r="290" spans="2:10" x14ac:dyDescent="0.35">
      <c r="B290" s="15"/>
      <c r="C290" s="15"/>
      <c r="D290" s="15"/>
      <c r="E290" s="15"/>
      <c r="F290" s="15"/>
      <c r="G290" s="15"/>
      <c r="H290" s="15"/>
      <c r="I290" s="15"/>
      <c r="J290" s="15"/>
    </row>
    <row r="291" spans="2:10" x14ac:dyDescent="0.35">
      <c r="B291" s="15"/>
      <c r="C291" s="15"/>
      <c r="D291" s="15"/>
      <c r="E291" s="15"/>
      <c r="F291" s="15"/>
      <c r="G291" s="15"/>
      <c r="H291" s="15"/>
      <c r="I291" s="15"/>
      <c r="J291" s="15"/>
    </row>
    <row r="292" spans="2:10" x14ac:dyDescent="0.35">
      <c r="B292" s="15"/>
      <c r="C292" s="15"/>
      <c r="D292" s="15"/>
      <c r="E292" s="15"/>
      <c r="F292" s="15"/>
      <c r="G292" s="15"/>
      <c r="H292" s="15"/>
      <c r="I292" s="15"/>
      <c r="J292" s="15"/>
    </row>
    <row r="293" spans="2:10" x14ac:dyDescent="0.35">
      <c r="B293" s="15"/>
      <c r="C293" s="15"/>
      <c r="D293" s="15"/>
      <c r="E293" s="15"/>
      <c r="F293" s="15"/>
      <c r="G293" s="15"/>
      <c r="H293" s="15"/>
      <c r="I293" s="15"/>
      <c r="J293" s="15"/>
    </row>
    <row r="294" spans="2:10" x14ac:dyDescent="0.35">
      <c r="B294" s="15"/>
      <c r="C294" s="15"/>
      <c r="D294" s="15"/>
      <c r="E294" s="15"/>
      <c r="F294" s="15"/>
      <c r="G294" s="15"/>
      <c r="H294" s="15"/>
      <c r="I294" s="15"/>
      <c r="J294" s="15"/>
    </row>
    <row r="295" spans="2:10" x14ac:dyDescent="0.35">
      <c r="B295" s="15"/>
      <c r="C295" s="15"/>
      <c r="D295" s="15"/>
      <c r="E295" s="15"/>
      <c r="F295" s="15"/>
      <c r="G295" s="15"/>
      <c r="H295" s="15"/>
      <c r="I295" s="15"/>
      <c r="J295" s="15"/>
    </row>
    <row r="296" spans="2:10" x14ac:dyDescent="0.35">
      <c r="B296" s="15"/>
      <c r="C296" s="15"/>
      <c r="D296" s="15"/>
      <c r="E296" s="15"/>
      <c r="F296" s="15"/>
      <c r="G296" s="15"/>
      <c r="H296" s="15"/>
      <c r="I296" s="15"/>
      <c r="J296" s="15"/>
    </row>
    <row r="297" spans="2:10" x14ac:dyDescent="0.35">
      <c r="B297" s="15"/>
      <c r="C297" s="15"/>
      <c r="D297" s="15"/>
      <c r="E297" s="15"/>
      <c r="F297" s="15"/>
      <c r="G297" s="15"/>
      <c r="H297" s="15"/>
      <c r="I297" s="15"/>
      <c r="J297" s="15"/>
    </row>
    <row r="298" spans="2:10" x14ac:dyDescent="0.35">
      <c r="B298" s="15"/>
      <c r="C298" s="15"/>
      <c r="D298" s="15"/>
      <c r="E298" s="15"/>
      <c r="F298" s="15"/>
      <c r="G298" s="15"/>
      <c r="H298" s="15"/>
      <c r="I298" s="15"/>
      <c r="J298" s="15"/>
    </row>
    <row r="299" spans="2:10" x14ac:dyDescent="0.35">
      <c r="B299" s="15"/>
      <c r="C299" s="15"/>
      <c r="D299" s="15"/>
      <c r="E299" s="15"/>
      <c r="F299" s="15"/>
      <c r="G299" s="15"/>
      <c r="H299" s="15"/>
      <c r="I299" s="15"/>
      <c r="J299" s="15"/>
    </row>
    <row r="300" spans="2:10" x14ac:dyDescent="0.35">
      <c r="B300" s="15"/>
      <c r="C300" s="15"/>
      <c r="D300" s="15"/>
      <c r="E300" s="15"/>
      <c r="F300" s="15"/>
      <c r="G300" s="15"/>
      <c r="H300" s="15"/>
      <c r="I300" s="15"/>
      <c r="J300" s="15"/>
    </row>
    <row r="301" spans="2:10" x14ac:dyDescent="0.35">
      <c r="B301" s="15"/>
      <c r="C301" s="15"/>
      <c r="D301" s="15"/>
      <c r="E301" s="15"/>
      <c r="F301" s="15"/>
      <c r="G301" s="15"/>
      <c r="H301" s="15"/>
      <c r="I301" s="15"/>
      <c r="J301" s="15"/>
    </row>
    <row r="302" spans="2:10" x14ac:dyDescent="0.35">
      <c r="B302" s="15"/>
      <c r="C302" s="15"/>
      <c r="D302" s="15"/>
      <c r="E302" s="15"/>
      <c r="F302" s="15"/>
      <c r="G302" s="15"/>
      <c r="H302" s="15"/>
      <c r="I302" s="15"/>
      <c r="J302" s="15"/>
    </row>
    <row r="303" spans="2:10" x14ac:dyDescent="0.35">
      <c r="B303" s="15"/>
      <c r="C303" s="15"/>
      <c r="D303" s="15"/>
      <c r="E303" s="15"/>
      <c r="F303" s="15"/>
      <c r="G303" s="15"/>
      <c r="H303" s="15"/>
      <c r="I303" s="15"/>
      <c r="J303" s="15"/>
    </row>
    <row r="304" spans="2:10" x14ac:dyDescent="0.35">
      <c r="B304" s="15"/>
      <c r="C304" s="15"/>
      <c r="D304" s="15"/>
      <c r="E304" s="15"/>
      <c r="F304" s="15"/>
      <c r="G304" s="15"/>
      <c r="H304" s="15"/>
      <c r="I304" s="15"/>
      <c r="J304" s="15"/>
    </row>
    <row r="305" spans="2:10" x14ac:dyDescent="0.35">
      <c r="B305" s="15"/>
      <c r="C305" s="15"/>
      <c r="D305" s="15"/>
      <c r="E305" s="15"/>
      <c r="F305" s="15"/>
      <c r="G305" s="15"/>
      <c r="H305" s="15"/>
      <c r="I305" s="15"/>
      <c r="J305" s="15"/>
    </row>
    <row r="306" spans="2:10" x14ac:dyDescent="0.35">
      <c r="B306" s="15"/>
      <c r="C306" s="15"/>
      <c r="D306" s="15"/>
      <c r="E306" s="15"/>
      <c r="F306" s="15"/>
      <c r="G306" s="15"/>
      <c r="H306" s="15"/>
      <c r="I306" s="15"/>
      <c r="J306" s="15"/>
    </row>
    <row r="307" spans="2:10" x14ac:dyDescent="0.35">
      <c r="B307" s="15"/>
      <c r="C307" s="15"/>
      <c r="D307" s="15"/>
      <c r="E307" s="15"/>
      <c r="F307" s="15"/>
      <c r="G307" s="15"/>
      <c r="H307" s="15"/>
      <c r="I307" s="15"/>
      <c r="J307" s="15"/>
    </row>
    <row r="308" spans="2:10" x14ac:dyDescent="0.35">
      <c r="B308" s="15"/>
      <c r="C308" s="15"/>
      <c r="D308" s="15"/>
      <c r="E308" s="15"/>
      <c r="F308" s="15"/>
      <c r="G308" s="15"/>
      <c r="H308" s="15"/>
      <c r="I308" s="15"/>
      <c r="J308" s="15"/>
    </row>
    <row r="309" spans="2:10" x14ac:dyDescent="0.35">
      <c r="B309" s="15"/>
      <c r="C309" s="15"/>
      <c r="D309" s="15"/>
      <c r="E309" s="15"/>
      <c r="F309" s="15"/>
      <c r="G309" s="15"/>
      <c r="H309" s="15"/>
      <c r="I309" s="15"/>
      <c r="J309" s="15"/>
    </row>
    <row r="310" spans="2:10" x14ac:dyDescent="0.35">
      <c r="B310" s="15"/>
      <c r="C310" s="15"/>
      <c r="D310" s="15"/>
      <c r="E310" s="15"/>
      <c r="F310" s="15"/>
      <c r="G310" s="15"/>
      <c r="H310" s="15"/>
      <c r="I310" s="15"/>
      <c r="J310" s="15"/>
    </row>
    <row r="311" spans="2:10" x14ac:dyDescent="0.35">
      <c r="B311" s="15"/>
      <c r="C311" s="15"/>
      <c r="D311" s="15"/>
      <c r="E311" s="15"/>
      <c r="F311" s="15"/>
      <c r="G311" s="15"/>
      <c r="H311" s="15"/>
      <c r="I311" s="15"/>
      <c r="J311" s="15"/>
    </row>
    <row r="312" spans="2:10" x14ac:dyDescent="0.35">
      <c r="B312" s="15"/>
      <c r="C312" s="15"/>
      <c r="D312" s="15"/>
      <c r="E312" s="15"/>
      <c r="F312" s="15"/>
      <c r="G312" s="15"/>
      <c r="H312" s="15"/>
      <c r="I312" s="15"/>
      <c r="J312" s="15"/>
    </row>
    <row r="313" spans="2:10" x14ac:dyDescent="0.35">
      <c r="B313" s="15"/>
      <c r="C313" s="15"/>
      <c r="D313" s="15"/>
      <c r="E313" s="15"/>
      <c r="F313" s="15"/>
      <c r="G313" s="15"/>
      <c r="H313" s="15"/>
      <c r="I313" s="15"/>
      <c r="J313" s="15"/>
    </row>
    <row r="314" spans="2:10" x14ac:dyDescent="0.35">
      <c r="B314" s="15"/>
      <c r="C314" s="15"/>
      <c r="D314" s="15"/>
      <c r="E314" s="15"/>
      <c r="F314" s="15"/>
      <c r="G314" s="15"/>
      <c r="H314" s="15"/>
      <c r="I314" s="15"/>
      <c r="J314" s="15"/>
    </row>
    <row r="315" spans="2:10" x14ac:dyDescent="0.35">
      <c r="B315" s="15"/>
      <c r="C315" s="15"/>
      <c r="D315" s="15"/>
      <c r="E315" s="15"/>
      <c r="F315" s="15"/>
      <c r="G315" s="15"/>
      <c r="H315" s="15"/>
      <c r="I315" s="15"/>
      <c r="J315" s="15"/>
    </row>
    <row r="316" spans="2:10" x14ac:dyDescent="0.35">
      <c r="B316" s="15"/>
      <c r="C316" s="15"/>
      <c r="D316" s="15"/>
      <c r="E316" s="15"/>
      <c r="F316" s="15"/>
      <c r="G316" s="15"/>
      <c r="H316" s="15"/>
      <c r="I316" s="15"/>
      <c r="J316" s="15"/>
    </row>
    <row r="317" spans="2:10" x14ac:dyDescent="0.35">
      <c r="B317" s="15"/>
      <c r="C317" s="15"/>
      <c r="D317" s="15"/>
      <c r="E317" s="15"/>
      <c r="F317" s="15"/>
      <c r="G317" s="15"/>
      <c r="H317" s="15"/>
      <c r="I317" s="15"/>
      <c r="J317" s="15"/>
    </row>
    <row r="318" spans="2:10" x14ac:dyDescent="0.35">
      <c r="B318" s="15"/>
      <c r="C318" s="15"/>
      <c r="D318" s="15"/>
      <c r="E318" s="15"/>
      <c r="F318" s="15"/>
      <c r="G318" s="15"/>
      <c r="H318" s="15"/>
      <c r="I318" s="15"/>
      <c r="J318" s="15"/>
    </row>
    <row r="319" spans="2:10" x14ac:dyDescent="0.35">
      <c r="B319" s="15"/>
      <c r="C319" s="15"/>
      <c r="D319" s="15"/>
      <c r="E319" s="15"/>
      <c r="F319" s="15"/>
      <c r="G319" s="15"/>
      <c r="H319" s="15"/>
      <c r="I319" s="15"/>
      <c r="J319" s="15"/>
    </row>
    <row r="320" spans="2:10" x14ac:dyDescent="0.35">
      <c r="B320" s="15"/>
      <c r="C320" s="15"/>
      <c r="D320" s="15"/>
      <c r="E320" s="15"/>
      <c r="F320" s="15"/>
      <c r="G320" s="15"/>
      <c r="H320" s="15"/>
      <c r="I320" s="15"/>
      <c r="J320" s="15"/>
    </row>
    <row r="321" spans="2:10" x14ac:dyDescent="0.35">
      <c r="B321" s="15"/>
      <c r="C321" s="15"/>
      <c r="D321" s="15"/>
      <c r="E321" s="15"/>
      <c r="F321" s="15"/>
      <c r="G321" s="15"/>
      <c r="H321" s="15"/>
      <c r="I321" s="15"/>
      <c r="J321" s="15"/>
    </row>
    <row r="322" spans="2:10" x14ac:dyDescent="0.35">
      <c r="B322" s="15"/>
      <c r="C322" s="15"/>
      <c r="D322" s="15"/>
      <c r="E322" s="15"/>
      <c r="F322" s="15"/>
      <c r="G322" s="15"/>
      <c r="H322" s="15"/>
      <c r="I322" s="15"/>
      <c r="J322" s="15"/>
    </row>
    <row r="323" spans="2:10" x14ac:dyDescent="0.35">
      <c r="B323" s="15"/>
      <c r="C323" s="15"/>
      <c r="D323" s="15"/>
      <c r="E323" s="15"/>
      <c r="F323" s="15"/>
      <c r="G323" s="15"/>
      <c r="H323" s="15"/>
      <c r="I323" s="15"/>
      <c r="J323" s="15"/>
    </row>
    <row r="324" spans="2:10" x14ac:dyDescent="0.35">
      <c r="B324" s="15"/>
      <c r="C324" s="15"/>
      <c r="D324" s="15"/>
      <c r="E324" s="15"/>
      <c r="F324" s="15"/>
      <c r="G324" s="15"/>
      <c r="H324" s="15"/>
      <c r="I324" s="15"/>
      <c r="J324" s="15"/>
    </row>
    <row r="325" spans="2:10" x14ac:dyDescent="0.35">
      <c r="B325" s="15"/>
      <c r="C325" s="15"/>
      <c r="D325" s="15"/>
      <c r="E325" s="15"/>
      <c r="F325" s="15"/>
      <c r="G325" s="15"/>
      <c r="H325" s="15"/>
      <c r="I325" s="15"/>
      <c r="J325" s="15"/>
    </row>
    <row r="326" spans="2:10" x14ac:dyDescent="0.35">
      <c r="B326" s="15"/>
      <c r="C326" s="15"/>
      <c r="D326" s="15"/>
      <c r="E326" s="15"/>
      <c r="F326" s="15"/>
      <c r="G326" s="15"/>
      <c r="H326" s="15"/>
      <c r="I326" s="15"/>
      <c r="J326" s="15"/>
    </row>
    <row r="327" spans="2:10" x14ac:dyDescent="0.35">
      <c r="B327" s="15"/>
      <c r="C327" s="15"/>
      <c r="D327" s="15"/>
      <c r="E327" s="15"/>
      <c r="F327" s="15"/>
      <c r="G327" s="15"/>
      <c r="H327" s="15"/>
      <c r="I327" s="15"/>
      <c r="J327" s="15"/>
    </row>
    <row r="328" spans="2:10" x14ac:dyDescent="0.35">
      <c r="B328" s="15"/>
      <c r="C328" s="15"/>
      <c r="D328" s="15"/>
      <c r="E328" s="15"/>
      <c r="F328" s="15"/>
      <c r="G328" s="15"/>
      <c r="H328" s="15"/>
      <c r="I328" s="15"/>
      <c r="J328" s="15"/>
    </row>
    <row r="329" spans="2:10" x14ac:dyDescent="0.35">
      <c r="B329" s="15"/>
      <c r="C329" s="15"/>
      <c r="D329" s="15"/>
      <c r="E329" s="15"/>
      <c r="F329" s="15"/>
      <c r="G329" s="15"/>
      <c r="H329" s="15"/>
      <c r="I329" s="15"/>
      <c r="J329" s="15"/>
    </row>
    <row r="330" spans="2:10" x14ac:dyDescent="0.35">
      <c r="B330" s="15"/>
      <c r="C330" s="15"/>
      <c r="D330" s="15"/>
      <c r="E330" s="15"/>
      <c r="F330" s="15"/>
      <c r="G330" s="15"/>
      <c r="H330" s="15"/>
      <c r="I330" s="15"/>
      <c r="J330" s="15"/>
    </row>
    <row r="331" spans="2:10" x14ac:dyDescent="0.35">
      <c r="B331" s="15"/>
      <c r="C331" s="15"/>
      <c r="D331" s="15"/>
      <c r="E331" s="15"/>
      <c r="F331" s="15"/>
      <c r="G331" s="15"/>
      <c r="H331" s="15"/>
      <c r="I331" s="15"/>
      <c r="J331" s="15"/>
    </row>
    <row r="332" spans="2:10" x14ac:dyDescent="0.35">
      <c r="B332" s="15"/>
      <c r="C332" s="15"/>
      <c r="D332" s="15"/>
      <c r="E332" s="15"/>
      <c r="F332" s="15"/>
      <c r="G332" s="15"/>
      <c r="H332" s="15"/>
      <c r="I332" s="15"/>
      <c r="J332" s="15"/>
    </row>
    <row r="333" spans="2:10" x14ac:dyDescent="0.35">
      <c r="B333" s="15"/>
      <c r="C333" s="15"/>
      <c r="D333" s="15"/>
      <c r="E333" s="15"/>
      <c r="F333" s="15"/>
      <c r="G333" s="15"/>
      <c r="H333" s="15"/>
      <c r="I333" s="15"/>
      <c r="J333" s="15"/>
    </row>
    <row r="334" spans="2:10" x14ac:dyDescent="0.35">
      <c r="B334" s="15"/>
      <c r="C334" s="15"/>
      <c r="D334" s="15"/>
      <c r="E334" s="15"/>
      <c r="F334" s="15"/>
      <c r="G334" s="15"/>
      <c r="H334" s="15"/>
      <c r="I334" s="15"/>
      <c r="J334" s="15"/>
    </row>
    <row r="335" spans="2:10" x14ac:dyDescent="0.35">
      <c r="B335" s="15"/>
      <c r="C335" s="15"/>
      <c r="D335" s="15"/>
      <c r="E335" s="15"/>
      <c r="F335" s="15"/>
      <c r="G335" s="15"/>
      <c r="H335" s="15"/>
      <c r="I335" s="15"/>
      <c r="J335" s="15"/>
    </row>
    <row r="336" spans="2:10" x14ac:dyDescent="0.35">
      <c r="B336" s="15"/>
      <c r="C336" s="15"/>
      <c r="D336" s="15"/>
      <c r="E336" s="15"/>
      <c r="F336" s="15"/>
      <c r="G336" s="15"/>
      <c r="H336" s="15"/>
      <c r="I336" s="15"/>
      <c r="J336" s="15"/>
    </row>
    <row r="337" spans="2:10" x14ac:dyDescent="0.35">
      <c r="B337" s="15"/>
      <c r="C337" s="15"/>
      <c r="D337" s="15"/>
      <c r="E337" s="15"/>
      <c r="F337" s="15"/>
      <c r="G337" s="15"/>
      <c r="H337" s="15"/>
      <c r="I337" s="15"/>
      <c r="J337" s="15"/>
    </row>
    <row r="338" spans="2:10" x14ac:dyDescent="0.35">
      <c r="B338" s="15"/>
      <c r="C338" s="15"/>
      <c r="D338" s="15"/>
      <c r="E338" s="15"/>
      <c r="F338" s="15"/>
      <c r="G338" s="15"/>
      <c r="H338" s="15"/>
      <c r="I338" s="15"/>
      <c r="J338" s="15"/>
    </row>
    <row r="339" spans="2:10" x14ac:dyDescent="0.35">
      <c r="B339" s="15"/>
      <c r="C339" s="15"/>
      <c r="D339" s="15"/>
      <c r="E339" s="15"/>
      <c r="F339" s="15"/>
      <c r="G339" s="15"/>
      <c r="H339" s="15"/>
      <c r="I339" s="15"/>
      <c r="J339" s="15"/>
    </row>
    <row r="340" spans="2:10" x14ac:dyDescent="0.35">
      <c r="B340" s="15"/>
      <c r="C340" s="15"/>
      <c r="D340" s="15"/>
      <c r="E340" s="15"/>
      <c r="F340" s="15"/>
      <c r="G340" s="15"/>
      <c r="H340" s="15"/>
      <c r="I340" s="15"/>
      <c r="J340" s="15"/>
    </row>
    <row r="341" spans="2:10" x14ac:dyDescent="0.35">
      <c r="B341" s="15"/>
      <c r="C341" s="15"/>
      <c r="D341" s="15"/>
      <c r="E341" s="15"/>
      <c r="F341" s="15"/>
      <c r="G341" s="15"/>
      <c r="H341" s="15"/>
      <c r="I341" s="15"/>
      <c r="J341" s="15"/>
    </row>
    <row r="342" spans="2:10" x14ac:dyDescent="0.35">
      <c r="B342" s="15"/>
      <c r="C342" s="15"/>
      <c r="D342" s="15"/>
      <c r="E342" s="15"/>
      <c r="F342" s="15"/>
      <c r="G342" s="15"/>
      <c r="H342" s="15"/>
      <c r="I342" s="15"/>
      <c r="J342" s="15"/>
    </row>
    <row r="343" spans="2:10" x14ac:dyDescent="0.35">
      <c r="B343" s="15"/>
      <c r="C343" s="15"/>
      <c r="D343" s="15"/>
      <c r="E343" s="15"/>
      <c r="F343" s="15"/>
      <c r="G343" s="15"/>
      <c r="H343" s="15"/>
      <c r="I343" s="15"/>
      <c r="J343" s="15"/>
    </row>
    <row r="344" spans="2:10" x14ac:dyDescent="0.35">
      <c r="B344" s="15"/>
      <c r="C344" s="15"/>
      <c r="D344" s="15"/>
      <c r="E344" s="15"/>
      <c r="F344" s="15"/>
      <c r="G344" s="15"/>
      <c r="H344" s="15"/>
      <c r="I344" s="15"/>
      <c r="J344" s="15"/>
    </row>
    <row r="345" spans="2:10" x14ac:dyDescent="0.35">
      <c r="B345" s="15"/>
      <c r="C345" s="15"/>
      <c r="D345" s="15"/>
      <c r="E345" s="15"/>
      <c r="F345" s="15"/>
      <c r="G345" s="15"/>
      <c r="H345" s="15"/>
      <c r="I345" s="15"/>
      <c r="J345" s="15"/>
    </row>
    <row r="346" spans="2:10" x14ac:dyDescent="0.35">
      <c r="B346" s="15"/>
      <c r="C346" s="15"/>
      <c r="D346" s="15"/>
      <c r="E346" s="15"/>
      <c r="F346" s="15"/>
      <c r="G346" s="15"/>
      <c r="H346" s="15"/>
      <c r="I346" s="15"/>
      <c r="J346" s="15"/>
    </row>
    <row r="347" spans="2:10" x14ac:dyDescent="0.35">
      <c r="B347" s="15"/>
      <c r="C347" s="15"/>
      <c r="D347" s="15"/>
      <c r="E347" s="15"/>
      <c r="F347" s="15"/>
      <c r="G347" s="15"/>
      <c r="H347" s="15"/>
      <c r="I347" s="15"/>
      <c r="J347" s="15"/>
    </row>
    <row r="348" spans="2:10" x14ac:dyDescent="0.35">
      <c r="B348" s="15"/>
      <c r="C348" s="15"/>
      <c r="D348" s="15"/>
      <c r="E348" s="15"/>
      <c r="F348" s="15"/>
      <c r="G348" s="15"/>
      <c r="H348" s="15"/>
      <c r="I348" s="15"/>
      <c r="J348" s="15"/>
    </row>
    <row r="349" spans="2:10" x14ac:dyDescent="0.35">
      <c r="B349" s="15"/>
      <c r="C349" s="15"/>
      <c r="D349" s="15"/>
      <c r="E349" s="15"/>
      <c r="F349" s="15"/>
      <c r="G349" s="15"/>
      <c r="H349" s="15"/>
      <c r="I349" s="15"/>
      <c r="J349" s="15"/>
    </row>
    <row r="350" spans="2:10" x14ac:dyDescent="0.35">
      <c r="B350" s="15"/>
      <c r="C350" s="15"/>
      <c r="D350" s="15"/>
      <c r="E350" s="15"/>
      <c r="F350" s="15"/>
      <c r="G350" s="15"/>
      <c r="H350" s="15"/>
      <c r="I350" s="15"/>
      <c r="J350" s="15"/>
    </row>
    <row r="351" spans="2:10" x14ac:dyDescent="0.35">
      <c r="B351" s="15"/>
      <c r="C351" s="15"/>
      <c r="D351" s="15"/>
      <c r="E351" s="15"/>
      <c r="F351" s="15"/>
      <c r="G351" s="15"/>
      <c r="H351" s="15"/>
      <c r="I351" s="15"/>
      <c r="J351" s="15"/>
    </row>
    <row r="352" spans="2:10" x14ac:dyDescent="0.35">
      <c r="B352" s="15"/>
      <c r="C352" s="15"/>
      <c r="D352" s="15"/>
      <c r="E352" s="15"/>
      <c r="F352" s="15"/>
      <c r="G352" s="15"/>
      <c r="H352" s="15"/>
      <c r="I352" s="15"/>
      <c r="J352" s="15"/>
    </row>
    <row r="353" spans="2:10" x14ac:dyDescent="0.35">
      <c r="B353" s="15"/>
      <c r="C353" s="15"/>
      <c r="D353" s="15"/>
      <c r="E353" s="15"/>
      <c r="F353" s="15"/>
      <c r="G353" s="15"/>
      <c r="H353" s="15"/>
      <c r="I353" s="15"/>
      <c r="J353" s="15"/>
    </row>
    <row r="354" spans="2:10" x14ac:dyDescent="0.35">
      <c r="B354" s="15"/>
      <c r="C354" s="15"/>
      <c r="D354" s="15"/>
      <c r="E354" s="15"/>
      <c r="F354" s="15"/>
      <c r="G354" s="15"/>
      <c r="H354" s="15"/>
      <c r="I354" s="15"/>
      <c r="J354" s="15"/>
    </row>
    <row r="355" spans="2:10" x14ac:dyDescent="0.35">
      <c r="B355" s="15"/>
      <c r="C355" s="15"/>
      <c r="D355" s="15"/>
      <c r="E355" s="15"/>
      <c r="F355" s="15"/>
      <c r="G355" s="15"/>
      <c r="H355" s="15"/>
      <c r="I355" s="15"/>
      <c r="J355" s="15"/>
    </row>
    <row r="356" spans="2:10" x14ac:dyDescent="0.35">
      <c r="B356" s="15"/>
      <c r="C356" s="15"/>
      <c r="D356" s="15"/>
      <c r="E356" s="15"/>
      <c r="F356" s="15"/>
      <c r="G356" s="15"/>
      <c r="H356" s="15"/>
      <c r="I356" s="15"/>
      <c r="J356" s="15"/>
    </row>
    <row r="357" spans="2:10" x14ac:dyDescent="0.35">
      <c r="B357" s="15"/>
      <c r="C357" s="15"/>
      <c r="D357" s="15"/>
      <c r="E357" s="15"/>
      <c r="F357" s="15"/>
      <c r="G357" s="15"/>
      <c r="H357" s="15"/>
      <c r="I357" s="15"/>
      <c r="J357" s="15"/>
    </row>
    <row r="358" spans="2:10" x14ac:dyDescent="0.35">
      <c r="B358" s="15"/>
      <c r="C358" s="15"/>
      <c r="D358" s="15"/>
      <c r="E358" s="15"/>
      <c r="F358" s="15"/>
      <c r="G358" s="15"/>
      <c r="H358" s="15"/>
      <c r="I358" s="15"/>
      <c r="J358" s="15"/>
    </row>
    <row r="359" spans="2:10" x14ac:dyDescent="0.35">
      <c r="B359" s="15"/>
      <c r="C359" s="15"/>
      <c r="D359" s="15"/>
      <c r="E359" s="15"/>
      <c r="F359" s="15"/>
      <c r="G359" s="15"/>
      <c r="H359" s="15"/>
      <c r="I359" s="15"/>
      <c r="J359" s="15"/>
    </row>
    <row r="360" spans="2:10" x14ac:dyDescent="0.35">
      <c r="B360" s="15"/>
      <c r="C360" s="15"/>
      <c r="D360" s="15"/>
      <c r="E360" s="15"/>
      <c r="F360" s="15"/>
      <c r="G360" s="15"/>
      <c r="H360" s="15"/>
      <c r="I360" s="15"/>
      <c r="J360" s="15"/>
    </row>
    <row r="361" spans="2:10" x14ac:dyDescent="0.35">
      <c r="B361" s="15"/>
      <c r="C361" s="15"/>
      <c r="D361" s="15"/>
      <c r="E361" s="15"/>
      <c r="F361" s="15"/>
      <c r="G361" s="15"/>
      <c r="H361" s="15"/>
      <c r="I361" s="15"/>
      <c r="J361" s="15"/>
    </row>
    <row r="362" spans="2:10" x14ac:dyDescent="0.35">
      <c r="B362" s="15"/>
      <c r="C362" s="15"/>
      <c r="D362" s="15"/>
      <c r="E362" s="15"/>
      <c r="F362" s="15"/>
      <c r="G362" s="15"/>
      <c r="H362" s="15"/>
      <c r="I362" s="15"/>
      <c r="J362" s="15"/>
    </row>
    <row r="363" spans="2:10" x14ac:dyDescent="0.35">
      <c r="B363" s="15"/>
      <c r="C363" s="15"/>
      <c r="D363" s="15"/>
      <c r="E363" s="15"/>
      <c r="F363" s="15"/>
      <c r="G363" s="15"/>
      <c r="H363" s="15"/>
      <c r="I363" s="15"/>
      <c r="J363" s="15"/>
    </row>
    <row r="364" spans="2:10" x14ac:dyDescent="0.35">
      <c r="B364" s="15"/>
      <c r="C364" s="15"/>
      <c r="D364" s="15"/>
      <c r="E364" s="15"/>
      <c r="F364" s="15"/>
      <c r="G364" s="15"/>
      <c r="H364" s="15"/>
      <c r="I364" s="15"/>
      <c r="J364" s="15"/>
    </row>
    <row r="365" spans="2:10" x14ac:dyDescent="0.35">
      <c r="B365" s="15"/>
      <c r="C365" s="15"/>
      <c r="D365" s="15"/>
      <c r="E365" s="15"/>
      <c r="F365" s="15"/>
      <c r="G365" s="15"/>
      <c r="H365" s="15"/>
      <c r="I365" s="15"/>
      <c r="J365" s="15"/>
    </row>
    <row r="366" spans="2:10" x14ac:dyDescent="0.35">
      <c r="B366" s="15"/>
      <c r="C366" s="15"/>
      <c r="D366" s="15"/>
      <c r="E366" s="15"/>
      <c r="F366" s="15"/>
      <c r="G366" s="15"/>
      <c r="H366" s="15"/>
      <c r="I366" s="15"/>
      <c r="J366" s="15"/>
    </row>
    <row r="367" spans="2:10" x14ac:dyDescent="0.35">
      <c r="B367" s="15"/>
      <c r="C367" s="15"/>
      <c r="D367" s="15"/>
      <c r="E367" s="15"/>
      <c r="F367" s="15"/>
      <c r="G367" s="15"/>
      <c r="H367" s="15"/>
      <c r="I367" s="15"/>
      <c r="J367" s="15"/>
    </row>
    <row r="368" spans="2:10" x14ac:dyDescent="0.35">
      <c r="B368" s="15"/>
      <c r="C368" s="15"/>
      <c r="D368" s="15"/>
      <c r="E368" s="15"/>
      <c r="F368" s="15"/>
      <c r="G368" s="15"/>
      <c r="H368" s="15"/>
      <c r="I368" s="15"/>
      <c r="J368" s="15"/>
    </row>
    <row r="369" spans="2:10" x14ac:dyDescent="0.35">
      <c r="B369" s="15"/>
      <c r="C369" s="15"/>
      <c r="D369" s="15"/>
      <c r="E369" s="15"/>
      <c r="F369" s="15"/>
      <c r="G369" s="15"/>
      <c r="H369" s="15"/>
      <c r="I369" s="15"/>
      <c r="J369" s="15"/>
    </row>
    <row r="370" spans="2:10" x14ac:dyDescent="0.35">
      <c r="B370" s="15"/>
      <c r="C370" s="15"/>
      <c r="D370" s="15"/>
      <c r="E370" s="15"/>
      <c r="F370" s="15"/>
      <c r="G370" s="15"/>
      <c r="H370" s="15"/>
      <c r="I370" s="15"/>
      <c r="J370" s="15"/>
    </row>
    <row r="371" spans="2:10" x14ac:dyDescent="0.35">
      <c r="B371" s="15"/>
      <c r="C371" s="15"/>
      <c r="D371" s="15"/>
      <c r="E371" s="15"/>
      <c r="F371" s="15"/>
      <c r="G371" s="15"/>
      <c r="H371" s="15"/>
      <c r="I371" s="15"/>
      <c r="J371" s="15"/>
    </row>
    <row r="372" spans="2:10" x14ac:dyDescent="0.35">
      <c r="B372" s="15"/>
      <c r="C372" s="15"/>
      <c r="D372" s="15"/>
      <c r="E372" s="15"/>
      <c r="F372" s="15"/>
      <c r="G372" s="15"/>
      <c r="H372" s="15"/>
      <c r="I372" s="15"/>
      <c r="J372" s="15"/>
    </row>
    <row r="373" spans="2:10" x14ac:dyDescent="0.35">
      <c r="B373" s="15"/>
      <c r="C373" s="15"/>
      <c r="D373" s="15"/>
      <c r="E373" s="15"/>
      <c r="F373" s="15"/>
      <c r="G373" s="15"/>
      <c r="H373" s="15"/>
      <c r="I373" s="15"/>
      <c r="J373" s="15"/>
    </row>
    <row r="374" spans="2:10" x14ac:dyDescent="0.35">
      <c r="B374" s="15"/>
      <c r="C374" s="15"/>
      <c r="D374" s="15"/>
      <c r="E374" s="15"/>
      <c r="F374" s="15"/>
      <c r="G374" s="15"/>
      <c r="H374" s="15"/>
      <c r="I374" s="15"/>
      <c r="J374" s="15"/>
    </row>
    <row r="375" spans="2:10" x14ac:dyDescent="0.35">
      <c r="B375" s="15"/>
      <c r="C375" s="15"/>
      <c r="D375" s="15"/>
      <c r="E375" s="15"/>
      <c r="F375" s="15"/>
      <c r="G375" s="15"/>
      <c r="H375" s="15"/>
      <c r="I375" s="15"/>
      <c r="J375" s="15"/>
    </row>
    <row r="376" spans="2:10" x14ac:dyDescent="0.35">
      <c r="B376" s="15"/>
      <c r="C376" s="15"/>
      <c r="D376" s="15"/>
      <c r="E376" s="15"/>
      <c r="F376" s="15"/>
      <c r="G376" s="15"/>
      <c r="H376" s="15"/>
      <c r="I376" s="15"/>
      <c r="J376" s="15"/>
    </row>
    <row r="377" spans="2:10" x14ac:dyDescent="0.35">
      <c r="B377" s="15"/>
      <c r="C377" s="15"/>
      <c r="D377" s="15"/>
      <c r="E377" s="15"/>
      <c r="F377" s="15"/>
      <c r="G377" s="15"/>
      <c r="H377" s="15"/>
      <c r="I377" s="15"/>
      <c r="J377" s="15"/>
    </row>
    <row r="378" spans="2:10" x14ac:dyDescent="0.35">
      <c r="B378" s="15"/>
      <c r="C378" s="15"/>
      <c r="D378" s="15"/>
      <c r="E378" s="15"/>
      <c r="F378" s="15"/>
      <c r="G378" s="15"/>
      <c r="H378" s="15"/>
      <c r="I378" s="15"/>
      <c r="J378" s="15"/>
    </row>
    <row r="379" spans="2:10" x14ac:dyDescent="0.35">
      <c r="B379" s="15"/>
      <c r="C379" s="15"/>
      <c r="D379" s="15"/>
      <c r="E379" s="15"/>
      <c r="F379" s="15"/>
      <c r="G379" s="15"/>
      <c r="H379" s="15"/>
      <c r="I379" s="15"/>
      <c r="J379" s="15"/>
    </row>
    <row r="380" spans="2:10" x14ac:dyDescent="0.35">
      <c r="B380" s="15"/>
      <c r="C380" s="15"/>
      <c r="D380" s="15"/>
      <c r="E380" s="15"/>
      <c r="F380" s="15"/>
      <c r="G380" s="15"/>
      <c r="H380" s="15"/>
      <c r="I380" s="15"/>
      <c r="J380" s="15"/>
    </row>
    <row r="381" spans="2:10" x14ac:dyDescent="0.35">
      <c r="B381" s="15"/>
      <c r="C381" s="15"/>
      <c r="D381" s="15"/>
      <c r="E381" s="15"/>
      <c r="F381" s="15"/>
      <c r="G381" s="15"/>
      <c r="H381" s="15"/>
      <c r="I381" s="15"/>
      <c r="J381" s="15"/>
    </row>
    <row r="382" spans="2:10" x14ac:dyDescent="0.35">
      <c r="B382" s="15"/>
      <c r="C382" s="15"/>
      <c r="D382" s="15"/>
      <c r="E382" s="15"/>
      <c r="F382" s="15"/>
      <c r="G382" s="15"/>
      <c r="H382" s="15"/>
      <c r="I382" s="15"/>
      <c r="J382" s="15"/>
    </row>
    <row r="383" spans="2:10" x14ac:dyDescent="0.35">
      <c r="B383" s="15"/>
      <c r="C383" s="15"/>
      <c r="D383" s="15"/>
      <c r="E383" s="15"/>
      <c r="F383" s="15"/>
      <c r="G383" s="15"/>
      <c r="H383" s="15"/>
      <c r="I383" s="15"/>
      <c r="J383" s="15"/>
    </row>
    <row r="384" spans="2:10" x14ac:dyDescent="0.35">
      <c r="B384" s="15"/>
      <c r="C384" s="15"/>
      <c r="D384" s="15"/>
      <c r="E384" s="15"/>
      <c r="F384" s="15"/>
      <c r="G384" s="15"/>
      <c r="H384" s="15"/>
      <c r="I384" s="15"/>
      <c r="J384" s="15"/>
    </row>
    <row r="385" spans="2:10" x14ac:dyDescent="0.35">
      <c r="B385" s="15"/>
      <c r="C385" s="15"/>
      <c r="D385" s="15"/>
      <c r="E385" s="15"/>
      <c r="F385" s="15"/>
      <c r="G385" s="15"/>
      <c r="H385" s="15"/>
      <c r="I385" s="15"/>
      <c r="J385" s="15"/>
    </row>
    <row r="386" spans="2:10" x14ac:dyDescent="0.35">
      <c r="B386" s="15"/>
      <c r="C386" s="15"/>
      <c r="D386" s="15"/>
      <c r="E386" s="15"/>
      <c r="F386" s="15"/>
      <c r="G386" s="15"/>
      <c r="H386" s="15"/>
      <c r="I386" s="15"/>
      <c r="J386" s="15"/>
    </row>
    <row r="387" spans="2:10" x14ac:dyDescent="0.35">
      <c r="B387" s="15"/>
      <c r="C387" s="15"/>
      <c r="D387" s="15"/>
      <c r="E387" s="15"/>
      <c r="F387" s="15"/>
      <c r="G387" s="15"/>
      <c r="H387" s="15"/>
      <c r="I387" s="15"/>
      <c r="J387" s="15"/>
    </row>
    <row r="388" spans="2:10" x14ac:dyDescent="0.35">
      <c r="B388" s="15"/>
      <c r="C388" s="15"/>
      <c r="D388" s="15"/>
      <c r="E388" s="15"/>
      <c r="F388" s="15"/>
      <c r="G388" s="15"/>
      <c r="H388" s="15"/>
      <c r="I388" s="15"/>
      <c r="J388" s="15"/>
    </row>
    <row r="389" spans="2:10" x14ac:dyDescent="0.35">
      <c r="B389" s="15"/>
      <c r="C389" s="15"/>
      <c r="D389" s="15"/>
      <c r="E389" s="15"/>
      <c r="F389" s="15"/>
      <c r="G389" s="15"/>
      <c r="H389" s="15"/>
      <c r="I389" s="15"/>
      <c r="J389" s="15"/>
    </row>
    <row r="390" spans="2:10" x14ac:dyDescent="0.35">
      <c r="B390" s="15"/>
      <c r="C390" s="15"/>
      <c r="D390" s="15"/>
      <c r="E390" s="15"/>
      <c r="F390" s="15"/>
      <c r="G390" s="15"/>
      <c r="H390" s="15"/>
      <c r="I390" s="15"/>
      <c r="J390" s="15"/>
    </row>
    <row r="391" spans="2:10" x14ac:dyDescent="0.35">
      <c r="B391" s="15"/>
      <c r="C391" s="15"/>
      <c r="D391" s="15"/>
      <c r="E391" s="15"/>
      <c r="F391" s="15"/>
      <c r="G391" s="15"/>
      <c r="H391" s="15"/>
      <c r="I391" s="15"/>
      <c r="J391" s="15"/>
    </row>
    <row r="392" spans="2:10" x14ac:dyDescent="0.35">
      <c r="B392" s="15"/>
      <c r="C392" s="15"/>
      <c r="D392" s="15"/>
      <c r="E392" s="15"/>
      <c r="F392" s="15"/>
      <c r="G392" s="15"/>
      <c r="H392" s="15"/>
      <c r="I392" s="15"/>
      <c r="J392" s="15"/>
    </row>
    <row r="393" spans="2:10" x14ac:dyDescent="0.35">
      <c r="B393" s="15"/>
      <c r="C393" s="15"/>
      <c r="D393" s="15"/>
      <c r="E393" s="15"/>
      <c r="F393" s="15"/>
      <c r="G393" s="15"/>
      <c r="H393" s="15"/>
      <c r="I393" s="15"/>
      <c r="J393" s="15"/>
    </row>
    <row r="394" spans="2:10" x14ac:dyDescent="0.35">
      <c r="B394" s="15"/>
      <c r="C394" s="15"/>
      <c r="D394" s="15"/>
      <c r="E394" s="15"/>
      <c r="F394" s="15"/>
      <c r="G394" s="15"/>
      <c r="H394" s="15"/>
      <c r="I394" s="15"/>
      <c r="J394" s="15"/>
    </row>
    <row r="395" spans="2:10" x14ac:dyDescent="0.35">
      <c r="B395" s="15"/>
      <c r="C395" s="15"/>
      <c r="D395" s="15"/>
      <c r="E395" s="15"/>
      <c r="F395" s="15"/>
      <c r="G395" s="15"/>
      <c r="H395" s="15"/>
      <c r="I395" s="15"/>
      <c r="J395" s="15"/>
    </row>
    <row r="396" spans="2:10" x14ac:dyDescent="0.35">
      <c r="B396" s="15"/>
      <c r="C396" s="15"/>
      <c r="D396" s="15"/>
      <c r="E396" s="15"/>
      <c r="F396" s="15"/>
      <c r="G396" s="15"/>
      <c r="H396" s="15"/>
      <c r="I396" s="15"/>
      <c r="J396" s="15"/>
    </row>
    <row r="397" spans="2:10" x14ac:dyDescent="0.35">
      <c r="B397" s="15"/>
      <c r="C397" s="15"/>
      <c r="D397" s="15"/>
      <c r="E397" s="15"/>
      <c r="F397" s="15"/>
      <c r="G397" s="15"/>
      <c r="H397" s="15"/>
      <c r="I397" s="15"/>
      <c r="J397" s="15"/>
    </row>
    <row r="398" spans="2:10" x14ac:dyDescent="0.35">
      <c r="B398" s="15"/>
      <c r="C398" s="15"/>
      <c r="D398" s="15"/>
      <c r="E398" s="15"/>
      <c r="F398" s="15"/>
      <c r="G398" s="15"/>
      <c r="H398" s="15"/>
      <c r="I398" s="15"/>
      <c r="J398" s="15"/>
    </row>
    <row r="399" spans="2:10" x14ac:dyDescent="0.35">
      <c r="B399" s="15"/>
      <c r="C399" s="15"/>
      <c r="D399" s="15"/>
      <c r="E399" s="15"/>
      <c r="F399" s="15"/>
      <c r="G399" s="15"/>
      <c r="H399" s="15"/>
      <c r="I399" s="15"/>
      <c r="J399" s="15"/>
    </row>
    <row r="400" spans="2:10" x14ac:dyDescent="0.35">
      <c r="B400" s="15"/>
      <c r="C400" s="15"/>
      <c r="D400" s="15"/>
      <c r="E400" s="15"/>
      <c r="F400" s="15"/>
      <c r="G400" s="15"/>
      <c r="H400" s="15"/>
      <c r="I400" s="15"/>
      <c r="J400" s="15"/>
    </row>
    <row r="401" spans="2:10" x14ac:dyDescent="0.35">
      <c r="B401" s="15"/>
      <c r="C401" s="15"/>
      <c r="D401" s="15"/>
      <c r="E401" s="15"/>
      <c r="F401" s="15"/>
      <c r="G401" s="15"/>
      <c r="H401" s="15"/>
      <c r="I401" s="15"/>
      <c r="J401" s="15"/>
    </row>
    <row r="402" spans="2:10" x14ac:dyDescent="0.35">
      <c r="B402" s="15"/>
      <c r="C402" s="15"/>
      <c r="D402" s="15"/>
      <c r="E402" s="15"/>
      <c r="F402" s="15"/>
      <c r="G402" s="15"/>
      <c r="H402" s="15"/>
      <c r="I402" s="15"/>
      <c r="J402" s="15"/>
    </row>
    <row r="403" spans="2:10" x14ac:dyDescent="0.35">
      <c r="B403" s="15"/>
      <c r="C403" s="15"/>
      <c r="D403" s="15"/>
      <c r="E403" s="15"/>
      <c r="F403" s="15"/>
      <c r="G403" s="15"/>
      <c r="H403" s="15"/>
      <c r="I403" s="15"/>
      <c r="J403" s="15"/>
    </row>
    <row r="404" spans="2:10" x14ac:dyDescent="0.35">
      <c r="B404" s="15"/>
      <c r="C404" s="15"/>
      <c r="D404" s="15"/>
      <c r="E404" s="15"/>
      <c r="F404" s="15"/>
      <c r="G404" s="15"/>
      <c r="H404" s="15"/>
      <c r="I404" s="15"/>
      <c r="J404" s="15"/>
    </row>
    <row r="405" spans="2:10" x14ac:dyDescent="0.35">
      <c r="B405" s="15"/>
      <c r="C405" s="15"/>
      <c r="D405" s="15"/>
      <c r="E405" s="15"/>
      <c r="F405" s="15"/>
      <c r="G405" s="15"/>
      <c r="H405" s="15"/>
      <c r="I405" s="15"/>
      <c r="J405" s="15"/>
    </row>
    <row r="406" spans="2:10" x14ac:dyDescent="0.35">
      <c r="B406" s="15"/>
      <c r="C406" s="15"/>
      <c r="D406" s="15"/>
      <c r="E406" s="15"/>
      <c r="F406" s="15"/>
      <c r="G406" s="15"/>
      <c r="H406" s="15"/>
      <c r="I406" s="15"/>
      <c r="J406" s="15"/>
    </row>
    <row r="407" spans="2:10" x14ac:dyDescent="0.35">
      <c r="B407" s="15"/>
      <c r="C407" s="15"/>
      <c r="D407" s="15"/>
      <c r="E407" s="15"/>
      <c r="F407" s="15"/>
      <c r="G407" s="15"/>
      <c r="H407" s="15"/>
      <c r="I407" s="15"/>
      <c r="J407" s="15"/>
    </row>
    <row r="408" spans="2:10" x14ac:dyDescent="0.35">
      <c r="B408" s="15"/>
      <c r="C408" s="15"/>
      <c r="D408" s="15"/>
      <c r="E408" s="15"/>
      <c r="F408" s="15"/>
      <c r="G408" s="15"/>
      <c r="H408" s="15"/>
      <c r="I408" s="15"/>
      <c r="J408" s="15"/>
    </row>
    <row r="409" spans="2:10" x14ac:dyDescent="0.35">
      <c r="B409" s="15"/>
      <c r="C409" s="15"/>
      <c r="D409" s="15"/>
      <c r="E409" s="15"/>
      <c r="F409" s="15"/>
      <c r="G409" s="15"/>
      <c r="H409" s="15"/>
      <c r="I409" s="15"/>
      <c r="J409" s="15"/>
    </row>
    <row r="410" spans="2:10" x14ac:dyDescent="0.35">
      <c r="B410" s="15"/>
      <c r="C410" s="15"/>
      <c r="D410" s="15"/>
      <c r="E410" s="15"/>
      <c r="F410" s="15"/>
      <c r="G410" s="15"/>
      <c r="H410" s="15"/>
      <c r="I410" s="15"/>
      <c r="J410" s="15"/>
    </row>
    <row r="411" spans="2:10" x14ac:dyDescent="0.35">
      <c r="B411" s="15"/>
      <c r="C411" s="15"/>
      <c r="D411" s="15"/>
      <c r="E411" s="15"/>
      <c r="F411" s="15"/>
      <c r="G411" s="15"/>
      <c r="H411" s="15"/>
      <c r="I411" s="15"/>
      <c r="J411" s="15"/>
    </row>
    <row r="412" spans="2:10" x14ac:dyDescent="0.35">
      <c r="B412" s="15"/>
      <c r="C412" s="15"/>
      <c r="D412" s="15"/>
      <c r="E412" s="15"/>
      <c r="F412" s="15"/>
      <c r="G412" s="15"/>
      <c r="H412" s="15"/>
      <c r="I412" s="15"/>
      <c r="J412" s="15"/>
    </row>
    <row r="413" spans="2:10" x14ac:dyDescent="0.35">
      <c r="B413" s="15"/>
      <c r="C413" s="15"/>
      <c r="D413" s="15"/>
      <c r="E413" s="15"/>
      <c r="F413" s="15"/>
      <c r="G413" s="15"/>
      <c r="H413" s="15"/>
      <c r="I413" s="15"/>
      <c r="J413" s="15"/>
    </row>
    <row r="414" spans="2:10" x14ac:dyDescent="0.35">
      <c r="B414" s="15"/>
      <c r="C414" s="15"/>
      <c r="D414" s="15"/>
      <c r="E414" s="15"/>
      <c r="F414" s="15"/>
      <c r="G414" s="15"/>
      <c r="H414" s="15"/>
      <c r="I414" s="15"/>
      <c r="J414" s="15"/>
    </row>
    <row r="415" spans="2:10" x14ac:dyDescent="0.35">
      <c r="B415" s="15"/>
      <c r="C415" s="15"/>
      <c r="D415" s="15"/>
      <c r="E415" s="15"/>
      <c r="F415" s="15"/>
      <c r="G415" s="15"/>
      <c r="H415" s="15"/>
      <c r="I415" s="15"/>
      <c r="J415" s="15"/>
    </row>
    <row r="416" spans="2:10" x14ac:dyDescent="0.35">
      <c r="B416" s="15"/>
      <c r="C416" s="15"/>
      <c r="D416" s="15"/>
      <c r="E416" s="15"/>
      <c r="F416" s="15"/>
      <c r="G416" s="15"/>
      <c r="H416" s="15"/>
      <c r="I416" s="15"/>
      <c r="J416" s="15"/>
    </row>
    <row r="417" spans="2:10" x14ac:dyDescent="0.35">
      <c r="B417" s="15"/>
      <c r="C417" s="15"/>
      <c r="D417" s="15"/>
      <c r="E417" s="15"/>
      <c r="F417" s="15"/>
      <c r="G417" s="15"/>
      <c r="H417" s="15"/>
      <c r="I417" s="15"/>
      <c r="J417" s="15"/>
    </row>
    <row r="418" spans="2:10" x14ac:dyDescent="0.35">
      <c r="B418" s="15"/>
      <c r="C418" s="15"/>
      <c r="D418" s="15"/>
      <c r="E418" s="15"/>
      <c r="F418" s="15"/>
      <c r="G418" s="15"/>
      <c r="H418" s="15"/>
      <c r="I418" s="15"/>
      <c r="J418" s="15"/>
    </row>
    <row r="419" spans="2:10" x14ac:dyDescent="0.35">
      <c r="B419" s="15"/>
      <c r="C419" s="15"/>
      <c r="D419" s="15"/>
      <c r="E419" s="15"/>
      <c r="F419" s="15"/>
      <c r="G419" s="15"/>
      <c r="H419" s="15"/>
      <c r="I419" s="15"/>
      <c r="J419" s="15"/>
    </row>
    <row r="420" spans="2:10" x14ac:dyDescent="0.35">
      <c r="B420" s="15"/>
      <c r="C420" s="15"/>
      <c r="D420" s="15"/>
      <c r="E420" s="15"/>
      <c r="F420" s="15"/>
      <c r="G420" s="15"/>
      <c r="H420" s="15"/>
      <c r="I420" s="15"/>
      <c r="J420" s="15"/>
    </row>
    <row r="421" spans="2:10" x14ac:dyDescent="0.35">
      <c r="B421" s="15"/>
      <c r="C421" s="15"/>
      <c r="D421" s="15"/>
      <c r="E421" s="15"/>
      <c r="F421" s="15"/>
      <c r="G421" s="15"/>
      <c r="H421" s="15"/>
      <c r="I421" s="15"/>
      <c r="J421" s="15"/>
    </row>
    <row r="422" spans="2:10" x14ac:dyDescent="0.35">
      <c r="B422" s="15"/>
      <c r="C422" s="15"/>
      <c r="D422" s="15"/>
      <c r="E422" s="15"/>
      <c r="F422" s="15"/>
      <c r="G422" s="15"/>
      <c r="H422" s="15"/>
      <c r="I422" s="15"/>
      <c r="J422" s="15"/>
    </row>
    <row r="423" spans="2:10" x14ac:dyDescent="0.35">
      <c r="B423" s="15"/>
      <c r="C423" s="15"/>
      <c r="D423" s="15"/>
      <c r="E423" s="15"/>
      <c r="F423" s="15"/>
      <c r="G423" s="15"/>
      <c r="H423" s="15"/>
      <c r="I423" s="15"/>
      <c r="J423" s="15"/>
    </row>
    <row r="424" spans="2:10" x14ac:dyDescent="0.35">
      <c r="B424" s="15"/>
      <c r="C424" s="15"/>
      <c r="D424" s="15"/>
      <c r="E424" s="15"/>
      <c r="F424" s="15"/>
      <c r="G424" s="15"/>
      <c r="H424" s="15"/>
      <c r="I424" s="15"/>
      <c r="J424" s="15"/>
    </row>
    <row r="425" spans="2:10" x14ac:dyDescent="0.35">
      <c r="B425" s="15"/>
      <c r="C425" s="15"/>
      <c r="D425" s="15"/>
      <c r="E425" s="15"/>
      <c r="F425" s="15"/>
      <c r="G425" s="15"/>
      <c r="H425" s="15"/>
      <c r="I425" s="15"/>
      <c r="J425" s="15"/>
    </row>
    <row r="426" spans="2:10" x14ac:dyDescent="0.35">
      <c r="B426" s="15"/>
      <c r="C426" s="15"/>
      <c r="D426" s="15"/>
      <c r="E426" s="15"/>
      <c r="F426" s="15"/>
      <c r="G426" s="15"/>
      <c r="H426" s="15"/>
      <c r="I426" s="15"/>
      <c r="J426" s="15"/>
    </row>
    <row r="427" spans="2:10" x14ac:dyDescent="0.35">
      <c r="B427" s="15"/>
      <c r="C427" s="15"/>
      <c r="D427" s="15"/>
      <c r="E427" s="15"/>
      <c r="F427" s="15"/>
      <c r="G427" s="15"/>
      <c r="H427" s="15"/>
      <c r="I427" s="15"/>
      <c r="J427" s="15"/>
    </row>
    <row r="428" spans="2:10" x14ac:dyDescent="0.35">
      <c r="B428" s="15"/>
      <c r="C428" s="15"/>
      <c r="D428" s="15"/>
      <c r="E428" s="15"/>
      <c r="F428" s="15"/>
      <c r="G428" s="15"/>
      <c r="H428" s="15"/>
      <c r="I428" s="15"/>
      <c r="J428" s="15"/>
    </row>
    <row r="429" spans="2:10" x14ac:dyDescent="0.35">
      <c r="B429" s="15"/>
      <c r="C429" s="15"/>
      <c r="D429" s="15"/>
      <c r="E429" s="15"/>
      <c r="F429" s="15"/>
      <c r="G429" s="15"/>
      <c r="H429" s="15"/>
      <c r="I429" s="15"/>
      <c r="J429" s="15"/>
    </row>
    <row r="430" spans="2:10" x14ac:dyDescent="0.35">
      <c r="B430" s="15"/>
      <c r="C430" s="15"/>
      <c r="D430" s="15"/>
      <c r="E430" s="15"/>
      <c r="F430" s="15"/>
      <c r="G430" s="15"/>
      <c r="H430" s="15"/>
      <c r="I430" s="15"/>
      <c r="J430" s="15"/>
    </row>
    <row r="431" spans="2:10" x14ac:dyDescent="0.35">
      <c r="B431" s="15"/>
      <c r="C431" s="15"/>
      <c r="D431" s="15"/>
      <c r="E431" s="15"/>
      <c r="F431" s="15"/>
      <c r="G431" s="15"/>
      <c r="H431" s="15"/>
      <c r="I431" s="15"/>
      <c r="J431" s="15"/>
    </row>
    <row r="432" spans="2:10" x14ac:dyDescent="0.35">
      <c r="B432" s="15"/>
      <c r="C432" s="15"/>
      <c r="D432" s="15"/>
      <c r="E432" s="15"/>
      <c r="F432" s="15"/>
      <c r="G432" s="15"/>
      <c r="H432" s="15"/>
      <c r="I432" s="15"/>
      <c r="J432" s="15"/>
    </row>
    <row r="433" spans="2:10" x14ac:dyDescent="0.35">
      <c r="B433" s="15"/>
      <c r="C433" s="15"/>
      <c r="D433" s="15"/>
      <c r="E433" s="15"/>
      <c r="F433" s="15"/>
      <c r="G433" s="15"/>
      <c r="H433" s="15"/>
      <c r="I433" s="15"/>
      <c r="J433" s="15"/>
    </row>
    <row r="434" spans="2:10" x14ac:dyDescent="0.35">
      <c r="B434" s="15"/>
      <c r="C434" s="15"/>
      <c r="D434" s="15"/>
      <c r="E434" s="15"/>
      <c r="F434" s="15"/>
      <c r="G434" s="15"/>
      <c r="H434" s="15"/>
      <c r="I434" s="15"/>
      <c r="J434" s="15"/>
    </row>
    <row r="435" spans="2:10" x14ac:dyDescent="0.35">
      <c r="B435" s="15"/>
      <c r="C435" s="15"/>
      <c r="D435" s="15"/>
      <c r="E435" s="15"/>
      <c r="F435" s="15"/>
      <c r="G435" s="15"/>
      <c r="H435" s="15"/>
      <c r="I435" s="15"/>
      <c r="J435" s="15"/>
    </row>
    <row r="436" spans="2:10" x14ac:dyDescent="0.35">
      <c r="B436" s="15"/>
      <c r="C436" s="15"/>
      <c r="D436" s="15"/>
      <c r="E436" s="15"/>
      <c r="F436" s="15"/>
      <c r="G436" s="15"/>
      <c r="H436" s="15"/>
      <c r="I436" s="15"/>
      <c r="J436" s="15"/>
    </row>
    <row r="437" spans="2:10" x14ac:dyDescent="0.35">
      <c r="B437" s="15"/>
      <c r="C437" s="15"/>
      <c r="D437" s="15"/>
      <c r="E437" s="15"/>
      <c r="F437" s="15"/>
      <c r="G437" s="15"/>
      <c r="H437" s="15"/>
      <c r="I437" s="15"/>
      <c r="J437" s="15"/>
    </row>
    <row r="438" spans="2:10" x14ac:dyDescent="0.35">
      <c r="B438" s="15"/>
      <c r="C438" s="15"/>
      <c r="D438" s="15"/>
      <c r="E438" s="15"/>
      <c r="F438" s="15"/>
      <c r="G438" s="15"/>
      <c r="H438" s="15"/>
      <c r="I438" s="15"/>
      <c r="J438" s="15"/>
    </row>
    <row r="439" spans="2:10" x14ac:dyDescent="0.35">
      <c r="B439" s="15"/>
      <c r="C439" s="15"/>
      <c r="D439" s="15"/>
      <c r="E439" s="15"/>
      <c r="F439" s="15"/>
      <c r="G439" s="15"/>
      <c r="H439" s="15"/>
      <c r="I439" s="15"/>
      <c r="J439" s="15"/>
    </row>
    <row r="440" spans="2:10" x14ac:dyDescent="0.35">
      <c r="B440" s="15"/>
      <c r="C440" s="15"/>
      <c r="D440" s="15"/>
      <c r="E440" s="15"/>
      <c r="F440" s="15"/>
      <c r="G440" s="15"/>
      <c r="H440" s="15"/>
      <c r="I440" s="15"/>
      <c r="J440" s="15"/>
    </row>
    <row r="441" spans="2:10" x14ac:dyDescent="0.35">
      <c r="B441" s="15"/>
      <c r="C441" s="15"/>
      <c r="D441" s="15"/>
      <c r="E441" s="15"/>
      <c r="F441" s="15"/>
      <c r="G441" s="15"/>
      <c r="H441" s="15"/>
      <c r="I441" s="15"/>
      <c r="J441" s="15"/>
    </row>
    <row r="442" spans="2:10" x14ac:dyDescent="0.35">
      <c r="B442" s="15"/>
      <c r="C442" s="15"/>
      <c r="D442" s="15"/>
      <c r="E442" s="15"/>
      <c r="F442" s="15"/>
      <c r="G442" s="15"/>
      <c r="H442" s="15"/>
      <c r="I442" s="15"/>
      <c r="J442" s="15"/>
    </row>
    <row r="443" spans="2:10" x14ac:dyDescent="0.35">
      <c r="B443" s="15"/>
      <c r="C443" s="15"/>
      <c r="D443" s="15"/>
      <c r="E443" s="15"/>
      <c r="F443" s="15"/>
      <c r="G443" s="15"/>
      <c r="H443" s="15"/>
      <c r="I443" s="15"/>
      <c r="J443" s="15"/>
    </row>
    <row r="444" spans="2:10" x14ac:dyDescent="0.35">
      <c r="B444" s="15"/>
      <c r="C444" s="15"/>
      <c r="D444" s="15"/>
      <c r="E444" s="15"/>
      <c r="F444" s="15"/>
      <c r="G444" s="15"/>
      <c r="H444" s="15"/>
      <c r="I444" s="15"/>
      <c r="J444" s="15"/>
    </row>
    <row r="445" spans="2:10" x14ac:dyDescent="0.35">
      <c r="B445" s="15"/>
      <c r="C445" s="15"/>
      <c r="D445" s="15"/>
      <c r="E445" s="15"/>
      <c r="F445" s="15"/>
      <c r="G445" s="15"/>
      <c r="H445" s="15"/>
      <c r="I445" s="15"/>
      <c r="J445" s="15"/>
    </row>
    <row r="446" spans="2:10" x14ac:dyDescent="0.35">
      <c r="B446" s="15"/>
      <c r="C446" s="15"/>
      <c r="D446" s="15"/>
      <c r="E446" s="15"/>
      <c r="F446" s="15"/>
      <c r="G446" s="15"/>
      <c r="H446" s="15"/>
      <c r="I446" s="15"/>
      <c r="J446" s="15"/>
    </row>
    <row r="447" spans="2:10" x14ac:dyDescent="0.35">
      <c r="B447" s="15"/>
      <c r="C447" s="15"/>
      <c r="D447" s="15"/>
      <c r="E447" s="15"/>
      <c r="F447" s="15"/>
      <c r="G447" s="15"/>
      <c r="H447" s="15"/>
      <c r="I447" s="15"/>
      <c r="J447" s="15"/>
    </row>
    <row r="448" spans="2:10" x14ac:dyDescent="0.35">
      <c r="B448" s="15"/>
      <c r="C448" s="15"/>
      <c r="D448" s="15"/>
      <c r="E448" s="15"/>
      <c r="F448" s="15"/>
      <c r="G448" s="15"/>
      <c r="H448" s="15"/>
      <c r="I448" s="15"/>
      <c r="J448" s="15"/>
    </row>
    <row r="449" spans="2:10" x14ac:dyDescent="0.35">
      <c r="B449" s="15"/>
      <c r="C449" s="15"/>
      <c r="D449" s="15"/>
      <c r="E449" s="15"/>
      <c r="F449" s="15"/>
      <c r="G449" s="15"/>
      <c r="H449" s="15"/>
      <c r="I449" s="15"/>
      <c r="J449" s="15"/>
    </row>
    <row r="450" spans="2:10" x14ac:dyDescent="0.35">
      <c r="B450" s="15"/>
      <c r="C450" s="15"/>
      <c r="D450" s="15"/>
      <c r="E450" s="15"/>
      <c r="F450" s="15"/>
      <c r="G450" s="15"/>
      <c r="H450" s="15"/>
      <c r="I450" s="15"/>
      <c r="J450" s="15"/>
    </row>
    <row r="451" spans="2:10" x14ac:dyDescent="0.35">
      <c r="B451" s="15"/>
      <c r="C451" s="15"/>
      <c r="D451" s="15"/>
      <c r="E451" s="15"/>
      <c r="F451" s="15"/>
      <c r="G451" s="15"/>
      <c r="H451" s="15"/>
      <c r="I451" s="15"/>
      <c r="J451" s="15"/>
    </row>
    <row r="452" spans="2:10" x14ac:dyDescent="0.35">
      <c r="B452" s="15"/>
      <c r="C452" s="15"/>
      <c r="D452" s="15"/>
      <c r="E452" s="15"/>
      <c r="F452" s="15"/>
      <c r="G452" s="15"/>
      <c r="H452" s="15"/>
      <c r="I452" s="15"/>
      <c r="J452" s="15"/>
    </row>
    <row r="453" spans="2:10" x14ac:dyDescent="0.35">
      <c r="B453" s="15"/>
      <c r="C453" s="15"/>
      <c r="D453" s="15"/>
      <c r="E453" s="15"/>
      <c r="F453" s="15"/>
      <c r="G453" s="15"/>
      <c r="H453" s="15"/>
      <c r="I453" s="15"/>
      <c r="J453" s="15"/>
    </row>
    <row r="454" spans="2:10" x14ac:dyDescent="0.35">
      <c r="B454" s="15"/>
      <c r="C454" s="15"/>
      <c r="D454" s="15"/>
      <c r="E454" s="15"/>
      <c r="F454" s="15"/>
      <c r="G454" s="15"/>
      <c r="H454" s="15"/>
      <c r="I454" s="15"/>
      <c r="J454" s="15"/>
    </row>
    <row r="455" spans="2:10" x14ac:dyDescent="0.35">
      <c r="B455" s="15"/>
      <c r="C455" s="15"/>
      <c r="D455" s="15"/>
      <c r="E455" s="15"/>
      <c r="F455" s="15"/>
      <c r="G455" s="15"/>
      <c r="H455" s="15"/>
      <c r="I455" s="15"/>
      <c r="J455" s="15"/>
    </row>
    <row r="456" spans="2:10" x14ac:dyDescent="0.35">
      <c r="B456" s="15"/>
      <c r="C456" s="15"/>
      <c r="D456" s="15"/>
      <c r="E456" s="15"/>
      <c r="F456" s="15"/>
      <c r="G456" s="15"/>
      <c r="H456" s="15"/>
      <c r="I456" s="15"/>
      <c r="J456" s="15"/>
    </row>
    <row r="457" spans="2:10" x14ac:dyDescent="0.35">
      <c r="B457" s="15"/>
      <c r="C457" s="15"/>
      <c r="D457" s="15"/>
      <c r="E457" s="15"/>
      <c r="F457" s="15"/>
      <c r="G457" s="15"/>
      <c r="H457" s="15"/>
      <c r="I457" s="15"/>
      <c r="J457" s="15"/>
    </row>
    <row r="458" spans="2:10" x14ac:dyDescent="0.35">
      <c r="B458" s="15"/>
      <c r="C458" s="15"/>
      <c r="D458" s="15"/>
      <c r="E458" s="15"/>
      <c r="F458" s="15"/>
      <c r="G458" s="15"/>
      <c r="H458" s="15"/>
      <c r="I458" s="15"/>
      <c r="J458" s="15"/>
    </row>
    <row r="459" spans="2:10" x14ac:dyDescent="0.35">
      <c r="B459" s="15"/>
      <c r="C459" s="15"/>
      <c r="D459" s="15"/>
      <c r="E459" s="15"/>
      <c r="F459" s="15"/>
      <c r="G459" s="15"/>
      <c r="H459" s="15"/>
      <c r="I459" s="15"/>
      <c r="J459" s="15"/>
    </row>
    <row r="460" spans="2:10" x14ac:dyDescent="0.35">
      <c r="B460" s="15"/>
      <c r="C460" s="15"/>
      <c r="D460" s="15"/>
      <c r="E460" s="15"/>
      <c r="F460" s="15"/>
      <c r="G460" s="15"/>
      <c r="H460" s="15"/>
      <c r="I460" s="15"/>
      <c r="J460" s="15"/>
    </row>
    <row r="461" spans="2:10" x14ac:dyDescent="0.35">
      <c r="B461" s="15"/>
      <c r="C461" s="15"/>
      <c r="D461" s="15"/>
      <c r="E461" s="15"/>
      <c r="F461" s="15"/>
      <c r="G461" s="15"/>
      <c r="H461" s="15"/>
      <c r="I461" s="15"/>
      <c r="J461" s="15"/>
    </row>
    <row r="462" spans="2:10" x14ac:dyDescent="0.35">
      <c r="B462" s="15"/>
      <c r="C462" s="15"/>
      <c r="D462" s="15"/>
      <c r="E462" s="15"/>
      <c r="F462" s="15"/>
      <c r="G462" s="15"/>
      <c r="H462" s="15"/>
      <c r="I462" s="15"/>
      <c r="J462" s="15"/>
    </row>
    <row r="463" spans="2:10" x14ac:dyDescent="0.35">
      <c r="B463" s="15"/>
      <c r="C463" s="15"/>
      <c r="D463" s="15"/>
      <c r="E463" s="15"/>
      <c r="F463" s="15"/>
      <c r="G463" s="15"/>
      <c r="H463" s="15"/>
      <c r="I463" s="15"/>
      <c r="J463" s="15"/>
    </row>
    <row r="464" spans="2:10" x14ac:dyDescent="0.35">
      <c r="B464" s="15"/>
      <c r="C464" s="15"/>
      <c r="D464" s="15"/>
      <c r="E464" s="15"/>
      <c r="F464" s="15"/>
      <c r="G464" s="15"/>
      <c r="H464" s="15"/>
      <c r="I464" s="15"/>
      <c r="J464" s="15"/>
    </row>
    <row r="465" spans="2:10" x14ac:dyDescent="0.35">
      <c r="B465" s="15"/>
      <c r="C465" s="15"/>
      <c r="D465" s="15"/>
      <c r="E465" s="15"/>
      <c r="F465" s="15"/>
      <c r="G465" s="15"/>
      <c r="H465" s="15"/>
      <c r="I465" s="15"/>
      <c r="J465" s="15"/>
    </row>
    <row r="466" spans="2:10" x14ac:dyDescent="0.35">
      <c r="B466" s="15"/>
      <c r="C466" s="15"/>
      <c r="D466" s="15"/>
      <c r="E466" s="15"/>
      <c r="F466" s="15"/>
      <c r="G466" s="15"/>
      <c r="H466" s="15"/>
      <c r="I466" s="15"/>
      <c r="J466" s="15"/>
    </row>
    <row r="467" spans="2:10" x14ac:dyDescent="0.35">
      <c r="B467" s="15"/>
      <c r="C467" s="15"/>
      <c r="D467" s="15"/>
      <c r="E467" s="15"/>
      <c r="F467" s="15"/>
      <c r="G467" s="15"/>
      <c r="H467" s="15"/>
      <c r="I467" s="15"/>
      <c r="J467" s="15"/>
    </row>
    <row r="468" spans="2:10" x14ac:dyDescent="0.35">
      <c r="B468" s="15"/>
      <c r="C468" s="15"/>
      <c r="D468" s="15"/>
      <c r="E468" s="15"/>
      <c r="F468" s="15"/>
      <c r="G468" s="15"/>
      <c r="H468" s="15"/>
      <c r="I468" s="15"/>
      <c r="J468" s="15"/>
    </row>
    <row r="469" spans="2:10" x14ac:dyDescent="0.35">
      <c r="B469" s="15"/>
      <c r="C469" s="15"/>
      <c r="D469" s="15"/>
      <c r="E469" s="15"/>
      <c r="F469" s="15"/>
      <c r="G469" s="15"/>
      <c r="H469" s="15"/>
      <c r="I469" s="15"/>
      <c r="J469" s="15"/>
    </row>
    <row r="470" spans="2:10" x14ac:dyDescent="0.35">
      <c r="B470" s="15"/>
      <c r="C470" s="15"/>
      <c r="D470" s="15"/>
      <c r="E470" s="15"/>
      <c r="F470" s="15"/>
      <c r="G470" s="15"/>
      <c r="H470" s="15"/>
      <c r="I470" s="15"/>
      <c r="J470" s="15"/>
    </row>
    <row r="471" spans="2:10" x14ac:dyDescent="0.35">
      <c r="B471" s="15"/>
      <c r="C471" s="15"/>
      <c r="D471" s="15"/>
      <c r="E471" s="15"/>
      <c r="F471" s="15"/>
      <c r="G471" s="15"/>
      <c r="H471" s="15"/>
      <c r="I471" s="15"/>
      <c r="J471" s="15"/>
    </row>
    <row r="472" spans="2:10" x14ac:dyDescent="0.35">
      <c r="B472" s="15"/>
      <c r="C472" s="15"/>
      <c r="D472" s="15"/>
      <c r="E472" s="15"/>
      <c r="F472" s="15"/>
      <c r="G472" s="15"/>
      <c r="H472" s="15"/>
      <c r="I472" s="15"/>
      <c r="J472" s="15"/>
    </row>
    <row r="473" spans="2:10" x14ac:dyDescent="0.35">
      <c r="B473" s="15"/>
      <c r="C473" s="15"/>
      <c r="D473" s="15"/>
      <c r="E473" s="15"/>
      <c r="F473" s="15"/>
      <c r="G473" s="15"/>
      <c r="H473" s="15"/>
      <c r="I473" s="15"/>
      <c r="J473" s="15"/>
    </row>
    <row r="474" spans="2:10" x14ac:dyDescent="0.35">
      <c r="B474" s="15"/>
      <c r="C474" s="15"/>
      <c r="D474" s="15"/>
      <c r="E474" s="15"/>
      <c r="F474" s="15"/>
      <c r="G474" s="15"/>
      <c r="H474" s="15"/>
      <c r="I474" s="15"/>
      <c r="J474" s="15"/>
    </row>
    <row r="475" spans="2:10" x14ac:dyDescent="0.35">
      <c r="B475" s="15"/>
      <c r="C475" s="15"/>
      <c r="D475" s="15"/>
      <c r="E475" s="15"/>
      <c r="F475" s="15"/>
      <c r="G475" s="15"/>
      <c r="H475" s="15"/>
      <c r="I475" s="15"/>
      <c r="J475" s="15"/>
    </row>
    <row r="476" spans="2:10" x14ac:dyDescent="0.35">
      <c r="B476" s="15"/>
      <c r="C476" s="15"/>
      <c r="D476" s="15"/>
      <c r="E476" s="15"/>
      <c r="F476" s="15"/>
      <c r="G476" s="15"/>
      <c r="H476" s="15"/>
      <c r="I476" s="15"/>
      <c r="J476" s="15"/>
    </row>
    <row r="477" spans="2:10" x14ac:dyDescent="0.35">
      <c r="B477" s="15"/>
      <c r="C477" s="15"/>
      <c r="D477" s="15"/>
      <c r="E477" s="15"/>
      <c r="F477" s="15"/>
      <c r="G477" s="15"/>
      <c r="H477" s="15"/>
      <c r="I477" s="15"/>
      <c r="J477" s="15"/>
    </row>
    <row r="478" spans="2:10" x14ac:dyDescent="0.35">
      <c r="B478" s="15"/>
      <c r="C478" s="15"/>
      <c r="D478" s="15"/>
      <c r="E478" s="15"/>
      <c r="F478" s="15"/>
      <c r="G478" s="15"/>
      <c r="H478" s="15"/>
      <c r="I478" s="15"/>
      <c r="J478" s="15"/>
    </row>
    <row r="479" spans="2:10" x14ac:dyDescent="0.35">
      <c r="B479" s="15"/>
      <c r="C479" s="15"/>
      <c r="D479" s="15"/>
      <c r="E479" s="15"/>
      <c r="F479" s="15"/>
      <c r="G479" s="15"/>
      <c r="H479" s="15"/>
      <c r="I479" s="15"/>
      <c r="J479" s="15"/>
    </row>
    <row r="480" spans="2:10" x14ac:dyDescent="0.35">
      <c r="B480" s="15"/>
      <c r="C480" s="15"/>
      <c r="D480" s="15"/>
      <c r="E480" s="15"/>
      <c r="F480" s="15"/>
      <c r="G480" s="15"/>
      <c r="H480" s="15"/>
      <c r="I480" s="15"/>
      <c r="J480" s="15"/>
    </row>
    <row r="481" spans="2:10" x14ac:dyDescent="0.35">
      <c r="B481" s="15"/>
      <c r="C481" s="15"/>
      <c r="D481" s="15"/>
      <c r="E481" s="15"/>
      <c r="F481" s="15"/>
      <c r="G481" s="15"/>
      <c r="H481" s="15"/>
      <c r="I481" s="15"/>
      <c r="J481" s="15"/>
    </row>
    <row r="482" spans="2:10" x14ac:dyDescent="0.35">
      <c r="B482" s="15"/>
      <c r="C482" s="15"/>
      <c r="D482" s="15"/>
      <c r="E482" s="15"/>
      <c r="F482" s="15"/>
      <c r="G482" s="15"/>
      <c r="H482" s="15"/>
      <c r="I482" s="15"/>
      <c r="J482" s="15"/>
    </row>
    <row r="483" spans="2:10" x14ac:dyDescent="0.35">
      <c r="B483" s="15"/>
      <c r="C483" s="15"/>
      <c r="D483" s="15"/>
      <c r="E483" s="15"/>
      <c r="F483" s="15"/>
      <c r="G483" s="15"/>
      <c r="H483" s="15"/>
      <c r="I483" s="15"/>
      <c r="J483" s="15"/>
    </row>
    <row r="484" spans="2:10" x14ac:dyDescent="0.35">
      <c r="B484" s="15"/>
      <c r="C484" s="15"/>
      <c r="D484" s="15"/>
      <c r="E484" s="15"/>
      <c r="F484" s="15"/>
      <c r="G484" s="15"/>
      <c r="H484" s="15"/>
      <c r="I484" s="15"/>
      <c r="J484" s="15"/>
    </row>
    <row r="485" spans="2:10" x14ac:dyDescent="0.35">
      <c r="B485" s="15"/>
      <c r="C485" s="15"/>
      <c r="D485" s="15"/>
      <c r="E485" s="15"/>
      <c r="F485" s="15"/>
      <c r="G485" s="15"/>
      <c r="H485" s="15"/>
      <c r="I485" s="15"/>
      <c r="J485" s="15"/>
    </row>
    <row r="486" spans="2:10" x14ac:dyDescent="0.35">
      <c r="B486" s="15"/>
      <c r="C486" s="15"/>
      <c r="D486" s="15"/>
      <c r="E486" s="15"/>
      <c r="F486" s="15"/>
      <c r="G486" s="15"/>
      <c r="H486" s="15"/>
      <c r="I486" s="15"/>
      <c r="J486" s="15"/>
    </row>
    <row r="487" spans="2:10" x14ac:dyDescent="0.35">
      <c r="B487" s="15"/>
      <c r="C487" s="15"/>
      <c r="D487" s="15"/>
      <c r="E487" s="15"/>
      <c r="F487" s="15"/>
      <c r="G487" s="15"/>
      <c r="H487" s="15"/>
      <c r="I487" s="15"/>
      <c r="J487" s="15"/>
    </row>
    <row r="488" spans="2:10" x14ac:dyDescent="0.35">
      <c r="B488" s="15"/>
      <c r="C488" s="15"/>
      <c r="D488" s="15"/>
      <c r="E488" s="15"/>
      <c r="F488" s="15"/>
      <c r="G488" s="15"/>
      <c r="H488" s="15"/>
      <c r="I488" s="15"/>
      <c r="J488" s="15"/>
    </row>
    <row r="489" spans="2:10" x14ac:dyDescent="0.35">
      <c r="B489" s="15"/>
      <c r="C489" s="15"/>
      <c r="D489" s="15"/>
      <c r="E489" s="15"/>
      <c r="F489" s="15"/>
      <c r="G489" s="15"/>
      <c r="H489" s="15"/>
      <c r="I489" s="15"/>
      <c r="J489" s="15"/>
    </row>
    <row r="490" spans="2:10" x14ac:dyDescent="0.35">
      <c r="B490" s="15"/>
      <c r="C490" s="15"/>
      <c r="D490" s="15"/>
      <c r="E490" s="15"/>
      <c r="F490" s="15"/>
      <c r="G490" s="15"/>
      <c r="H490" s="15"/>
      <c r="I490" s="15"/>
      <c r="J490" s="15"/>
    </row>
    <row r="491" spans="2:10" x14ac:dyDescent="0.35">
      <c r="B491" s="15"/>
      <c r="C491" s="15"/>
      <c r="D491" s="15"/>
      <c r="E491" s="15"/>
      <c r="F491" s="15"/>
      <c r="G491" s="15"/>
      <c r="H491" s="15"/>
      <c r="I491" s="15"/>
      <c r="J491" s="15"/>
    </row>
    <row r="492" spans="2:10" x14ac:dyDescent="0.35">
      <c r="B492" s="15"/>
      <c r="C492" s="15"/>
      <c r="D492" s="15"/>
      <c r="E492" s="15"/>
      <c r="F492" s="15"/>
      <c r="G492" s="15"/>
      <c r="H492" s="15"/>
      <c r="I492" s="15"/>
      <c r="J492" s="15"/>
    </row>
    <row r="493" spans="2:10" x14ac:dyDescent="0.35">
      <c r="B493" s="15"/>
      <c r="C493" s="15"/>
      <c r="D493" s="15"/>
      <c r="E493" s="15"/>
      <c r="F493" s="15"/>
      <c r="G493" s="15"/>
      <c r="H493" s="15"/>
      <c r="I493" s="15"/>
      <c r="J493" s="15"/>
    </row>
    <row r="494" spans="2:10" x14ac:dyDescent="0.35">
      <c r="B494" s="15"/>
      <c r="C494" s="15"/>
      <c r="D494" s="15"/>
      <c r="E494" s="15"/>
      <c r="F494" s="15"/>
      <c r="G494" s="15"/>
      <c r="H494" s="15"/>
      <c r="I494" s="15"/>
      <c r="J494" s="15"/>
    </row>
    <row r="495" spans="2:10" x14ac:dyDescent="0.35">
      <c r="B495" s="15"/>
      <c r="C495" s="15"/>
      <c r="D495" s="15"/>
      <c r="E495" s="15"/>
      <c r="F495" s="15"/>
      <c r="G495" s="15"/>
      <c r="H495" s="15"/>
      <c r="I495" s="15"/>
      <c r="J495" s="15"/>
    </row>
    <row r="496" spans="2:10" x14ac:dyDescent="0.35">
      <c r="B496" s="15"/>
      <c r="C496" s="15"/>
      <c r="D496" s="15"/>
      <c r="E496" s="15"/>
      <c r="F496" s="15"/>
      <c r="G496" s="15"/>
      <c r="H496" s="15"/>
      <c r="I496" s="15"/>
      <c r="J496" s="15"/>
    </row>
    <row r="497" spans="2:10" x14ac:dyDescent="0.35">
      <c r="B497" s="15"/>
      <c r="C497" s="15"/>
      <c r="D497" s="15"/>
      <c r="E497" s="15"/>
      <c r="F497" s="15"/>
      <c r="G497" s="15"/>
      <c r="H497" s="15"/>
      <c r="I497" s="15"/>
      <c r="J497" s="15"/>
    </row>
    <row r="498" spans="2:10" x14ac:dyDescent="0.35">
      <c r="B498" s="15"/>
      <c r="C498" s="15"/>
      <c r="D498" s="15"/>
      <c r="E498" s="15"/>
      <c r="F498" s="15"/>
      <c r="G498" s="15"/>
      <c r="H498" s="15"/>
      <c r="I498" s="15"/>
      <c r="J498" s="15"/>
    </row>
    <row r="499" spans="2:10" x14ac:dyDescent="0.35">
      <c r="B499" s="15"/>
      <c r="C499" s="15"/>
      <c r="D499" s="15"/>
      <c r="E499" s="15"/>
      <c r="F499" s="15"/>
      <c r="G499" s="15"/>
      <c r="H499" s="15"/>
      <c r="I499" s="15"/>
      <c r="J499" s="15"/>
    </row>
    <row r="500" spans="2:10" x14ac:dyDescent="0.35">
      <c r="B500" s="15"/>
      <c r="C500" s="15"/>
      <c r="D500" s="15"/>
      <c r="E500" s="15"/>
      <c r="F500" s="15"/>
      <c r="G500" s="15"/>
      <c r="H500" s="15"/>
      <c r="I500" s="15"/>
      <c r="J500" s="15"/>
    </row>
    <row r="501" spans="2:10" x14ac:dyDescent="0.35">
      <c r="B501" s="15"/>
      <c r="C501" s="15"/>
      <c r="D501" s="15"/>
      <c r="E501" s="15"/>
      <c r="F501" s="15"/>
      <c r="G501" s="15"/>
      <c r="H501" s="15"/>
      <c r="I501" s="15"/>
      <c r="J501" s="15"/>
    </row>
    <row r="502" spans="2:10" x14ac:dyDescent="0.35">
      <c r="B502" s="15"/>
      <c r="C502" s="15"/>
      <c r="D502" s="15"/>
      <c r="E502" s="15"/>
      <c r="F502" s="15"/>
      <c r="G502" s="15"/>
      <c r="H502" s="15"/>
      <c r="I502" s="15"/>
      <c r="J502" s="15"/>
    </row>
    <row r="503" spans="2:10" x14ac:dyDescent="0.35">
      <c r="B503" s="15"/>
      <c r="C503" s="15"/>
      <c r="D503" s="15"/>
      <c r="E503" s="15"/>
      <c r="F503" s="15"/>
      <c r="G503" s="15"/>
      <c r="H503" s="15"/>
      <c r="I503" s="15"/>
      <c r="J503" s="15"/>
    </row>
    <row r="504" spans="2:10" x14ac:dyDescent="0.35">
      <c r="B504" s="15"/>
      <c r="C504" s="15"/>
      <c r="D504" s="15"/>
      <c r="E504" s="15"/>
      <c r="F504" s="15"/>
      <c r="G504" s="15"/>
      <c r="H504" s="15"/>
      <c r="I504" s="15"/>
      <c r="J504" s="15"/>
    </row>
    <row r="505" spans="2:10" x14ac:dyDescent="0.35">
      <c r="B505" s="15"/>
      <c r="C505" s="15"/>
      <c r="D505" s="15"/>
      <c r="E505" s="15"/>
      <c r="F505" s="15"/>
      <c r="G505" s="15"/>
      <c r="H505" s="15"/>
      <c r="I505" s="15"/>
      <c r="J505" s="15"/>
    </row>
    <row r="506" spans="2:10" x14ac:dyDescent="0.35">
      <c r="B506" s="15"/>
      <c r="C506" s="15"/>
      <c r="D506" s="15"/>
      <c r="E506" s="15"/>
      <c r="F506" s="15"/>
      <c r="G506" s="15"/>
      <c r="H506" s="15"/>
      <c r="I506" s="15"/>
      <c r="J506" s="15"/>
    </row>
    <row r="507" spans="2:10" x14ac:dyDescent="0.35">
      <c r="B507" s="15"/>
      <c r="C507" s="15"/>
      <c r="D507" s="15"/>
      <c r="E507" s="15"/>
      <c r="F507" s="15"/>
      <c r="G507" s="15"/>
      <c r="H507" s="15"/>
      <c r="I507" s="15"/>
      <c r="J507" s="15"/>
    </row>
    <row r="508" spans="2:10" x14ac:dyDescent="0.35">
      <c r="B508" s="15"/>
      <c r="C508" s="15"/>
      <c r="D508" s="15"/>
      <c r="E508" s="15"/>
      <c r="F508" s="15"/>
      <c r="G508" s="15"/>
      <c r="H508" s="15"/>
      <c r="I508" s="15"/>
      <c r="J508" s="15"/>
    </row>
    <row r="509" spans="2:10" x14ac:dyDescent="0.35">
      <c r="B509" s="15"/>
      <c r="C509" s="15"/>
      <c r="D509" s="15"/>
      <c r="E509" s="15"/>
      <c r="F509" s="15"/>
      <c r="G509" s="15"/>
      <c r="H509" s="15"/>
      <c r="I509" s="15"/>
      <c r="J509" s="15"/>
    </row>
    <row r="510" spans="2:10" x14ac:dyDescent="0.35">
      <c r="B510" s="15"/>
      <c r="C510" s="15"/>
      <c r="D510" s="15"/>
      <c r="E510" s="15"/>
      <c r="F510" s="15"/>
      <c r="G510" s="15"/>
      <c r="H510" s="15"/>
      <c r="I510" s="15"/>
      <c r="J510" s="15"/>
    </row>
    <row r="511" spans="2:10" x14ac:dyDescent="0.35">
      <c r="B511" s="15"/>
      <c r="C511" s="15"/>
      <c r="D511" s="15"/>
      <c r="E511" s="15"/>
      <c r="F511" s="15"/>
      <c r="G511" s="15"/>
      <c r="H511" s="15"/>
      <c r="I511" s="15"/>
      <c r="J511" s="15"/>
    </row>
    <row r="512" spans="2:10" x14ac:dyDescent="0.35">
      <c r="B512" s="15"/>
      <c r="C512" s="15"/>
      <c r="D512" s="15"/>
      <c r="E512" s="15"/>
      <c r="F512" s="15"/>
      <c r="G512" s="15"/>
      <c r="H512" s="15"/>
      <c r="I512" s="15"/>
      <c r="J512" s="15"/>
    </row>
    <row r="513" spans="2:10" x14ac:dyDescent="0.35">
      <c r="B513" s="15"/>
      <c r="C513" s="15"/>
      <c r="D513" s="15"/>
      <c r="E513" s="15"/>
      <c r="F513" s="15"/>
      <c r="G513" s="15"/>
      <c r="H513" s="15"/>
      <c r="I513" s="15"/>
      <c r="J513" s="15"/>
    </row>
    <row r="514" spans="2:10" x14ac:dyDescent="0.35">
      <c r="B514" s="15"/>
      <c r="C514" s="15"/>
      <c r="D514" s="15"/>
      <c r="E514" s="15"/>
      <c r="F514" s="15"/>
      <c r="G514" s="15"/>
      <c r="H514" s="15"/>
      <c r="I514" s="15"/>
      <c r="J514" s="15"/>
    </row>
    <row r="515" spans="2:10" x14ac:dyDescent="0.35">
      <c r="B515" s="15"/>
      <c r="C515" s="15"/>
      <c r="D515" s="15"/>
      <c r="E515" s="15"/>
      <c r="F515" s="15"/>
      <c r="G515" s="15"/>
      <c r="H515" s="15"/>
      <c r="I515" s="15"/>
      <c r="J515" s="15"/>
    </row>
    <row r="516" spans="2:10" x14ac:dyDescent="0.35">
      <c r="B516" s="15"/>
      <c r="C516" s="15"/>
      <c r="D516" s="15"/>
      <c r="E516" s="15"/>
      <c r="F516" s="15"/>
      <c r="G516" s="15"/>
      <c r="H516" s="15"/>
      <c r="I516" s="15"/>
      <c r="J516" s="15"/>
    </row>
    <row r="517" spans="2:10" x14ac:dyDescent="0.35">
      <c r="B517" s="15"/>
      <c r="C517" s="15"/>
      <c r="D517" s="15"/>
      <c r="E517" s="15"/>
      <c r="F517" s="15"/>
      <c r="G517" s="15"/>
      <c r="H517" s="15"/>
      <c r="I517" s="15"/>
      <c r="J517" s="15"/>
    </row>
    <row r="518" spans="2:10" x14ac:dyDescent="0.35">
      <c r="B518" s="15"/>
      <c r="C518" s="15"/>
      <c r="D518" s="15"/>
      <c r="E518" s="15"/>
      <c r="F518" s="15"/>
      <c r="G518" s="15"/>
      <c r="H518" s="15"/>
      <c r="I518" s="15"/>
      <c r="J518" s="15"/>
    </row>
    <row r="519" spans="2:10" x14ac:dyDescent="0.35">
      <c r="B519" s="15"/>
      <c r="C519" s="15"/>
      <c r="D519" s="15"/>
      <c r="E519" s="15"/>
      <c r="F519" s="15"/>
      <c r="G519" s="15"/>
      <c r="H519" s="15"/>
      <c r="I519" s="15"/>
      <c r="J519" s="15"/>
    </row>
    <row r="520" spans="2:10" x14ac:dyDescent="0.35">
      <c r="B520" s="15"/>
      <c r="C520" s="15"/>
      <c r="D520" s="15"/>
      <c r="E520" s="15"/>
      <c r="F520" s="15"/>
      <c r="G520" s="15"/>
      <c r="H520" s="15"/>
      <c r="I520" s="15"/>
      <c r="J520" s="15"/>
    </row>
    <row r="521" spans="2:10" x14ac:dyDescent="0.35">
      <c r="B521" s="15"/>
      <c r="C521" s="15"/>
      <c r="D521" s="15"/>
      <c r="E521" s="15"/>
      <c r="F521" s="15"/>
      <c r="G521" s="15"/>
      <c r="H521" s="15"/>
      <c r="I521" s="15"/>
      <c r="J521" s="15"/>
    </row>
    <row r="522" spans="2:10" x14ac:dyDescent="0.35">
      <c r="B522" s="15"/>
      <c r="C522" s="15"/>
      <c r="D522" s="15"/>
      <c r="E522" s="15"/>
      <c r="F522" s="15"/>
      <c r="G522" s="15"/>
      <c r="H522" s="15"/>
      <c r="I522" s="15"/>
      <c r="J522" s="15"/>
    </row>
    <row r="523" spans="2:10" x14ac:dyDescent="0.35">
      <c r="B523" s="15"/>
      <c r="C523" s="15"/>
      <c r="D523" s="15"/>
      <c r="E523" s="15"/>
      <c r="F523" s="15"/>
      <c r="G523" s="15"/>
      <c r="H523" s="15"/>
      <c r="I523" s="15"/>
      <c r="J523" s="15"/>
    </row>
    <row r="524" spans="2:10" x14ac:dyDescent="0.35">
      <c r="B524" s="15"/>
      <c r="C524" s="15"/>
      <c r="D524" s="15"/>
      <c r="E524" s="15"/>
      <c r="F524" s="15"/>
      <c r="G524" s="15"/>
      <c r="H524" s="15"/>
      <c r="I524" s="15"/>
      <c r="J524" s="15"/>
    </row>
    <row r="525" spans="2:10" x14ac:dyDescent="0.35">
      <c r="B525" s="15"/>
      <c r="C525" s="15"/>
      <c r="D525" s="15"/>
      <c r="E525" s="15"/>
      <c r="F525" s="15"/>
      <c r="G525" s="15"/>
      <c r="H525" s="15"/>
      <c r="I525" s="15"/>
      <c r="J525" s="15"/>
    </row>
    <row r="526" spans="2:10" x14ac:dyDescent="0.35">
      <c r="B526" s="15"/>
      <c r="C526" s="15"/>
      <c r="D526" s="15"/>
      <c r="E526" s="15"/>
      <c r="F526" s="15"/>
      <c r="G526" s="15"/>
      <c r="H526" s="15"/>
      <c r="I526" s="15"/>
      <c r="J526" s="15"/>
    </row>
    <row r="527" spans="2:10" x14ac:dyDescent="0.35">
      <c r="B527" s="15"/>
      <c r="C527" s="15"/>
      <c r="D527" s="15"/>
      <c r="E527" s="15"/>
      <c r="F527" s="15"/>
      <c r="G527" s="15"/>
      <c r="H527" s="15"/>
      <c r="I527" s="15"/>
      <c r="J527" s="15"/>
    </row>
    <row r="528" spans="2:10" x14ac:dyDescent="0.35">
      <c r="B528" s="15"/>
      <c r="C528" s="15"/>
      <c r="D528" s="15"/>
      <c r="E528" s="15"/>
      <c r="F528" s="15"/>
      <c r="G528" s="15"/>
      <c r="H528" s="15"/>
      <c r="I528" s="15"/>
      <c r="J528" s="15"/>
    </row>
    <row r="529" spans="2:10" x14ac:dyDescent="0.35">
      <c r="B529" s="15"/>
      <c r="C529" s="15"/>
      <c r="D529" s="15"/>
      <c r="E529" s="15"/>
      <c r="F529" s="15"/>
      <c r="G529" s="15"/>
      <c r="H529" s="15"/>
      <c r="I529" s="15"/>
      <c r="J529" s="15"/>
    </row>
    <row r="530" spans="2:10" x14ac:dyDescent="0.35">
      <c r="B530" s="15"/>
      <c r="C530" s="15"/>
      <c r="D530" s="15"/>
      <c r="E530" s="15"/>
      <c r="F530" s="15"/>
      <c r="G530" s="15"/>
      <c r="H530" s="15"/>
      <c r="I530" s="15"/>
      <c r="J530" s="15"/>
    </row>
    <row r="531" spans="2:10" x14ac:dyDescent="0.35">
      <c r="B531" s="15"/>
      <c r="C531" s="15"/>
      <c r="D531" s="15"/>
      <c r="E531" s="15"/>
      <c r="F531" s="15"/>
      <c r="G531" s="15"/>
      <c r="H531" s="15"/>
      <c r="I531" s="15"/>
      <c r="J531" s="15"/>
    </row>
    <row r="532" spans="2:10" x14ac:dyDescent="0.35">
      <c r="B532" s="15"/>
      <c r="C532" s="15"/>
      <c r="D532" s="15"/>
      <c r="E532" s="15"/>
      <c r="F532" s="15"/>
      <c r="G532" s="15"/>
      <c r="H532" s="15"/>
      <c r="I532" s="15"/>
      <c r="J532" s="15"/>
    </row>
    <row r="533" spans="2:10" x14ac:dyDescent="0.35">
      <c r="B533" s="15"/>
      <c r="C533" s="15"/>
      <c r="D533" s="15"/>
      <c r="E533" s="15"/>
      <c r="F533" s="15"/>
      <c r="G533" s="15"/>
      <c r="H533" s="15"/>
      <c r="I533" s="15"/>
      <c r="J533" s="15"/>
    </row>
    <row r="534" spans="2:10" x14ac:dyDescent="0.35">
      <c r="B534" s="15"/>
      <c r="C534" s="15"/>
      <c r="D534" s="15"/>
      <c r="E534" s="15"/>
      <c r="F534" s="15"/>
      <c r="G534" s="15"/>
      <c r="H534" s="15"/>
      <c r="I534" s="15"/>
      <c r="J534" s="15"/>
    </row>
    <row r="535" spans="2:10" x14ac:dyDescent="0.35">
      <c r="B535" s="15"/>
      <c r="C535" s="15"/>
      <c r="D535" s="15"/>
      <c r="E535" s="15"/>
      <c r="F535" s="15"/>
      <c r="G535" s="15"/>
      <c r="H535" s="15"/>
      <c r="I535" s="15"/>
      <c r="J535" s="15"/>
    </row>
    <row r="536" spans="2:10" x14ac:dyDescent="0.35">
      <c r="B536" s="15"/>
      <c r="C536" s="15"/>
      <c r="D536" s="15"/>
      <c r="E536" s="15"/>
      <c r="F536" s="15"/>
      <c r="G536" s="15"/>
      <c r="H536" s="15"/>
      <c r="I536" s="15"/>
      <c r="J536" s="15"/>
    </row>
    <row r="537" spans="2:10" x14ac:dyDescent="0.35">
      <c r="B537" s="15"/>
      <c r="C537" s="15"/>
      <c r="D537" s="15"/>
      <c r="E537" s="15"/>
      <c r="F537" s="15"/>
      <c r="G537" s="15"/>
      <c r="H537" s="15"/>
      <c r="I537" s="15"/>
      <c r="J537" s="15"/>
    </row>
    <row r="538" spans="2:10" x14ac:dyDescent="0.35">
      <c r="B538" s="15"/>
      <c r="C538" s="15"/>
      <c r="D538" s="15"/>
      <c r="E538" s="15"/>
      <c r="F538" s="15"/>
      <c r="G538" s="15"/>
      <c r="H538" s="15"/>
      <c r="I538" s="15"/>
      <c r="J538" s="15"/>
    </row>
    <row r="539" spans="2:10" x14ac:dyDescent="0.35">
      <c r="B539" s="15"/>
      <c r="C539" s="15"/>
      <c r="D539" s="15"/>
      <c r="E539" s="15"/>
      <c r="F539" s="15"/>
      <c r="G539" s="15"/>
      <c r="H539" s="15"/>
      <c r="I539" s="15"/>
      <c r="J539" s="15"/>
    </row>
    <row r="540" spans="2:10" x14ac:dyDescent="0.35">
      <c r="B540" s="15"/>
      <c r="C540" s="15"/>
      <c r="D540" s="15"/>
      <c r="E540" s="15"/>
      <c r="F540" s="15"/>
      <c r="G540" s="15"/>
      <c r="H540" s="15"/>
      <c r="I540" s="15"/>
      <c r="J540" s="15"/>
    </row>
    <row r="541" spans="2:10" x14ac:dyDescent="0.35">
      <c r="B541" s="15"/>
      <c r="C541" s="15"/>
      <c r="D541" s="15"/>
      <c r="E541" s="15"/>
      <c r="F541" s="15"/>
      <c r="G541" s="15"/>
      <c r="H541" s="15"/>
      <c r="I541" s="15"/>
      <c r="J541" s="15"/>
    </row>
    <row r="542" spans="2:10" x14ac:dyDescent="0.35">
      <c r="B542" s="15"/>
      <c r="C542" s="15"/>
      <c r="D542" s="15"/>
      <c r="E542" s="15"/>
      <c r="F542" s="15"/>
      <c r="G542" s="15"/>
      <c r="H542" s="15"/>
      <c r="I542" s="15"/>
      <c r="J542" s="15"/>
    </row>
    <row r="543" spans="2:10" x14ac:dyDescent="0.35">
      <c r="B543" s="15"/>
      <c r="C543" s="15"/>
      <c r="D543" s="15"/>
      <c r="E543" s="15"/>
      <c r="F543" s="15"/>
      <c r="G543" s="15"/>
      <c r="H543" s="15"/>
      <c r="I543" s="15"/>
      <c r="J543" s="15"/>
    </row>
    <row r="544" spans="2:10" x14ac:dyDescent="0.35">
      <c r="B544" s="15"/>
      <c r="C544" s="15"/>
      <c r="D544" s="15"/>
      <c r="E544" s="15"/>
      <c r="F544" s="15"/>
      <c r="G544" s="15"/>
      <c r="H544" s="15"/>
      <c r="I544" s="15"/>
      <c r="J544" s="15"/>
    </row>
    <row r="545" spans="2:10" x14ac:dyDescent="0.35">
      <c r="B545" s="15"/>
      <c r="C545" s="15"/>
      <c r="D545" s="15"/>
      <c r="E545" s="15"/>
      <c r="F545" s="15"/>
      <c r="G545" s="15"/>
      <c r="H545" s="15"/>
      <c r="I545" s="15"/>
      <c r="J545" s="15"/>
    </row>
    <row r="546" spans="2:10" x14ac:dyDescent="0.35">
      <c r="B546" s="15"/>
      <c r="C546" s="15"/>
      <c r="D546" s="15"/>
      <c r="E546" s="15"/>
      <c r="F546" s="15"/>
      <c r="G546" s="15"/>
      <c r="H546" s="15"/>
      <c r="I546" s="15"/>
      <c r="J546" s="15"/>
    </row>
    <row r="547" spans="2:10" x14ac:dyDescent="0.35">
      <c r="B547" s="15"/>
      <c r="C547" s="15"/>
      <c r="D547" s="15"/>
      <c r="E547" s="15"/>
      <c r="F547" s="15"/>
      <c r="G547" s="15"/>
      <c r="H547" s="15"/>
      <c r="I547" s="15"/>
      <c r="J547" s="15"/>
    </row>
    <row r="548" spans="2:10" x14ac:dyDescent="0.35">
      <c r="B548" s="15"/>
      <c r="C548" s="15"/>
      <c r="D548" s="15"/>
      <c r="E548" s="15"/>
      <c r="F548" s="15"/>
      <c r="G548" s="15"/>
      <c r="H548" s="15"/>
      <c r="I548" s="15"/>
      <c r="J548" s="15"/>
    </row>
    <row r="549" spans="2:10" x14ac:dyDescent="0.35">
      <c r="B549" s="15"/>
      <c r="C549" s="15"/>
      <c r="D549" s="15"/>
      <c r="E549" s="15"/>
      <c r="F549" s="15"/>
      <c r="G549" s="15"/>
      <c r="H549" s="15"/>
      <c r="I549" s="15"/>
      <c r="J549" s="15"/>
    </row>
    <row r="550" spans="2:10" x14ac:dyDescent="0.35">
      <c r="B550" s="15"/>
      <c r="C550" s="15"/>
      <c r="D550" s="15"/>
      <c r="E550" s="15"/>
      <c r="F550" s="15"/>
      <c r="G550" s="15"/>
      <c r="H550" s="15"/>
      <c r="I550" s="15"/>
      <c r="J550" s="15"/>
    </row>
    <row r="551" spans="2:10" x14ac:dyDescent="0.35">
      <c r="B551" s="15"/>
      <c r="C551" s="15"/>
      <c r="D551" s="15"/>
      <c r="E551" s="15"/>
      <c r="F551" s="15"/>
      <c r="G551" s="15"/>
      <c r="H551" s="15"/>
      <c r="I551" s="15"/>
      <c r="J551" s="15"/>
    </row>
    <row r="552" spans="2:10" x14ac:dyDescent="0.35">
      <c r="B552" s="15"/>
      <c r="C552" s="15"/>
      <c r="D552" s="15"/>
      <c r="E552" s="15"/>
      <c r="F552" s="15"/>
      <c r="G552" s="15"/>
      <c r="H552" s="15"/>
      <c r="I552" s="15"/>
      <c r="J552" s="15"/>
    </row>
    <row r="553" spans="2:10" x14ac:dyDescent="0.35">
      <c r="B553" s="15"/>
      <c r="C553" s="15"/>
      <c r="D553" s="15"/>
      <c r="E553" s="15"/>
      <c r="F553" s="15"/>
      <c r="G553" s="15"/>
      <c r="H553" s="15"/>
      <c r="I553" s="15"/>
      <c r="J553" s="15"/>
    </row>
    <row r="554" spans="2:10" x14ac:dyDescent="0.35">
      <c r="B554" s="15"/>
      <c r="C554" s="15"/>
      <c r="D554" s="15"/>
      <c r="E554" s="15"/>
      <c r="F554" s="15"/>
      <c r="G554" s="15"/>
      <c r="H554" s="15"/>
      <c r="I554" s="15"/>
      <c r="J554" s="15"/>
    </row>
    <row r="555" spans="2:10" x14ac:dyDescent="0.35">
      <c r="B555" s="15"/>
      <c r="C555" s="15"/>
      <c r="D555" s="15"/>
      <c r="E555" s="15"/>
      <c r="F555" s="15"/>
      <c r="G555" s="15"/>
      <c r="H555" s="15"/>
      <c r="I555" s="15"/>
      <c r="J555" s="15"/>
    </row>
    <row r="556" spans="2:10" x14ac:dyDescent="0.35">
      <c r="B556" s="15"/>
      <c r="C556" s="15"/>
      <c r="D556" s="15"/>
      <c r="E556" s="15"/>
      <c r="F556" s="15"/>
      <c r="G556" s="15"/>
      <c r="H556" s="15"/>
      <c r="I556" s="15"/>
      <c r="J556" s="15"/>
    </row>
    <row r="557" spans="2:10" x14ac:dyDescent="0.35">
      <c r="B557" s="15"/>
      <c r="C557" s="15"/>
      <c r="D557" s="15"/>
      <c r="E557" s="15"/>
      <c r="F557" s="15"/>
      <c r="G557" s="15"/>
      <c r="H557" s="15"/>
      <c r="I557" s="15"/>
      <c r="J557" s="15"/>
    </row>
    <row r="558" spans="2:10" x14ac:dyDescent="0.35">
      <c r="B558" s="15"/>
      <c r="C558" s="15"/>
      <c r="D558" s="15"/>
      <c r="E558" s="15"/>
      <c r="F558" s="15"/>
      <c r="G558" s="15"/>
      <c r="H558" s="15"/>
      <c r="I558" s="15"/>
      <c r="J558" s="15"/>
    </row>
    <row r="559" spans="2:10" x14ac:dyDescent="0.35">
      <c r="B559" s="15"/>
      <c r="C559" s="15"/>
      <c r="D559" s="15"/>
      <c r="E559" s="15"/>
      <c r="F559" s="15"/>
      <c r="G559" s="15"/>
      <c r="H559" s="15"/>
      <c r="I559" s="15"/>
      <c r="J559" s="15"/>
    </row>
    <row r="560" spans="2:10" x14ac:dyDescent="0.35">
      <c r="B560" s="15"/>
      <c r="C560" s="15"/>
      <c r="D560" s="15"/>
      <c r="E560" s="15"/>
      <c r="F560" s="15"/>
      <c r="G560" s="15"/>
      <c r="H560" s="15"/>
      <c r="I560" s="15"/>
      <c r="J560" s="15"/>
    </row>
    <row r="561" spans="2:10" x14ac:dyDescent="0.35">
      <c r="B561" s="15"/>
      <c r="C561" s="15"/>
      <c r="D561" s="15"/>
      <c r="E561" s="15"/>
      <c r="F561" s="15"/>
      <c r="G561" s="15"/>
      <c r="H561" s="15"/>
      <c r="I561" s="15"/>
      <c r="J561" s="15"/>
    </row>
    <row r="562" spans="2:10" x14ac:dyDescent="0.35">
      <c r="B562" s="15"/>
      <c r="C562" s="15"/>
      <c r="D562" s="15"/>
      <c r="E562" s="15"/>
      <c r="F562" s="15"/>
      <c r="G562" s="15"/>
      <c r="H562" s="15"/>
      <c r="I562" s="15"/>
      <c r="J562" s="15"/>
    </row>
    <row r="563" spans="2:10" x14ac:dyDescent="0.35">
      <c r="B563" s="15"/>
      <c r="C563" s="15"/>
      <c r="D563" s="15"/>
      <c r="E563" s="15"/>
      <c r="F563" s="15"/>
      <c r="G563" s="15"/>
      <c r="H563" s="15"/>
      <c r="I563" s="15"/>
      <c r="J563" s="15"/>
    </row>
    <row r="564" spans="2:10" x14ac:dyDescent="0.35">
      <c r="B564" s="15"/>
      <c r="C564" s="15"/>
      <c r="D564" s="15"/>
      <c r="E564" s="15"/>
      <c r="F564" s="15"/>
      <c r="G564" s="15"/>
      <c r="H564" s="15"/>
      <c r="I564" s="15"/>
      <c r="J564" s="15"/>
    </row>
    <row r="565" spans="2:10" x14ac:dyDescent="0.35">
      <c r="B565" s="15"/>
      <c r="C565" s="15"/>
      <c r="D565" s="15"/>
      <c r="E565" s="15"/>
      <c r="F565" s="15"/>
      <c r="G565" s="15"/>
      <c r="H565" s="15"/>
      <c r="I565" s="15"/>
      <c r="J565" s="15"/>
    </row>
    <row r="566" spans="2:10" x14ac:dyDescent="0.35">
      <c r="B566" s="15"/>
      <c r="C566" s="15"/>
      <c r="D566" s="15"/>
      <c r="E566" s="15"/>
      <c r="F566" s="15"/>
      <c r="G566" s="15"/>
      <c r="H566" s="15"/>
      <c r="I566" s="15"/>
      <c r="J566" s="15"/>
    </row>
    <row r="567" spans="2:10" x14ac:dyDescent="0.35">
      <c r="B567" s="15"/>
      <c r="C567" s="15"/>
      <c r="D567" s="15"/>
      <c r="E567" s="15"/>
      <c r="F567" s="15"/>
      <c r="G567" s="15"/>
      <c r="H567" s="15"/>
      <c r="I567" s="15"/>
      <c r="J567" s="15"/>
    </row>
    <row r="568" spans="2:10" x14ac:dyDescent="0.35">
      <c r="B568" s="15"/>
      <c r="C568" s="15"/>
      <c r="D568" s="15"/>
      <c r="E568" s="15"/>
      <c r="F568" s="15"/>
      <c r="G568" s="15"/>
      <c r="H568" s="15"/>
      <c r="I568" s="15"/>
      <c r="J568" s="15"/>
    </row>
    <row r="569" spans="2:10" x14ac:dyDescent="0.35">
      <c r="B569" s="15"/>
      <c r="C569" s="15"/>
      <c r="D569" s="15"/>
      <c r="E569" s="15"/>
      <c r="F569" s="15"/>
      <c r="G569" s="15"/>
      <c r="H569" s="15"/>
      <c r="I569" s="15"/>
      <c r="J569" s="15"/>
    </row>
    <row r="570" spans="2:10" x14ac:dyDescent="0.35">
      <c r="B570" s="15"/>
      <c r="C570" s="15"/>
      <c r="D570" s="15"/>
      <c r="E570" s="15"/>
      <c r="F570" s="15"/>
      <c r="G570" s="15"/>
      <c r="H570" s="15"/>
      <c r="I570" s="15"/>
      <c r="J570" s="15"/>
    </row>
    <row r="571" spans="2:10" x14ac:dyDescent="0.35">
      <c r="B571" s="15"/>
      <c r="C571" s="15"/>
      <c r="D571" s="15"/>
      <c r="E571" s="15"/>
      <c r="F571" s="15"/>
      <c r="G571" s="15"/>
      <c r="H571" s="15"/>
      <c r="I571" s="15"/>
      <c r="J571" s="15"/>
    </row>
    <row r="572" spans="2:10" x14ac:dyDescent="0.35">
      <c r="B572" s="15"/>
      <c r="C572" s="15"/>
      <c r="D572" s="15"/>
      <c r="E572" s="15"/>
      <c r="F572" s="15"/>
      <c r="G572" s="15"/>
      <c r="H572" s="15"/>
      <c r="I572" s="15"/>
      <c r="J572" s="15"/>
    </row>
    <row r="573" spans="2:10" x14ac:dyDescent="0.35">
      <c r="B573" s="15"/>
      <c r="C573" s="15"/>
      <c r="D573" s="15"/>
      <c r="E573" s="15"/>
      <c r="F573" s="15"/>
      <c r="G573" s="15"/>
      <c r="H573" s="15"/>
      <c r="I573" s="15"/>
      <c r="J573" s="15"/>
    </row>
    <row r="574" spans="2:10" x14ac:dyDescent="0.35">
      <c r="B574" s="15"/>
      <c r="C574" s="15"/>
      <c r="D574" s="15"/>
      <c r="E574" s="15"/>
      <c r="F574" s="15"/>
      <c r="G574" s="15"/>
      <c r="H574" s="15"/>
      <c r="I574" s="15"/>
      <c r="J574" s="15"/>
    </row>
    <row r="575" spans="2:10" x14ac:dyDescent="0.35">
      <c r="B575" s="15"/>
      <c r="C575" s="15"/>
      <c r="D575" s="15"/>
      <c r="E575" s="15"/>
      <c r="F575" s="15"/>
      <c r="G575" s="15"/>
      <c r="H575" s="15"/>
      <c r="I575" s="15"/>
      <c r="J575" s="15"/>
    </row>
    <row r="576" spans="2:10" x14ac:dyDescent="0.35">
      <c r="B576" s="15"/>
      <c r="C576" s="15"/>
      <c r="D576" s="15"/>
      <c r="E576" s="15"/>
      <c r="F576" s="15"/>
      <c r="G576" s="15"/>
      <c r="H576" s="15"/>
      <c r="I576" s="15"/>
      <c r="J576" s="15"/>
    </row>
    <row r="577" spans="2:10" x14ac:dyDescent="0.35">
      <c r="B577" s="15"/>
      <c r="C577" s="15"/>
      <c r="D577" s="15"/>
      <c r="E577" s="15"/>
      <c r="F577" s="15"/>
      <c r="G577" s="15"/>
      <c r="H577" s="15"/>
      <c r="I577" s="15"/>
      <c r="J577" s="15"/>
    </row>
    <row r="578" spans="2:10" x14ac:dyDescent="0.35">
      <c r="B578" s="15"/>
      <c r="C578" s="15"/>
      <c r="D578" s="15"/>
      <c r="E578" s="15"/>
      <c r="F578" s="15"/>
      <c r="G578" s="15"/>
      <c r="H578" s="15"/>
      <c r="I578" s="15"/>
      <c r="J578" s="15"/>
    </row>
    <row r="579" spans="2:10" x14ac:dyDescent="0.35">
      <c r="B579" s="15"/>
      <c r="C579" s="15"/>
      <c r="D579" s="15"/>
      <c r="E579" s="15"/>
      <c r="F579" s="15"/>
      <c r="G579" s="15"/>
      <c r="H579" s="15"/>
      <c r="I579" s="15"/>
      <c r="J579" s="15"/>
    </row>
    <row r="580" spans="2:10" x14ac:dyDescent="0.35">
      <c r="B580" s="15"/>
      <c r="C580" s="15"/>
      <c r="D580" s="15"/>
      <c r="E580" s="15"/>
      <c r="F580" s="15"/>
      <c r="G580" s="15"/>
      <c r="H580" s="15"/>
      <c r="I580" s="15"/>
      <c r="J580" s="15"/>
    </row>
    <row r="581" spans="2:10" x14ac:dyDescent="0.35">
      <c r="B581" s="15"/>
      <c r="C581" s="15"/>
      <c r="D581" s="15"/>
      <c r="E581" s="15"/>
      <c r="F581" s="15"/>
      <c r="G581" s="15"/>
      <c r="H581" s="15"/>
      <c r="I581" s="15"/>
      <c r="J581" s="15"/>
    </row>
    <row r="582" spans="2:10" x14ac:dyDescent="0.35">
      <c r="B582" s="15"/>
      <c r="C582" s="15"/>
      <c r="D582" s="15"/>
      <c r="E582" s="15"/>
      <c r="F582" s="15"/>
      <c r="G582" s="15"/>
      <c r="H582" s="15"/>
      <c r="I582" s="15"/>
      <c r="J582" s="15"/>
    </row>
    <row r="583" spans="2:10" x14ac:dyDescent="0.35">
      <c r="B583" s="15"/>
      <c r="C583" s="15"/>
      <c r="D583" s="15"/>
      <c r="E583" s="15"/>
      <c r="F583" s="15"/>
      <c r="G583" s="15"/>
      <c r="H583" s="15"/>
      <c r="I583" s="15"/>
      <c r="J583" s="15"/>
    </row>
    <row r="584" spans="2:10" x14ac:dyDescent="0.35">
      <c r="B584" s="15"/>
      <c r="C584" s="15"/>
      <c r="D584" s="15"/>
      <c r="E584" s="15"/>
      <c r="F584" s="15"/>
      <c r="G584" s="15"/>
      <c r="H584" s="15"/>
      <c r="I584" s="15"/>
      <c r="J584" s="15"/>
    </row>
    <row r="585" spans="2:10" x14ac:dyDescent="0.35">
      <c r="B585" s="15"/>
      <c r="C585" s="15"/>
      <c r="D585" s="15"/>
      <c r="E585" s="15"/>
      <c r="F585" s="15"/>
      <c r="G585" s="15"/>
      <c r="H585" s="15"/>
      <c r="I585" s="15"/>
      <c r="J585" s="15"/>
    </row>
    <row r="586" spans="2:10" x14ac:dyDescent="0.35">
      <c r="B586" s="15"/>
      <c r="C586" s="15"/>
      <c r="D586" s="15"/>
      <c r="E586" s="15"/>
      <c r="F586" s="15"/>
      <c r="G586" s="15"/>
      <c r="H586" s="15"/>
      <c r="I586" s="15"/>
      <c r="J586" s="15"/>
    </row>
    <row r="587" spans="2:10" x14ac:dyDescent="0.35">
      <c r="B587" s="15"/>
      <c r="C587" s="15"/>
      <c r="D587" s="15"/>
      <c r="E587" s="15"/>
      <c r="F587" s="15"/>
      <c r="G587" s="15"/>
      <c r="H587" s="15"/>
      <c r="I587" s="15"/>
      <c r="J587" s="15"/>
    </row>
    <row r="588" spans="2:10" x14ac:dyDescent="0.35">
      <c r="B588" s="15"/>
      <c r="C588" s="15"/>
      <c r="D588" s="15"/>
      <c r="E588" s="15"/>
      <c r="F588" s="15"/>
      <c r="G588" s="15"/>
      <c r="H588" s="15"/>
      <c r="I588" s="15"/>
      <c r="J588" s="15"/>
    </row>
    <row r="589" spans="2:10" x14ac:dyDescent="0.35">
      <c r="B589" s="15"/>
      <c r="C589" s="15"/>
      <c r="D589" s="15"/>
      <c r="E589" s="15"/>
      <c r="F589" s="15"/>
      <c r="G589" s="15"/>
      <c r="H589" s="15"/>
      <c r="I589" s="15"/>
      <c r="J589" s="15"/>
    </row>
    <row r="590" spans="2:10" x14ac:dyDescent="0.35">
      <c r="B590" s="15"/>
      <c r="C590" s="15"/>
      <c r="D590" s="15"/>
      <c r="E590" s="15"/>
      <c r="F590" s="15"/>
      <c r="G590" s="15"/>
      <c r="H590" s="15"/>
      <c r="I590" s="15"/>
      <c r="J590" s="15"/>
    </row>
    <row r="591" spans="2:10" x14ac:dyDescent="0.35">
      <c r="B591" s="15"/>
      <c r="C591" s="15"/>
      <c r="D591" s="15"/>
      <c r="E591" s="15"/>
      <c r="F591" s="15"/>
      <c r="G591" s="15"/>
      <c r="H591" s="15"/>
      <c r="I591" s="15"/>
      <c r="J591" s="15"/>
    </row>
    <row r="592" spans="2:10" x14ac:dyDescent="0.35">
      <c r="B592" s="15"/>
      <c r="C592" s="15"/>
      <c r="D592" s="15"/>
      <c r="E592" s="15"/>
      <c r="F592" s="15"/>
      <c r="G592" s="15"/>
      <c r="H592" s="15"/>
      <c r="I592" s="15"/>
      <c r="J592" s="15"/>
    </row>
    <row r="593" spans="2:10" x14ac:dyDescent="0.35">
      <c r="B593" s="15"/>
      <c r="C593" s="15"/>
      <c r="D593" s="15"/>
      <c r="E593" s="15"/>
      <c r="F593" s="15"/>
      <c r="G593" s="15"/>
      <c r="H593" s="15"/>
      <c r="I593" s="15"/>
      <c r="J593" s="15"/>
    </row>
    <row r="594" spans="2:10" x14ac:dyDescent="0.35">
      <c r="B594" s="15"/>
      <c r="C594" s="15"/>
      <c r="D594" s="15"/>
      <c r="E594" s="15"/>
      <c r="F594" s="15"/>
      <c r="G594" s="15"/>
      <c r="H594" s="15"/>
      <c r="I594" s="15"/>
      <c r="J594" s="15"/>
    </row>
    <row r="595" spans="2:10" x14ac:dyDescent="0.35">
      <c r="B595" s="15"/>
      <c r="C595" s="15"/>
      <c r="D595" s="15"/>
      <c r="E595" s="15"/>
      <c r="F595" s="15"/>
      <c r="G595" s="15"/>
      <c r="H595" s="15"/>
      <c r="I595" s="15"/>
      <c r="J595" s="15"/>
    </row>
    <row r="596" spans="2:10" x14ac:dyDescent="0.35">
      <c r="B596" s="15"/>
      <c r="C596" s="15"/>
      <c r="D596" s="15"/>
      <c r="E596" s="15"/>
      <c r="F596" s="15"/>
      <c r="G596" s="15"/>
      <c r="H596" s="15"/>
      <c r="I596" s="15"/>
      <c r="J596" s="15"/>
    </row>
    <row r="597" spans="2:10" x14ac:dyDescent="0.35">
      <c r="B597" s="15"/>
      <c r="C597" s="15"/>
      <c r="D597" s="15"/>
      <c r="E597" s="15"/>
      <c r="F597" s="15"/>
      <c r="G597" s="15"/>
      <c r="H597" s="15"/>
      <c r="I597" s="15"/>
      <c r="J597" s="15"/>
    </row>
    <row r="598" spans="2:10" x14ac:dyDescent="0.35">
      <c r="B598" s="15"/>
      <c r="C598" s="15"/>
      <c r="D598" s="15"/>
      <c r="E598" s="15"/>
      <c r="F598" s="15"/>
      <c r="G598" s="15"/>
      <c r="H598" s="15"/>
      <c r="I598" s="15"/>
      <c r="J598" s="15"/>
    </row>
    <row r="599" spans="2:10" x14ac:dyDescent="0.35">
      <c r="B599" s="15"/>
      <c r="C599" s="15"/>
      <c r="D599" s="15"/>
      <c r="E599" s="15"/>
      <c r="F599" s="15"/>
      <c r="G599" s="15"/>
      <c r="H599" s="15"/>
      <c r="I599" s="15"/>
      <c r="J599" s="15"/>
    </row>
    <row r="600" spans="2:10" x14ac:dyDescent="0.35">
      <c r="B600" s="15"/>
      <c r="C600" s="15"/>
      <c r="D600" s="15"/>
      <c r="E600" s="15"/>
      <c r="F600" s="15"/>
      <c r="G600" s="15"/>
      <c r="H600" s="15"/>
      <c r="I600" s="15"/>
      <c r="J600" s="15"/>
    </row>
    <row r="601" spans="2:10" x14ac:dyDescent="0.35">
      <c r="B601" s="15"/>
      <c r="C601" s="15"/>
      <c r="D601" s="15"/>
      <c r="E601" s="15"/>
      <c r="F601" s="15"/>
      <c r="G601" s="15"/>
      <c r="H601" s="15"/>
      <c r="I601" s="15"/>
      <c r="J601" s="15"/>
    </row>
    <row r="602" spans="2:10" x14ac:dyDescent="0.35">
      <c r="B602" s="15"/>
      <c r="C602" s="15"/>
      <c r="D602" s="15"/>
      <c r="E602" s="15"/>
      <c r="F602" s="15"/>
      <c r="G602" s="15"/>
      <c r="H602" s="15"/>
      <c r="I602" s="15"/>
      <c r="J602" s="15"/>
    </row>
    <row r="603" spans="2:10" x14ac:dyDescent="0.35">
      <c r="B603" s="15"/>
      <c r="C603" s="15"/>
      <c r="D603" s="15"/>
      <c r="E603" s="15"/>
      <c r="F603" s="15"/>
      <c r="G603" s="15"/>
      <c r="H603" s="15"/>
      <c r="I603" s="15"/>
      <c r="J603" s="15"/>
    </row>
    <row r="604" spans="2:10" x14ac:dyDescent="0.35">
      <c r="B604" s="15"/>
      <c r="C604" s="15"/>
      <c r="D604" s="15"/>
      <c r="E604" s="15"/>
      <c r="F604" s="15"/>
      <c r="G604" s="15"/>
      <c r="H604" s="15"/>
      <c r="I604" s="15"/>
      <c r="J604" s="15"/>
    </row>
    <row r="605" spans="2:10" x14ac:dyDescent="0.35">
      <c r="B605" s="15"/>
      <c r="C605" s="15"/>
      <c r="D605" s="15"/>
      <c r="E605" s="15"/>
      <c r="F605" s="15"/>
      <c r="G605" s="15"/>
      <c r="H605" s="15"/>
      <c r="I605" s="15"/>
      <c r="J605" s="15"/>
    </row>
    <row r="606" spans="2:10" x14ac:dyDescent="0.35">
      <c r="B606" s="15"/>
      <c r="C606" s="15"/>
      <c r="D606" s="15"/>
      <c r="E606" s="15"/>
      <c r="F606" s="15"/>
      <c r="G606" s="15"/>
      <c r="H606" s="15"/>
      <c r="I606" s="15"/>
      <c r="J606" s="15"/>
    </row>
    <row r="607" spans="2:10" x14ac:dyDescent="0.35">
      <c r="B607" s="15"/>
      <c r="C607" s="15"/>
      <c r="D607" s="15"/>
      <c r="E607" s="15"/>
      <c r="F607" s="15"/>
      <c r="G607" s="15"/>
      <c r="H607" s="15"/>
      <c r="I607" s="15"/>
      <c r="J607" s="15"/>
    </row>
    <row r="608" spans="2:10" x14ac:dyDescent="0.35">
      <c r="B608" s="15"/>
      <c r="C608" s="15"/>
      <c r="D608" s="15"/>
      <c r="E608" s="15"/>
      <c r="F608" s="15"/>
      <c r="G608" s="15"/>
      <c r="H608" s="15"/>
      <c r="I608" s="15"/>
      <c r="J608" s="15"/>
    </row>
    <row r="609" spans="2:10" x14ac:dyDescent="0.35">
      <c r="B609" s="15"/>
      <c r="C609" s="15"/>
      <c r="D609" s="15"/>
      <c r="E609" s="15"/>
      <c r="F609" s="15"/>
      <c r="G609" s="15"/>
      <c r="H609" s="15"/>
      <c r="I609" s="15"/>
      <c r="J609" s="15"/>
    </row>
    <row r="610" spans="2:10" x14ac:dyDescent="0.35">
      <c r="B610" s="15"/>
      <c r="C610" s="15"/>
      <c r="D610" s="15"/>
      <c r="E610" s="15"/>
      <c r="F610" s="15"/>
      <c r="G610" s="15"/>
      <c r="H610" s="15"/>
      <c r="I610" s="15"/>
      <c r="J610" s="15"/>
    </row>
    <row r="611" spans="2:10" x14ac:dyDescent="0.35">
      <c r="B611" s="15"/>
      <c r="C611" s="15"/>
      <c r="D611" s="15"/>
      <c r="E611" s="15"/>
      <c r="F611" s="15"/>
      <c r="G611" s="15"/>
      <c r="H611" s="15"/>
      <c r="I611" s="15"/>
      <c r="J611" s="15"/>
    </row>
    <row r="612" spans="2:10" x14ac:dyDescent="0.35">
      <c r="B612" s="15"/>
      <c r="C612" s="15"/>
      <c r="D612" s="15"/>
      <c r="E612" s="15"/>
      <c r="F612" s="15"/>
      <c r="G612" s="15"/>
      <c r="H612" s="15"/>
      <c r="I612" s="15"/>
      <c r="J612" s="15"/>
    </row>
    <row r="613" spans="2:10" x14ac:dyDescent="0.35">
      <c r="B613" s="15"/>
      <c r="C613" s="15"/>
      <c r="D613" s="15"/>
      <c r="E613" s="15"/>
      <c r="F613" s="15"/>
      <c r="G613" s="15"/>
      <c r="H613" s="15"/>
      <c r="I613" s="15"/>
      <c r="J613" s="15"/>
    </row>
    <row r="614" spans="2:10" x14ac:dyDescent="0.35">
      <c r="B614" s="15"/>
      <c r="C614" s="15"/>
      <c r="D614" s="15"/>
      <c r="E614" s="15"/>
      <c r="F614" s="15"/>
      <c r="G614" s="15"/>
      <c r="H614" s="15"/>
      <c r="I614" s="15"/>
      <c r="J614" s="15"/>
    </row>
    <row r="615" spans="2:10" x14ac:dyDescent="0.35">
      <c r="B615" s="15"/>
      <c r="C615" s="15"/>
      <c r="D615" s="15"/>
      <c r="E615" s="15"/>
      <c r="F615" s="15"/>
      <c r="G615" s="15"/>
      <c r="H615" s="15"/>
      <c r="I615" s="15"/>
      <c r="J615" s="15"/>
    </row>
    <row r="616" spans="2:10" x14ac:dyDescent="0.35">
      <c r="B616" s="15"/>
      <c r="C616" s="15"/>
      <c r="D616" s="15"/>
      <c r="E616" s="15"/>
      <c r="F616" s="15"/>
      <c r="G616" s="15"/>
      <c r="H616" s="15"/>
      <c r="I616" s="15"/>
      <c r="J616" s="15"/>
    </row>
    <row r="617" spans="2:10" x14ac:dyDescent="0.35">
      <c r="B617" s="15"/>
      <c r="C617" s="15"/>
      <c r="D617" s="15"/>
      <c r="E617" s="15"/>
      <c r="F617" s="15"/>
      <c r="G617" s="15"/>
      <c r="H617" s="15"/>
      <c r="I617" s="15"/>
      <c r="J617" s="15"/>
    </row>
    <row r="618" spans="2:10" x14ac:dyDescent="0.35">
      <c r="B618" s="15"/>
      <c r="C618" s="15"/>
      <c r="D618" s="15"/>
      <c r="E618" s="15"/>
      <c r="F618" s="15"/>
      <c r="G618" s="15"/>
      <c r="H618" s="15"/>
      <c r="I618" s="15"/>
      <c r="J618" s="15"/>
    </row>
    <row r="619" spans="2:10" x14ac:dyDescent="0.35">
      <c r="B619" s="15"/>
      <c r="C619" s="15"/>
      <c r="D619" s="15"/>
      <c r="E619" s="15"/>
      <c r="F619" s="15"/>
      <c r="G619" s="15"/>
      <c r="H619" s="15"/>
      <c r="I619" s="15"/>
      <c r="J619" s="15"/>
    </row>
    <row r="620" spans="2:10" x14ac:dyDescent="0.35">
      <c r="B620" s="15"/>
      <c r="C620" s="15"/>
      <c r="D620" s="15"/>
      <c r="E620" s="15"/>
      <c r="F620" s="15"/>
      <c r="G620" s="15"/>
      <c r="H620" s="15"/>
      <c r="I620" s="15"/>
      <c r="J620" s="15"/>
    </row>
    <row r="621" spans="2:10" x14ac:dyDescent="0.35">
      <c r="B621" s="15"/>
      <c r="C621" s="15"/>
      <c r="D621" s="15"/>
      <c r="E621" s="15"/>
      <c r="F621" s="15"/>
      <c r="G621" s="15"/>
      <c r="H621" s="15"/>
      <c r="I621" s="15"/>
      <c r="J621" s="15"/>
    </row>
    <row r="622" spans="2:10" x14ac:dyDescent="0.35">
      <c r="B622" s="15"/>
      <c r="C622" s="15"/>
      <c r="D622" s="15"/>
      <c r="E622" s="15"/>
      <c r="F622" s="15"/>
      <c r="G622" s="15"/>
      <c r="H622" s="15"/>
      <c r="I622" s="15"/>
      <c r="J622" s="15"/>
    </row>
    <row r="623" spans="2:10" x14ac:dyDescent="0.35">
      <c r="B623" s="15"/>
      <c r="C623" s="15"/>
      <c r="D623" s="15"/>
      <c r="E623" s="15"/>
      <c r="F623" s="15"/>
      <c r="G623" s="15"/>
      <c r="H623" s="15"/>
      <c r="I623" s="15"/>
      <c r="J623" s="15"/>
    </row>
    <row r="624" spans="2:10" x14ac:dyDescent="0.35">
      <c r="B624" s="15"/>
      <c r="C624" s="15"/>
      <c r="D624" s="15"/>
      <c r="E624" s="15"/>
      <c r="F624" s="15"/>
      <c r="G624" s="15"/>
      <c r="H624" s="15"/>
      <c r="I624" s="15"/>
      <c r="J624" s="15"/>
    </row>
    <row r="625" spans="2:10" x14ac:dyDescent="0.35">
      <c r="B625" s="15"/>
      <c r="C625" s="15"/>
      <c r="D625" s="15"/>
      <c r="E625" s="15"/>
      <c r="F625" s="15"/>
      <c r="G625" s="15"/>
      <c r="H625" s="15"/>
      <c r="I625" s="15"/>
      <c r="J625" s="15"/>
    </row>
    <row r="626" spans="2:10" x14ac:dyDescent="0.35">
      <c r="B626" s="15"/>
      <c r="C626" s="15"/>
      <c r="D626" s="15"/>
      <c r="E626" s="15"/>
      <c r="F626" s="15"/>
      <c r="G626" s="15"/>
      <c r="H626" s="15"/>
      <c r="I626" s="15"/>
      <c r="J626" s="15"/>
    </row>
    <row r="627" spans="2:10" x14ac:dyDescent="0.35">
      <c r="B627" s="15"/>
      <c r="C627" s="15"/>
      <c r="D627" s="15"/>
      <c r="E627" s="15"/>
      <c r="F627" s="15"/>
      <c r="G627" s="15"/>
      <c r="H627" s="15"/>
      <c r="I627" s="15"/>
      <c r="J627" s="15"/>
    </row>
    <row r="628" spans="2:10" x14ac:dyDescent="0.35">
      <c r="B628" s="15"/>
      <c r="C628" s="15"/>
      <c r="D628" s="15"/>
      <c r="E628" s="15"/>
      <c r="F628" s="15"/>
      <c r="G628" s="15"/>
      <c r="H628" s="15"/>
      <c r="I628" s="15"/>
      <c r="J628" s="15"/>
    </row>
    <row r="629" spans="2:10" x14ac:dyDescent="0.35">
      <c r="B629" s="15"/>
      <c r="C629" s="15"/>
      <c r="D629" s="15"/>
      <c r="E629" s="15"/>
      <c r="F629" s="15"/>
      <c r="G629" s="15"/>
      <c r="H629" s="15"/>
      <c r="I629" s="15"/>
      <c r="J629" s="15"/>
    </row>
    <row r="630" spans="2:10" x14ac:dyDescent="0.35">
      <c r="B630" s="15"/>
      <c r="C630" s="15"/>
      <c r="D630" s="15"/>
      <c r="E630" s="15"/>
      <c r="F630" s="15"/>
      <c r="G630" s="15"/>
      <c r="H630" s="15"/>
      <c r="I630" s="15"/>
      <c r="J630" s="15"/>
    </row>
    <row r="631" spans="2:10" x14ac:dyDescent="0.35">
      <c r="B631" s="15"/>
      <c r="C631" s="15"/>
      <c r="D631" s="15"/>
      <c r="E631" s="15"/>
      <c r="F631" s="15"/>
      <c r="G631" s="15"/>
      <c r="H631" s="15"/>
      <c r="I631" s="15"/>
      <c r="J631" s="15"/>
    </row>
    <row r="632" spans="2:10" x14ac:dyDescent="0.35">
      <c r="B632" s="15"/>
      <c r="C632" s="15"/>
      <c r="D632" s="15"/>
      <c r="E632" s="15"/>
      <c r="F632" s="15"/>
      <c r="G632" s="15"/>
      <c r="H632" s="15"/>
      <c r="I632" s="15"/>
      <c r="J632" s="15"/>
    </row>
    <row r="633" spans="2:10" x14ac:dyDescent="0.35">
      <c r="B633" s="15"/>
      <c r="C633" s="15"/>
      <c r="D633" s="15"/>
      <c r="E633" s="15"/>
      <c r="F633" s="15"/>
      <c r="G633" s="15"/>
      <c r="H633" s="15"/>
      <c r="I633" s="15"/>
      <c r="J633" s="15"/>
    </row>
    <row r="634" spans="2:10" x14ac:dyDescent="0.35">
      <c r="B634" s="15"/>
      <c r="C634" s="15"/>
      <c r="D634" s="15"/>
      <c r="E634" s="15"/>
      <c r="F634" s="15"/>
      <c r="G634" s="15"/>
      <c r="H634" s="15"/>
      <c r="I634" s="15"/>
      <c r="J634" s="15"/>
    </row>
    <row r="635" spans="2:10" x14ac:dyDescent="0.35">
      <c r="B635" s="15"/>
      <c r="C635" s="15"/>
      <c r="D635" s="15"/>
      <c r="E635" s="15"/>
      <c r="F635" s="15"/>
      <c r="G635" s="15"/>
      <c r="H635" s="15"/>
      <c r="I635" s="15"/>
      <c r="J635" s="15"/>
    </row>
    <row r="636" spans="2:10" x14ac:dyDescent="0.35">
      <c r="B636" s="15"/>
      <c r="C636" s="15"/>
      <c r="D636" s="15"/>
      <c r="E636" s="15"/>
      <c r="F636" s="15"/>
      <c r="G636" s="15"/>
      <c r="H636" s="15"/>
      <c r="I636" s="15"/>
      <c r="J636" s="15"/>
    </row>
    <row r="637" spans="2:10" x14ac:dyDescent="0.35">
      <c r="B637" s="15"/>
      <c r="C637" s="15"/>
      <c r="D637" s="15"/>
      <c r="E637" s="15"/>
      <c r="F637" s="15"/>
      <c r="G637" s="15"/>
      <c r="H637" s="15"/>
      <c r="I637" s="15"/>
      <c r="J637" s="15"/>
    </row>
    <row r="638" spans="2:10" x14ac:dyDescent="0.35">
      <c r="B638" s="15"/>
      <c r="C638" s="15"/>
      <c r="D638" s="15"/>
      <c r="E638" s="15"/>
      <c r="F638" s="15"/>
      <c r="G638" s="15"/>
      <c r="H638" s="15"/>
      <c r="I638" s="15"/>
      <c r="J638" s="15"/>
    </row>
    <row r="639" spans="2:10" x14ac:dyDescent="0.35">
      <c r="B639" s="15"/>
      <c r="C639" s="15"/>
      <c r="D639" s="15"/>
      <c r="E639" s="15"/>
      <c r="F639" s="15"/>
      <c r="G639" s="15"/>
      <c r="H639" s="15"/>
      <c r="I639" s="15"/>
      <c r="J639" s="15"/>
    </row>
    <row r="640" spans="2:10" x14ac:dyDescent="0.35">
      <c r="B640" s="15"/>
      <c r="C640" s="15"/>
      <c r="D640" s="15"/>
      <c r="E640" s="15"/>
      <c r="F640" s="15"/>
      <c r="G640" s="15"/>
      <c r="H640" s="15"/>
      <c r="I640" s="15"/>
      <c r="J640" s="15"/>
    </row>
    <row r="641" spans="2:10" x14ac:dyDescent="0.35">
      <c r="B641" s="15"/>
      <c r="C641" s="15"/>
      <c r="D641" s="15"/>
      <c r="E641" s="15"/>
      <c r="F641" s="15"/>
      <c r="G641" s="15"/>
      <c r="H641" s="15"/>
      <c r="I641" s="15"/>
      <c r="J641" s="15"/>
    </row>
    <row r="642" spans="2:10" x14ac:dyDescent="0.35">
      <c r="B642" s="15"/>
      <c r="C642" s="15"/>
      <c r="D642" s="15"/>
      <c r="E642" s="15"/>
      <c r="F642" s="15"/>
      <c r="G642" s="15"/>
      <c r="H642" s="15"/>
      <c r="I642" s="15"/>
      <c r="J642" s="15"/>
    </row>
    <row r="643" spans="2:10" x14ac:dyDescent="0.35">
      <c r="B643" s="15"/>
      <c r="C643" s="15"/>
      <c r="D643" s="15"/>
      <c r="E643" s="15"/>
      <c r="F643" s="15"/>
      <c r="G643" s="15"/>
      <c r="H643" s="15"/>
      <c r="I643" s="15"/>
      <c r="J643" s="15"/>
    </row>
    <row r="644" spans="2:10" x14ac:dyDescent="0.35">
      <c r="B644" s="15"/>
      <c r="C644" s="15"/>
      <c r="D644" s="15"/>
      <c r="E644" s="15"/>
      <c r="F644" s="15"/>
      <c r="G644" s="15"/>
      <c r="H644" s="15"/>
      <c r="I644" s="15"/>
      <c r="J644" s="15"/>
    </row>
    <row r="645" spans="2:10" x14ac:dyDescent="0.35">
      <c r="B645" s="15"/>
      <c r="C645" s="15"/>
      <c r="D645" s="15"/>
      <c r="E645" s="15"/>
      <c r="F645" s="15"/>
      <c r="G645" s="15"/>
      <c r="H645" s="15"/>
      <c r="I645" s="15"/>
      <c r="J645" s="15"/>
    </row>
    <row r="646" spans="2:10" x14ac:dyDescent="0.35">
      <c r="B646" s="15"/>
      <c r="C646" s="15"/>
      <c r="D646" s="15"/>
      <c r="E646" s="15"/>
      <c r="F646" s="15"/>
      <c r="G646" s="15"/>
      <c r="H646" s="15"/>
      <c r="I646" s="15"/>
      <c r="J646" s="15"/>
    </row>
    <row r="647" spans="2:10" x14ac:dyDescent="0.35">
      <c r="B647" s="15"/>
      <c r="C647" s="15"/>
      <c r="D647" s="15"/>
      <c r="E647" s="15"/>
      <c r="F647" s="15"/>
      <c r="G647" s="15"/>
      <c r="H647" s="15"/>
      <c r="I647" s="15"/>
      <c r="J647" s="15"/>
    </row>
    <row r="648" spans="2:10" x14ac:dyDescent="0.35">
      <c r="B648" s="15"/>
      <c r="C648" s="15"/>
      <c r="D648" s="15"/>
      <c r="E648" s="15"/>
      <c r="F648" s="15"/>
      <c r="G648" s="15"/>
      <c r="H648" s="15"/>
      <c r="I648" s="15"/>
      <c r="J648" s="15"/>
    </row>
    <row r="649" spans="2:10" x14ac:dyDescent="0.35">
      <c r="B649" s="15"/>
      <c r="C649" s="15"/>
      <c r="D649" s="15"/>
      <c r="E649" s="15"/>
      <c r="F649" s="15"/>
      <c r="G649" s="15"/>
      <c r="H649" s="15"/>
      <c r="I649" s="15"/>
      <c r="J649" s="15"/>
    </row>
    <row r="650" spans="2:10" x14ac:dyDescent="0.35">
      <c r="B650" s="15"/>
      <c r="C650" s="15"/>
      <c r="D650" s="15"/>
      <c r="E650" s="15"/>
      <c r="F650" s="15"/>
      <c r="G650" s="15"/>
      <c r="H650" s="15"/>
      <c r="I650" s="15"/>
      <c r="J650" s="15"/>
    </row>
    <row r="651" spans="2:10" x14ac:dyDescent="0.35">
      <c r="B651" s="15"/>
      <c r="C651" s="15"/>
      <c r="D651" s="15"/>
      <c r="E651" s="15"/>
      <c r="F651" s="15"/>
      <c r="G651" s="15"/>
      <c r="H651" s="15"/>
      <c r="I651" s="15"/>
      <c r="J651" s="15"/>
    </row>
    <row r="652" spans="2:10" x14ac:dyDescent="0.35">
      <c r="B652" s="15"/>
      <c r="C652" s="15"/>
      <c r="D652" s="15"/>
      <c r="E652" s="15"/>
      <c r="F652" s="15"/>
      <c r="G652" s="15"/>
      <c r="H652" s="15"/>
      <c r="I652" s="15"/>
      <c r="J652" s="15"/>
    </row>
    <row r="653" spans="2:10" x14ac:dyDescent="0.35">
      <c r="B653" s="15"/>
      <c r="C653" s="15"/>
      <c r="D653" s="15"/>
      <c r="E653" s="15"/>
      <c r="F653" s="15"/>
      <c r="G653" s="15"/>
      <c r="H653" s="15"/>
      <c r="I653" s="15"/>
      <c r="J653" s="15"/>
    </row>
    <row r="654" spans="2:10" x14ac:dyDescent="0.35">
      <c r="B654" s="15"/>
      <c r="C654" s="15"/>
      <c r="D654" s="15"/>
      <c r="E654" s="15"/>
      <c r="F654" s="15"/>
      <c r="G654" s="15"/>
      <c r="H654" s="15"/>
      <c r="I654" s="15"/>
      <c r="J654" s="15"/>
    </row>
    <row r="655" spans="2:10" x14ac:dyDescent="0.35">
      <c r="B655" s="15"/>
      <c r="C655" s="15"/>
      <c r="D655" s="15"/>
      <c r="E655" s="15"/>
      <c r="F655" s="15"/>
      <c r="G655" s="15"/>
      <c r="H655" s="15"/>
      <c r="I655" s="15"/>
      <c r="J655" s="15"/>
    </row>
    <row r="656" spans="2:10" x14ac:dyDescent="0.35">
      <c r="B656" s="15"/>
      <c r="C656" s="15"/>
      <c r="D656" s="15"/>
      <c r="E656" s="15"/>
      <c r="F656" s="15"/>
      <c r="G656" s="15"/>
      <c r="H656" s="15"/>
      <c r="I656" s="15"/>
      <c r="J656" s="15"/>
    </row>
    <row r="657" spans="2:10" x14ac:dyDescent="0.35">
      <c r="B657" s="15"/>
      <c r="C657" s="15"/>
      <c r="D657" s="15"/>
      <c r="E657" s="15"/>
      <c r="F657" s="15"/>
      <c r="G657" s="15"/>
      <c r="H657" s="15"/>
      <c r="I657" s="15"/>
      <c r="J657" s="15"/>
    </row>
    <row r="658" spans="2:10" x14ac:dyDescent="0.35">
      <c r="B658" s="15"/>
      <c r="C658" s="15"/>
      <c r="D658" s="15"/>
      <c r="E658" s="15"/>
      <c r="F658" s="15"/>
      <c r="G658" s="15"/>
      <c r="H658" s="15"/>
      <c r="I658" s="15"/>
      <c r="J658" s="15"/>
    </row>
    <row r="659" spans="2:10" x14ac:dyDescent="0.35">
      <c r="B659" s="15"/>
      <c r="C659" s="15"/>
      <c r="D659" s="15"/>
      <c r="E659" s="15"/>
      <c r="F659" s="15"/>
      <c r="G659" s="15"/>
      <c r="H659" s="15"/>
      <c r="I659" s="15"/>
      <c r="J659" s="15"/>
    </row>
    <row r="660" spans="2:10" x14ac:dyDescent="0.35">
      <c r="B660" s="15"/>
      <c r="C660" s="15"/>
      <c r="D660" s="15"/>
      <c r="E660" s="15"/>
      <c r="F660" s="15"/>
      <c r="G660" s="15"/>
      <c r="H660" s="15"/>
      <c r="I660" s="15"/>
      <c r="J660" s="15"/>
    </row>
    <row r="661" spans="2:10" x14ac:dyDescent="0.35">
      <c r="B661" s="15"/>
      <c r="C661" s="15"/>
      <c r="D661" s="15"/>
      <c r="E661" s="15"/>
      <c r="F661" s="15"/>
      <c r="G661" s="15"/>
      <c r="H661" s="15"/>
      <c r="I661" s="15"/>
      <c r="J661" s="15"/>
    </row>
    <row r="662" spans="2:10" x14ac:dyDescent="0.35">
      <c r="B662" s="15"/>
      <c r="C662" s="15"/>
      <c r="D662" s="15"/>
      <c r="E662" s="15"/>
      <c r="F662" s="15"/>
      <c r="G662" s="15"/>
      <c r="H662" s="15"/>
      <c r="I662" s="15"/>
      <c r="J662" s="15"/>
    </row>
    <row r="663" spans="2:10" x14ac:dyDescent="0.35">
      <c r="B663" s="15"/>
      <c r="C663" s="15"/>
      <c r="D663" s="15"/>
      <c r="E663" s="15"/>
      <c r="F663" s="15"/>
      <c r="G663" s="15"/>
      <c r="H663" s="15"/>
      <c r="I663" s="15"/>
      <c r="J663" s="15"/>
    </row>
    <row r="664" spans="2:10" x14ac:dyDescent="0.35">
      <c r="B664" s="15"/>
      <c r="C664" s="15"/>
      <c r="D664" s="15"/>
      <c r="E664" s="15"/>
      <c r="F664" s="15"/>
      <c r="G664" s="15"/>
      <c r="H664" s="15"/>
      <c r="I664" s="15"/>
      <c r="J664" s="15"/>
    </row>
    <row r="665" spans="2:10" x14ac:dyDescent="0.35">
      <c r="B665" s="15"/>
      <c r="C665" s="15"/>
      <c r="D665" s="15"/>
      <c r="E665" s="15"/>
      <c r="F665" s="15"/>
      <c r="G665" s="15"/>
      <c r="H665" s="15"/>
      <c r="I665" s="15"/>
      <c r="J665" s="15"/>
    </row>
    <row r="666" spans="2:10" x14ac:dyDescent="0.35">
      <c r="B666" s="15"/>
      <c r="C666" s="15"/>
      <c r="D666" s="15"/>
      <c r="E666" s="15"/>
      <c r="F666" s="15"/>
      <c r="G666" s="15"/>
      <c r="H666" s="15"/>
      <c r="I666" s="15"/>
      <c r="J666" s="15"/>
    </row>
    <row r="667" spans="2:10" x14ac:dyDescent="0.35">
      <c r="B667" s="15"/>
      <c r="C667" s="15"/>
      <c r="D667" s="15"/>
      <c r="E667" s="15"/>
      <c r="F667" s="15"/>
      <c r="G667" s="15"/>
      <c r="H667" s="15"/>
      <c r="I667" s="15"/>
      <c r="J667" s="15"/>
    </row>
    <row r="668" spans="2:10" x14ac:dyDescent="0.35">
      <c r="B668" s="15"/>
      <c r="C668" s="15"/>
      <c r="D668" s="15"/>
      <c r="E668" s="15"/>
      <c r="F668" s="15"/>
      <c r="G668" s="15"/>
      <c r="H668" s="15"/>
      <c r="I668" s="15"/>
      <c r="J668" s="15"/>
    </row>
    <row r="669" spans="2:10" x14ac:dyDescent="0.35">
      <c r="B669" s="15"/>
      <c r="C669" s="15"/>
      <c r="D669" s="15"/>
      <c r="E669" s="15"/>
      <c r="F669" s="15"/>
      <c r="G669" s="15"/>
      <c r="H669" s="15"/>
      <c r="I669" s="15"/>
      <c r="J669" s="15"/>
    </row>
    <row r="670" spans="2:10" x14ac:dyDescent="0.35">
      <c r="B670" s="15"/>
      <c r="C670" s="15"/>
      <c r="D670" s="15"/>
      <c r="E670" s="15"/>
      <c r="F670" s="15"/>
      <c r="G670" s="15"/>
      <c r="H670" s="15"/>
      <c r="I670" s="15"/>
      <c r="J670" s="15"/>
    </row>
    <row r="671" spans="2:10" x14ac:dyDescent="0.35">
      <c r="B671" s="15"/>
      <c r="C671" s="15"/>
      <c r="D671" s="15"/>
      <c r="E671" s="15"/>
      <c r="F671" s="15"/>
      <c r="G671" s="15"/>
      <c r="H671" s="15"/>
      <c r="I671" s="15"/>
      <c r="J671" s="15"/>
    </row>
    <row r="672" spans="2:10" x14ac:dyDescent="0.35">
      <c r="B672" s="15"/>
      <c r="C672" s="15"/>
      <c r="D672" s="15"/>
      <c r="E672" s="15"/>
      <c r="F672" s="15"/>
      <c r="G672" s="15"/>
      <c r="H672" s="15"/>
      <c r="I672" s="15"/>
      <c r="J672" s="15"/>
    </row>
    <row r="673" spans="2:10" x14ac:dyDescent="0.35">
      <c r="B673" s="15"/>
      <c r="C673" s="15"/>
      <c r="D673" s="15"/>
      <c r="E673" s="15"/>
      <c r="F673" s="15"/>
      <c r="G673" s="15"/>
      <c r="H673" s="15"/>
      <c r="I673" s="15"/>
      <c r="J673" s="15"/>
    </row>
    <row r="674" spans="2:10" x14ac:dyDescent="0.35">
      <c r="B674" s="15"/>
      <c r="C674" s="15"/>
      <c r="D674" s="15"/>
      <c r="E674" s="15"/>
      <c r="F674" s="15"/>
      <c r="G674" s="15"/>
      <c r="H674" s="15"/>
      <c r="I674" s="15"/>
      <c r="J674" s="15"/>
    </row>
    <row r="675" spans="2:10" x14ac:dyDescent="0.35">
      <c r="B675" s="15"/>
      <c r="C675" s="15"/>
      <c r="D675" s="15"/>
      <c r="E675" s="15"/>
      <c r="F675" s="15"/>
      <c r="G675" s="15"/>
      <c r="H675" s="15"/>
      <c r="I675" s="15"/>
      <c r="J675" s="15"/>
    </row>
    <row r="676" spans="2:10" x14ac:dyDescent="0.35">
      <c r="B676" s="15"/>
      <c r="C676" s="15"/>
      <c r="D676" s="15"/>
      <c r="E676" s="15"/>
      <c r="F676" s="15"/>
      <c r="G676" s="15"/>
      <c r="H676" s="15"/>
      <c r="I676" s="15"/>
      <c r="J676" s="15"/>
    </row>
    <row r="677" spans="2:10" x14ac:dyDescent="0.35">
      <c r="B677" s="15"/>
      <c r="C677" s="15"/>
      <c r="D677" s="15"/>
      <c r="E677" s="15"/>
      <c r="F677" s="15"/>
      <c r="G677" s="15"/>
      <c r="H677" s="15"/>
      <c r="I677" s="15"/>
      <c r="J677" s="15"/>
    </row>
    <row r="678" spans="2:10" x14ac:dyDescent="0.35">
      <c r="B678" s="15"/>
      <c r="C678" s="15"/>
      <c r="D678" s="15"/>
      <c r="E678" s="15"/>
      <c r="F678" s="15"/>
      <c r="G678" s="15"/>
      <c r="H678" s="15"/>
      <c r="I678" s="15"/>
      <c r="J678" s="15"/>
    </row>
    <row r="679" spans="2:10" x14ac:dyDescent="0.35">
      <c r="B679" s="15"/>
      <c r="C679" s="15"/>
      <c r="D679" s="15"/>
      <c r="E679" s="15"/>
      <c r="F679" s="15"/>
      <c r="G679" s="15"/>
      <c r="H679" s="15"/>
      <c r="I679" s="15"/>
      <c r="J679" s="15"/>
    </row>
    <row r="680" spans="2:10" x14ac:dyDescent="0.35">
      <c r="B680" s="15"/>
      <c r="C680" s="15"/>
      <c r="D680" s="15"/>
      <c r="E680" s="15"/>
      <c r="F680" s="15"/>
      <c r="G680" s="15"/>
      <c r="H680" s="15"/>
      <c r="I680" s="15"/>
      <c r="J680" s="15"/>
    </row>
    <row r="681" spans="2:10" x14ac:dyDescent="0.35">
      <c r="B681" s="15"/>
      <c r="C681" s="15"/>
      <c r="D681" s="15"/>
      <c r="E681" s="15"/>
      <c r="F681" s="15"/>
      <c r="G681" s="15"/>
      <c r="H681" s="15"/>
      <c r="I681" s="15"/>
      <c r="J681" s="15"/>
    </row>
    <row r="682" spans="2:10" x14ac:dyDescent="0.35">
      <c r="B682" s="15"/>
      <c r="C682" s="15"/>
      <c r="D682" s="15"/>
      <c r="E682" s="15"/>
      <c r="F682" s="15"/>
      <c r="G682" s="15"/>
      <c r="H682" s="15"/>
      <c r="I682" s="15"/>
      <c r="J682" s="15"/>
    </row>
    <row r="683" spans="2:10" x14ac:dyDescent="0.35">
      <c r="B683" s="15"/>
      <c r="C683" s="15"/>
      <c r="D683" s="15"/>
      <c r="E683" s="15"/>
      <c r="F683" s="15"/>
      <c r="G683" s="15"/>
      <c r="H683" s="15"/>
      <c r="I683" s="15"/>
      <c r="J683" s="15"/>
    </row>
    <row r="684" spans="2:10" x14ac:dyDescent="0.35">
      <c r="B684" s="15"/>
      <c r="C684" s="15"/>
      <c r="D684" s="15"/>
      <c r="E684" s="15"/>
      <c r="F684" s="15"/>
      <c r="G684" s="15"/>
      <c r="H684" s="15"/>
      <c r="I684" s="15"/>
      <c r="J684" s="15"/>
    </row>
    <row r="685" spans="2:10" x14ac:dyDescent="0.35">
      <c r="B685" s="15"/>
      <c r="C685" s="15"/>
      <c r="D685" s="15"/>
      <c r="E685" s="15"/>
      <c r="F685" s="15"/>
      <c r="G685" s="15"/>
      <c r="H685" s="15"/>
      <c r="I685" s="15"/>
      <c r="J685" s="15"/>
    </row>
    <row r="686" spans="2:10" x14ac:dyDescent="0.35">
      <c r="B686" s="15"/>
      <c r="C686" s="15"/>
      <c r="D686" s="15"/>
      <c r="E686" s="15"/>
      <c r="F686" s="15"/>
      <c r="G686" s="15"/>
      <c r="H686" s="15"/>
      <c r="I686" s="15"/>
      <c r="J686" s="15"/>
    </row>
    <row r="687" spans="2:10" x14ac:dyDescent="0.35">
      <c r="B687" s="15"/>
      <c r="C687" s="15"/>
      <c r="D687" s="15"/>
      <c r="E687" s="15"/>
      <c r="F687" s="15"/>
      <c r="G687" s="15"/>
      <c r="H687" s="15"/>
      <c r="I687" s="15"/>
      <c r="J687" s="15"/>
    </row>
    <row r="688" spans="2:10" x14ac:dyDescent="0.35">
      <c r="B688" s="15"/>
      <c r="C688" s="15"/>
      <c r="D688" s="15"/>
      <c r="E688" s="15"/>
      <c r="F688" s="15"/>
      <c r="G688" s="15"/>
      <c r="H688" s="15"/>
      <c r="I688" s="15"/>
      <c r="J688" s="15"/>
    </row>
    <row r="689" spans="2:10" x14ac:dyDescent="0.35">
      <c r="B689" s="15"/>
      <c r="C689" s="15"/>
      <c r="D689" s="15"/>
      <c r="E689" s="15"/>
      <c r="F689" s="15"/>
      <c r="G689" s="15"/>
      <c r="H689" s="15"/>
      <c r="I689" s="15"/>
      <c r="J689" s="15"/>
    </row>
    <row r="690" spans="2:10" x14ac:dyDescent="0.35">
      <c r="B690" s="15"/>
      <c r="C690" s="15"/>
      <c r="D690" s="15"/>
      <c r="E690" s="15"/>
      <c r="F690" s="15"/>
      <c r="G690" s="15"/>
      <c r="H690" s="15"/>
      <c r="I690" s="15"/>
      <c r="J690" s="15"/>
    </row>
    <row r="691" spans="2:10" x14ac:dyDescent="0.35">
      <c r="B691" s="15"/>
      <c r="C691" s="15"/>
      <c r="D691" s="15"/>
      <c r="E691" s="15"/>
      <c r="F691" s="15"/>
      <c r="G691" s="15"/>
      <c r="H691" s="15"/>
      <c r="I691" s="15"/>
      <c r="J691" s="15"/>
    </row>
    <row r="692" spans="2:10" x14ac:dyDescent="0.35">
      <c r="B692" s="15"/>
      <c r="C692" s="15"/>
      <c r="D692" s="15"/>
      <c r="E692" s="15"/>
      <c r="F692" s="15"/>
      <c r="G692" s="15"/>
      <c r="H692" s="15"/>
      <c r="I692" s="15"/>
      <c r="J692" s="15"/>
    </row>
    <row r="693" spans="2:10" x14ac:dyDescent="0.35">
      <c r="B693" s="15"/>
      <c r="C693" s="15"/>
      <c r="D693" s="15"/>
      <c r="E693" s="15"/>
      <c r="F693" s="15"/>
      <c r="G693" s="15"/>
      <c r="H693" s="15"/>
      <c r="I693" s="15"/>
      <c r="J693" s="15"/>
    </row>
    <row r="694" spans="2:10" x14ac:dyDescent="0.35">
      <c r="B694" s="15"/>
      <c r="C694" s="15"/>
      <c r="D694" s="15"/>
      <c r="E694" s="15"/>
      <c r="F694" s="15"/>
      <c r="G694" s="15"/>
      <c r="H694" s="15"/>
      <c r="I694" s="15"/>
      <c r="J694" s="15"/>
    </row>
    <row r="695" spans="2:10" x14ac:dyDescent="0.35">
      <c r="B695" s="15"/>
      <c r="C695" s="15"/>
      <c r="D695" s="15"/>
      <c r="E695" s="15"/>
      <c r="F695" s="15"/>
      <c r="G695" s="15"/>
      <c r="H695" s="15"/>
      <c r="I695" s="15"/>
      <c r="J695" s="15"/>
    </row>
    <row r="696" spans="2:10" x14ac:dyDescent="0.35">
      <c r="B696" s="15"/>
      <c r="C696" s="15"/>
      <c r="D696" s="15"/>
      <c r="E696" s="15"/>
      <c r="F696" s="15"/>
      <c r="G696" s="15"/>
      <c r="H696" s="15"/>
      <c r="I696" s="15"/>
      <c r="J696" s="15"/>
    </row>
    <row r="697" spans="2:10" x14ac:dyDescent="0.35">
      <c r="B697" s="15"/>
      <c r="C697" s="15"/>
      <c r="D697" s="15"/>
      <c r="E697" s="15"/>
      <c r="F697" s="15"/>
      <c r="G697" s="15"/>
      <c r="H697" s="15"/>
      <c r="I697" s="15"/>
      <c r="J697" s="15"/>
    </row>
    <row r="698" spans="2:10" x14ac:dyDescent="0.35">
      <c r="B698" s="15"/>
      <c r="C698" s="15"/>
      <c r="D698" s="15"/>
      <c r="E698" s="15"/>
      <c r="F698" s="15"/>
      <c r="G698" s="15"/>
      <c r="H698" s="15"/>
      <c r="I698" s="15"/>
      <c r="J698" s="15"/>
    </row>
    <row r="699" spans="2:10" x14ac:dyDescent="0.35">
      <c r="B699" s="15"/>
      <c r="C699" s="15"/>
      <c r="D699" s="15"/>
      <c r="E699" s="15"/>
      <c r="F699" s="15"/>
      <c r="G699" s="15"/>
      <c r="H699" s="15"/>
      <c r="I699" s="15"/>
      <c r="J699" s="15"/>
    </row>
    <row r="700" spans="2:10" x14ac:dyDescent="0.35">
      <c r="B700" s="15"/>
      <c r="C700" s="15"/>
      <c r="D700" s="15"/>
      <c r="E700" s="15"/>
      <c r="F700" s="15"/>
      <c r="G700" s="15"/>
      <c r="H700" s="15"/>
      <c r="I700" s="15"/>
      <c r="J700" s="15"/>
    </row>
    <row r="701" spans="2:10" x14ac:dyDescent="0.35">
      <c r="B701" s="15"/>
      <c r="C701" s="15"/>
      <c r="D701" s="15"/>
      <c r="E701" s="15"/>
      <c r="F701" s="15"/>
      <c r="G701" s="15"/>
      <c r="H701" s="15"/>
      <c r="I701" s="15"/>
      <c r="J701" s="15"/>
    </row>
    <row r="702" spans="2:10" x14ac:dyDescent="0.35">
      <c r="B702" s="15"/>
      <c r="C702" s="15"/>
      <c r="D702" s="15"/>
      <c r="E702" s="15"/>
      <c r="F702" s="15"/>
      <c r="G702" s="15"/>
      <c r="H702" s="15"/>
      <c r="I702" s="15"/>
      <c r="J702" s="15"/>
    </row>
    <row r="703" spans="2:10" x14ac:dyDescent="0.35">
      <c r="B703" s="15"/>
      <c r="C703" s="15"/>
      <c r="D703" s="15"/>
      <c r="E703" s="15"/>
      <c r="F703" s="15"/>
      <c r="G703" s="15"/>
      <c r="H703" s="15"/>
      <c r="I703" s="15"/>
      <c r="J703" s="15"/>
    </row>
    <row r="704" spans="2:10" x14ac:dyDescent="0.35">
      <c r="B704" s="15"/>
      <c r="C704" s="15"/>
      <c r="D704" s="15"/>
      <c r="E704" s="15"/>
      <c r="F704" s="15"/>
      <c r="G704" s="15"/>
      <c r="H704" s="15"/>
      <c r="I704" s="15"/>
      <c r="J704" s="15"/>
    </row>
    <row r="705" spans="2:10" x14ac:dyDescent="0.35">
      <c r="B705" s="15"/>
      <c r="C705" s="15"/>
      <c r="D705" s="15"/>
      <c r="E705" s="15"/>
      <c r="F705" s="15"/>
      <c r="G705" s="15"/>
      <c r="H705" s="15"/>
      <c r="I705" s="15"/>
      <c r="J705" s="15"/>
    </row>
    <row r="706" spans="2:10" x14ac:dyDescent="0.35">
      <c r="B706" s="15"/>
      <c r="C706" s="15"/>
      <c r="D706" s="15"/>
      <c r="E706" s="15"/>
      <c r="F706" s="15"/>
      <c r="G706" s="15"/>
      <c r="H706" s="15"/>
      <c r="I706" s="15"/>
      <c r="J706" s="15"/>
    </row>
    <row r="707" spans="2:10" x14ac:dyDescent="0.35">
      <c r="B707" s="15"/>
      <c r="C707" s="15"/>
      <c r="D707" s="15"/>
      <c r="E707" s="15"/>
      <c r="F707" s="15"/>
      <c r="G707" s="15"/>
      <c r="H707" s="15"/>
      <c r="I707" s="15"/>
      <c r="J707" s="15"/>
    </row>
    <row r="708" spans="2:10" x14ac:dyDescent="0.35">
      <c r="B708" s="15"/>
      <c r="C708" s="15"/>
      <c r="D708" s="15"/>
      <c r="E708" s="15"/>
      <c r="F708" s="15"/>
      <c r="G708" s="15"/>
      <c r="H708" s="15"/>
      <c r="I708" s="15"/>
      <c r="J708" s="15"/>
    </row>
    <row r="709" spans="2:10" x14ac:dyDescent="0.35">
      <c r="B709" s="15"/>
      <c r="C709" s="15"/>
      <c r="D709" s="15"/>
      <c r="E709" s="15"/>
      <c r="F709" s="15"/>
      <c r="G709" s="15"/>
      <c r="H709" s="15"/>
      <c r="I709" s="15"/>
      <c r="J709" s="15"/>
    </row>
    <row r="710" spans="2:10" x14ac:dyDescent="0.35">
      <c r="B710" s="15"/>
      <c r="C710" s="15"/>
      <c r="D710" s="15"/>
      <c r="E710" s="15"/>
      <c r="F710" s="15"/>
      <c r="G710" s="15"/>
      <c r="H710" s="15"/>
      <c r="I710" s="15"/>
      <c r="J710" s="15"/>
    </row>
    <row r="711" spans="2:10" x14ac:dyDescent="0.35">
      <c r="B711" s="15"/>
      <c r="C711" s="15"/>
      <c r="D711" s="15"/>
      <c r="E711" s="15"/>
      <c r="F711" s="15"/>
      <c r="G711" s="15"/>
      <c r="H711" s="15"/>
      <c r="I711" s="15"/>
      <c r="J711" s="15"/>
    </row>
    <row r="712" spans="2:10" x14ac:dyDescent="0.35">
      <c r="B712" s="15"/>
      <c r="C712" s="15"/>
      <c r="D712" s="15"/>
      <c r="E712" s="15"/>
      <c r="F712" s="15"/>
      <c r="G712" s="15"/>
      <c r="H712" s="15"/>
      <c r="I712" s="15"/>
      <c r="J712" s="15"/>
    </row>
    <row r="713" spans="2:10" x14ac:dyDescent="0.35">
      <c r="B713" s="15"/>
      <c r="C713" s="15"/>
      <c r="D713" s="15"/>
      <c r="E713" s="15"/>
      <c r="F713" s="15"/>
      <c r="G713" s="15"/>
      <c r="H713" s="15"/>
      <c r="I713" s="15"/>
      <c r="J713" s="15"/>
    </row>
    <row r="714" spans="2:10" x14ac:dyDescent="0.35">
      <c r="B714" s="15"/>
      <c r="C714" s="15"/>
      <c r="D714" s="15"/>
      <c r="E714" s="15"/>
      <c r="F714" s="15"/>
      <c r="G714" s="15"/>
      <c r="H714" s="15"/>
      <c r="I714" s="15"/>
      <c r="J714" s="15"/>
    </row>
    <row r="715" spans="2:10" x14ac:dyDescent="0.35">
      <c r="B715" s="15"/>
      <c r="C715" s="15"/>
      <c r="D715" s="15"/>
      <c r="E715" s="15"/>
      <c r="F715" s="15"/>
      <c r="G715" s="15"/>
      <c r="H715" s="15"/>
      <c r="I715" s="15"/>
      <c r="J715" s="15"/>
    </row>
    <row r="716" spans="2:10" x14ac:dyDescent="0.35">
      <c r="B716" s="15"/>
      <c r="C716" s="15"/>
      <c r="D716" s="15"/>
      <c r="E716" s="15"/>
      <c r="F716" s="15"/>
      <c r="G716" s="15"/>
      <c r="H716" s="15"/>
      <c r="I716" s="15"/>
      <c r="J716" s="15"/>
    </row>
    <row r="717" spans="2:10" x14ac:dyDescent="0.35">
      <c r="B717" s="15"/>
      <c r="C717" s="15"/>
      <c r="D717" s="15"/>
      <c r="E717" s="15"/>
      <c r="F717" s="15"/>
      <c r="G717" s="15"/>
      <c r="H717" s="15"/>
      <c r="I717" s="15"/>
      <c r="J717" s="15"/>
    </row>
    <row r="718" spans="2:10" x14ac:dyDescent="0.35">
      <c r="B718" s="15"/>
      <c r="C718" s="15"/>
      <c r="D718" s="15"/>
      <c r="E718" s="15"/>
      <c r="F718" s="15"/>
      <c r="G718" s="15"/>
      <c r="H718" s="15"/>
      <c r="I718" s="15"/>
      <c r="J718" s="15"/>
    </row>
    <row r="719" spans="2:10" x14ac:dyDescent="0.35">
      <c r="B719" s="15"/>
      <c r="C719" s="15"/>
      <c r="D719" s="15"/>
      <c r="E719" s="15"/>
      <c r="F719" s="15"/>
      <c r="G719" s="15"/>
      <c r="H719" s="15"/>
      <c r="I719" s="15"/>
      <c r="J719" s="15"/>
    </row>
    <row r="720" spans="2:10" x14ac:dyDescent="0.35">
      <c r="B720" s="15"/>
      <c r="C720" s="15"/>
      <c r="D720" s="15"/>
      <c r="E720" s="15"/>
      <c r="F720" s="15"/>
      <c r="G720" s="15"/>
      <c r="H720" s="15"/>
      <c r="I720" s="15"/>
      <c r="J720" s="15"/>
    </row>
    <row r="721" spans="2:10" x14ac:dyDescent="0.35">
      <c r="B721" s="15"/>
      <c r="C721" s="15"/>
      <c r="D721" s="15"/>
      <c r="E721" s="15"/>
      <c r="F721" s="15"/>
      <c r="G721" s="15"/>
      <c r="H721" s="15"/>
      <c r="I721" s="15"/>
      <c r="J721" s="15"/>
    </row>
    <row r="722" spans="2:10" x14ac:dyDescent="0.35">
      <c r="B722" s="15"/>
      <c r="C722" s="15"/>
      <c r="D722" s="15"/>
      <c r="E722" s="15"/>
      <c r="F722" s="15"/>
      <c r="G722" s="15"/>
      <c r="H722" s="15"/>
      <c r="I722" s="15"/>
      <c r="J722" s="15"/>
    </row>
    <row r="723" spans="2:10" x14ac:dyDescent="0.35">
      <c r="B723" s="15"/>
      <c r="C723" s="15"/>
      <c r="D723" s="15"/>
      <c r="E723" s="15"/>
      <c r="F723" s="15"/>
      <c r="G723" s="15"/>
      <c r="H723" s="15"/>
      <c r="I723" s="15"/>
      <c r="J723" s="15"/>
    </row>
    <row r="724" spans="2:10" x14ac:dyDescent="0.35">
      <c r="B724" s="15"/>
      <c r="C724" s="15"/>
      <c r="D724" s="15"/>
      <c r="E724" s="15"/>
      <c r="F724" s="15"/>
      <c r="G724" s="15"/>
      <c r="H724" s="15"/>
      <c r="I724" s="15"/>
      <c r="J724" s="15"/>
    </row>
    <row r="725" spans="2:10" x14ac:dyDescent="0.35">
      <c r="B725" s="15"/>
      <c r="C725" s="15"/>
      <c r="D725" s="15"/>
      <c r="E725" s="15"/>
      <c r="F725" s="15"/>
      <c r="G725" s="15"/>
      <c r="H725" s="15"/>
      <c r="I725" s="15"/>
      <c r="J725" s="15"/>
    </row>
    <row r="726" spans="2:10" x14ac:dyDescent="0.35">
      <c r="B726" s="15"/>
      <c r="C726" s="15"/>
      <c r="D726" s="15"/>
      <c r="E726" s="15"/>
      <c r="F726" s="15"/>
      <c r="G726" s="15"/>
      <c r="H726" s="15"/>
      <c r="I726" s="15"/>
      <c r="J726" s="15"/>
    </row>
    <row r="727" spans="2:10" x14ac:dyDescent="0.35">
      <c r="B727" s="15"/>
      <c r="C727" s="15"/>
      <c r="D727" s="15"/>
      <c r="E727" s="15"/>
      <c r="F727" s="15"/>
      <c r="G727" s="15"/>
      <c r="H727" s="15"/>
      <c r="I727" s="15"/>
      <c r="J727" s="15"/>
    </row>
    <row r="728" spans="2:10" x14ac:dyDescent="0.35">
      <c r="B728" s="15"/>
      <c r="C728" s="15"/>
      <c r="D728" s="15"/>
      <c r="E728" s="15"/>
      <c r="F728" s="15"/>
      <c r="G728" s="15"/>
      <c r="H728" s="15"/>
      <c r="I728" s="15"/>
      <c r="J728" s="15"/>
    </row>
    <row r="729" spans="2:10" x14ac:dyDescent="0.35">
      <c r="B729" s="15"/>
      <c r="C729" s="15"/>
      <c r="D729" s="15"/>
      <c r="E729" s="15"/>
      <c r="F729" s="15"/>
      <c r="G729" s="15"/>
      <c r="H729" s="15"/>
      <c r="I729" s="15"/>
      <c r="J729" s="15"/>
    </row>
    <row r="730" spans="2:10" x14ac:dyDescent="0.35">
      <c r="B730" s="15"/>
      <c r="C730" s="15"/>
      <c r="D730" s="15"/>
      <c r="E730" s="15"/>
      <c r="F730" s="15"/>
      <c r="G730" s="15"/>
      <c r="H730" s="15"/>
      <c r="I730" s="15"/>
      <c r="J730" s="15"/>
    </row>
    <row r="731" spans="2:10" x14ac:dyDescent="0.35">
      <c r="B731" s="15"/>
      <c r="C731" s="15"/>
      <c r="D731" s="15"/>
      <c r="E731" s="15"/>
      <c r="F731" s="15"/>
      <c r="G731" s="15"/>
      <c r="H731" s="15"/>
      <c r="I731" s="15"/>
      <c r="J731" s="15"/>
    </row>
    <row r="732" spans="2:10" x14ac:dyDescent="0.35">
      <c r="B732" s="15"/>
      <c r="C732" s="15"/>
      <c r="D732" s="15"/>
      <c r="E732" s="15"/>
      <c r="F732" s="15"/>
      <c r="G732" s="15"/>
      <c r="H732" s="15"/>
      <c r="I732" s="15"/>
      <c r="J732" s="15"/>
    </row>
    <row r="733" spans="2:10" x14ac:dyDescent="0.35">
      <c r="B733" s="15"/>
      <c r="C733" s="15"/>
      <c r="D733" s="15"/>
      <c r="E733" s="15"/>
      <c r="F733" s="15"/>
      <c r="G733" s="15"/>
      <c r="H733" s="15"/>
      <c r="I733" s="15"/>
      <c r="J733" s="15"/>
    </row>
    <row r="734" spans="2:10" x14ac:dyDescent="0.35">
      <c r="B734" s="15"/>
      <c r="C734" s="15"/>
      <c r="D734" s="15"/>
      <c r="E734" s="15"/>
      <c r="F734" s="15"/>
      <c r="G734" s="15"/>
      <c r="H734" s="15"/>
      <c r="I734" s="15"/>
      <c r="J734" s="15"/>
    </row>
    <row r="735" spans="2:10" x14ac:dyDescent="0.35">
      <c r="B735" s="15"/>
      <c r="C735" s="15"/>
      <c r="D735" s="15"/>
      <c r="E735" s="15"/>
      <c r="F735" s="15"/>
      <c r="G735" s="15"/>
      <c r="H735" s="15"/>
      <c r="I735" s="15"/>
      <c r="J735" s="15"/>
    </row>
  </sheetData>
  <hyperlinks>
    <hyperlink ref="B12" location="'Kraken OHLC data'!B12" display="Get"/>
  </hyperlink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K513"/>
  <sheetViews>
    <sheetView workbookViewId="0">
      <selection activeCell="B10" sqref="B10"/>
    </sheetView>
  </sheetViews>
  <sheetFormatPr baseColWidth="10" defaultRowHeight="14.5" x14ac:dyDescent="0.35"/>
  <cols>
    <col min="10" max="11" width="17.54296875" bestFit="1" customWidth="1"/>
  </cols>
  <sheetData>
    <row r="2" spans="2:11" ht="17.5" x14ac:dyDescent="0.35">
      <c r="B2" s="13" t="s">
        <v>528</v>
      </c>
    </row>
    <row r="3" spans="2:11" x14ac:dyDescent="0.35">
      <c r="B3" t="s">
        <v>529</v>
      </c>
    </row>
    <row r="5" spans="2:11" x14ac:dyDescent="0.35">
      <c r="B5" t="s">
        <v>24</v>
      </c>
      <c r="C5" t="s">
        <v>515</v>
      </c>
    </row>
    <row r="6" spans="2:11" x14ac:dyDescent="0.35">
      <c r="C6" s="10" t="s">
        <v>0</v>
      </c>
      <c r="D6" t="s">
        <v>525</v>
      </c>
    </row>
    <row r="7" spans="2:11" x14ac:dyDescent="0.35">
      <c r="C7" t="s">
        <v>530</v>
      </c>
    </row>
    <row r="8" spans="2:11" x14ac:dyDescent="0.35">
      <c r="C8" s="10">
        <v>100</v>
      </c>
      <c r="D8" t="s">
        <v>544</v>
      </c>
    </row>
    <row r="10" spans="2:11" x14ac:dyDescent="0.35">
      <c r="B10" s="18" t="s">
        <v>19</v>
      </c>
      <c r="D10" s="16"/>
    </row>
    <row r="11" spans="2:11" ht="15" thickBot="1" x14ac:dyDescent="0.4"/>
    <row r="12" spans="2:11" ht="15.5" thickTop="1" thickBot="1" x14ac:dyDescent="0.4">
      <c r="C12" s="22" t="s">
        <v>531</v>
      </c>
      <c r="D12" s="22"/>
      <c r="E12" s="22"/>
      <c r="F12" s="22" t="s">
        <v>532</v>
      </c>
      <c r="G12" s="22"/>
      <c r="H12" s="22"/>
    </row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533</v>
      </c>
      <c r="F13" s="3" t="s">
        <v>508</v>
      </c>
      <c r="G13" s="3" t="s">
        <v>501</v>
      </c>
      <c r="H13" s="3" t="s">
        <v>533</v>
      </c>
    </row>
    <row r="14" spans="2:11" ht="15" thickTop="1" x14ac:dyDescent="0.35">
      <c r="B14" s="15" t="s">
        <v>0</v>
      </c>
      <c r="C14" s="15">
        <v>8587.7999999999993</v>
      </c>
      <c r="D14" s="15">
        <v>4.0179999999999998</v>
      </c>
      <c r="E14" s="15">
        <v>1591606814</v>
      </c>
      <c r="F14" s="15">
        <v>8587.7000000000007</v>
      </c>
      <c r="G14" s="15">
        <v>8.9749999999999996</v>
      </c>
      <c r="H14" s="15">
        <v>1591606801</v>
      </c>
      <c r="J14" s="19">
        <f>IFERROR(TimestampToExcel_2(H14),)</f>
        <v>43990.37501157407</v>
      </c>
      <c r="K14" s="19">
        <f>IFERROR(TimestampToExcel_2(H14),)</f>
        <v>43990.37501157407</v>
      </c>
    </row>
    <row r="15" spans="2:11" x14ac:dyDescent="0.35">
      <c r="B15" s="15" t="s">
        <v>0</v>
      </c>
      <c r="C15" s="15">
        <v>8588.1</v>
      </c>
      <c r="D15" s="15">
        <v>4.4999999999999998E-2</v>
      </c>
      <c r="E15" s="15">
        <v>1591606800</v>
      </c>
      <c r="F15" s="15">
        <v>8587.5</v>
      </c>
      <c r="G15" s="15">
        <v>0.5</v>
      </c>
      <c r="H15" s="15">
        <v>1591606800</v>
      </c>
      <c r="J15" s="19">
        <f t="shared" ref="J15:J18" si="0">IFERROR(TimestampToExcel_2(H15),)</f>
        <v>43990.375</v>
      </c>
      <c r="K15" s="19">
        <f t="shared" ref="K15:K18" si="1">IFERROR(TimestampToExcel_2(H15),)</f>
        <v>43990.375</v>
      </c>
    </row>
    <row r="16" spans="2:11" x14ac:dyDescent="0.35">
      <c r="B16" s="15" t="s">
        <v>0</v>
      </c>
      <c r="C16" s="15">
        <v>8588.7000000000007</v>
      </c>
      <c r="D16" s="15">
        <v>0.09</v>
      </c>
      <c r="E16" s="15">
        <v>1591606810</v>
      </c>
      <c r="F16" s="15">
        <v>8586.9</v>
      </c>
      <c r="G16" s="15">
        <v>6.0000000000000001E-3</v>
      </c>
      <c r="H16" s="15">
        <v>1591606796</v>
      </c>
      <c r="J16" s="19">
        <f t="shared" si="0"/>
        <v>43990.374953703707</v>
      </c>
      <c r="K16" s="19">
        <f t="shared" si="1"/>
        <v>43990.374953703707</v>
      </c>
    </row>
    <row r="17" spans="2:11" x14ac:dyDescent="0.35">
      <c r="B17" s="15" t="s">
        <v>0</v>
      </c>
      <c r="C17" s="15">
        <v>8589.6</v>
      </c>
      <c r="D17" s="15">
        <v>0.69299999999999995</v>
      </c>
      <c r="E17" s="15">
        <v>1591606815</v>
      </c>
      <c r="F17" s="15">
        <v>8586.4</v>
      </c>
      <c r="G17" s="15">
        <v>1.5269999999999999</v>
      </c>
      <c r="H17" s="15">
        <v>1591606794</v>
      </c>
      <c r="J17" s="19">
        <f t="shared" si="0"/>
        <v>43990.374930555554</v>
      </c>
      <c r="K17" s="19">
        <f t="shared" si="1"/>
        <v>43990.374930555554</v>
      </c>
    </row>
    <row r="18" spans="2:11" x14ac:dyDescent="0.35">
      <c r="B18" s="15" t="s">
        <v>0</v>
      </c>
      <c r="C18" s="15">
        <v>8589.7000000000007</v>
      </c>
      <c r="D18" s="15">
        <v>1.3520000000000001</v>
      </c>
      <c r="E18" s="15">
        <v>1591606812</v>
      </c>
      <c r="F18" s="15">
        <v>8585.4</v>
      </c>
      <c r="G18" s="15">
        <v>0.52500000000000002</v>
      </c>
      <c r="H18" s="15">
        <v>1591606760</v>
      </c>
      <c r="J18" s="19">
        <f t="shared" si="0"/>
        <v>43990.374537037038</v>
      </c>
      <c r="K18" s="19">
        <f t="shared" si="1"/>
        <v>43990.374537037038</v>
      </c>
    </row>
    <row r="19" spans="2:11" x14ac:dyDescent="0.35">
      <c r="B19" s="15" t="s">
        <v>0</v>
      </c>
      <c r="C19" s="15">
        <v>8589.7999999999993</v>
      </c>
      <c r="D19" s="15">
        <v>0.1</v>
      </c>
      <c r="E19" s="15">
        <v>1591606799</v>
      </c>
      <c r="F19" s="15">
        <v>8584.9</v>
      </c>
      <c r="G19" s="15">
        <v>4.0179999999999998</v>
      </c>
      <c r="H19" s="15">
        <v>1591606806</v>
      </c>
    </row>
    <row r="20" spans="2:11" x14ac:dyDescent="0.35">
      <c r="B20" s="15" t="s">
        <v>0</v>
      </c>
      <c r="C20" s="15">
        <v>8589.9</v>
      </c>
      <c r="D20" s="15">
        <v>0.1</v>
      </c>
      <c r="E20" s="15">
        <v>1591606814</v>
      </c>
      <c r="F20" s="15">
        <v>8583.9</v>
      </c>
      <c r="G20" s="15">
        <v>10</v>
      </c>
      <c r="H20" s="15">
        <v>1591606797</v>
      </c>
    </row>
    <row r="21" spans="2:11" x14ac:dyDescent="0.35">
      <c r="B21" s="15" t="s">
        <v>0</v>
      </c>
      <c r="C21" s="15">
        <v>8590</v>
      </c>
      <c r="D21" s="15">
        <v>35.386000000000003</v>
      </c>
      <c r="E21" s="15">
        <v>1591606791</v>
      </c>
      <c r="F21" s="15">
        <v>8583.7999999999993</v>
      </c>
      <c r="G21" s="15">
        <v>0.31900000000000001</v>
      </c>
      <c r="H21" s="15">
        <v>1591606781</v>
      </c>
    </row>
    <row r="22" spans="2:11" x14ac:dyDescent="0.35">
      <c r="B22" s="15" t="s">
        <v>0</v>
      </c>
      <c r="C22" s="15">
        <v>8590.1</v>
      </c>
      <c r="D22" s="15">
        <v>0.878</v>
      </c>
      <c r="E22" s="15">
        <v>1591606812</v>
      </c>
      <c r="F22" s="15">
        <v>8583.7000000000007</v>
      </c>
      <c r="G22" s="15">
        <v>0.26600000000000001</v>
      </c>
      <c r="H22" s="15">
        <v>1591606777</v>
      </c>
    </row>
    <row r="23" spans="2:11" x14ac:dyDescent="0.35">
      <c r="B23" s="15" t="s">
        <v>0</v>
      </c>
      <c r="C23" s="15">
        <v>8590.4</v>
      </c>
      <c r="D23" s="15">
        <v>2.7</v>
      </c>
      <c r="E23" s="15">
        <v>1591606799</v>
      </c>
      <c r="F23" s="15">
        <v>8583</v>
      </c>
      <c r="G23" s="15">
        <v>0.155</v>
      </c>
      <c r="H23" s="15">
        <v>1591606813</v>
      </c>
    </row>
    <row r="24" spans="2:11" x14ac:dyDescent="0.35">
      <c r="B24" s="15" t="s">
        <v>0</v>
      </c>
      <c r="C24" s="15">
        <v>8590.5</v>
      </c>
      <c r="D24" s="15">
        <v>2.0760000000000001</v>
      </c>
      <c r="E24" s="15">
        <v>1591606815</v>
      </c>
      <c r="F24" s="15">
        <v>8582.2000000000007</v>
      </c>
      <c r="G24" s="15">
        <v>0.13600000000000001</v>
      </c>
      <c r="H24" s="15">
        <v>1591606810</v>
      </c>
    </row>
    <row r="25" spans="2:11" x14ac:dyDescent="0.35">
      <c r="B25" s="15" t="s">
        <v>0</v>
      </c>
      <c r="C25" s="15">
        <v>8590.6</v>
      </c>
      <c r="D25" s="15">
        <v>3.95</v>
      </c>
      <c r="E25" s="15">
        <v>1591606815</v>
      </c>
      <c r="F25" s="15">
        <v>8582.1</v>
      </c>
      <c r="G25" s="15">
        <v>0.16</v>
      </c>
      <c r="H25" s="15">
        <v>1591606811</v>
      </c>
    </row>
    <row r="26" spans="2:11" x14ac:dyDescent="0.35">
      <c r="B26" s="15" t="s">
        <v>0</v>
      </c>
      <c r="C26" s="15">
        <v>8590.7000000000007</v>
      </c>
      <c r="D26" s="15">
        <v>0.77700000000000002</v>
      </c>
      <c r="E26" s="15">
        <v>1591606802</v>
      </c>
      <c r="F26" s="15">
        <v>8582</v>
      </c>
      <c r="G26" s="15">
        <v>0.99399999999999999</v>
      </c>
      <c r="H26" s="15">
        <v>1591606809</v>
      </c>
    </row>
    <row r="27" spans="2:11" x14ac:dyDescent="0.35">
      <c r="B27" s="15" t="s">
        <v>0</v>
      </c>
      <c r="C27" s="15">
        <v>8590.7999999999993</v>
      </c>
      <c r="D27" s="15">
        <v>0.69099999999999995</v>
      </c>
      <c r="E27" s="15">
        <v>1591606806</v>
      </c>
      <c r="F27" s="15">
        <v>8581.9</v>
      </c>
      <c r="G27" s="15">
        <v>0.29399999999999998</v>
      </c>
      <c r="H27" s="15">
        <v>1591606716</v>
      </c>
    </row>
    <row r="28" spans="2:11" x14ac:dyDescent="0.35">
      <c r="B28" s="15" t="s">
        <v>0</v>
      </c>
      <c r="C28" s="15">
        <v>8590.9</v>
      </c>
      <c r="D28" s="15">
        <v>0.88300000000000001</v>
      </c>
      <c r="E28" s="15">
        <v>1591606810</v>
      </c>
      <c r="F28" s="15">
        <v>8581.7000000000007</v>
      </c>
      <c r="G28" s="15">
        <v>0.106</v>
      </c>
      <c r="H28" s="15">
        <v>1591606785</v>
      </c>
    </row>
    <row r="29" spans="2:11" x14ac:dyDescent="0.35">
      <c r="B29" s="15" t="s">
        <v>0</v>
      </c>
      <c r="C29" s="15">
        <v>8591.1</v>
      </c>
      <c r="D29" s="15">
        <v>1.5</v>
      </c>
      <c r="E29" s="15">
        <v>1591606757</v>
      </c>
      <c r="F29" s="15">
        <v>8581.1</v>
      </c>
      <c r="G29" s="15">
        <v>2.1280000000000001</v>
      </c>
      <c r="H29" s="15">
        <v>1591606784</v>
      </c>
    </row>
    <row r="30" spans="2:11" x14ac:dyDescent="0.35">
      <c r="B30" s="15" t="s">
        <v>0</v>
      </c>
      <c r="C30" s="15">
        <v>8591.2000000000007</v>
      </c>
      <c r="D30" s="15">
        <v>1</v>
      </c>
      <c r="E30" s="15">
        <v>1591606801</v>
      </c>
      <c r="F30" s="15">
        <v>8580.4</v>
      </c>
      <c r="G30" s="15">
        <v>2E-3</v>
      </c>
      <c r="H30" s="15">
        <v>1591606780</v>
      </c>
    </row>
    <row r="31" spans="2:11" x14ac:dyDescent="0.35">
      <c r="B31" s="15" t="s">
        <v>0</v>
      </c>
      <c r="C31" s="15">
        <v>8591.2999999999993</v>
      </c>
      <c r="D31" s="15">
        <v>0.37</v>
      </c>
      <c r="E31" s="15">
        <v>1591606783</v>
      </c>
      <c r="F31" s="15">
        <v>8580.2999999999993</v>
      </c>
      <c r="G31" s="15">
        <v>5.3079999999999998</v>
      </c>
      <c r="H31" s="15">
        <v>1591606807</v>
      </c>
    </row>
    <row r="32" spans="2:11" x14ac:dyDescent="0.35">
      <c r="B32" s="15" t="s">
        <v>0</v>
      </c>
      <c r="C32" s="15">
        <v>8591.6</v>
      </c>
      <c r="D32" s="15">
        <v>3.5000000000000003E-2</v>
      </c>
      <c r="E32" s="15">
        <v>1591606810</v>
      </c>
      <c r="F32" s="15">
        <v>8580.1</v>
      </c>
      <c r="G32" s="15">
        <v>0.432</v>
      </c>
      <c r="H32" s="15">
        <v>1591606692</v>
      </c>
    </row>
    <row r="33" spans="2:8" x14ac:dyDescent="0.35">
      <c r="B33" s="15" t="s">
        <v>0</v>
      </c>
      <c r="C33" s="15">
        <v>8591.7000000000007</v>
      </c>
      <c r="D33" s="15">
        <v>0.309</v>
      </c>
      <c r="E33" s="15">
        <v>1591606803</v>
      </c>
      <c r="F33" s="15">
        <v>8580</v>
      </c>
      <c r="G33" s="15">
        <v>0.59399999999999997</v>
      </c>
      <c r="H33" s="15">
        <v>1591606752</v>
      </c>
    </row>
    <row r="34" spans="2:8" x14ac:dyDescent="0.35">
      <c r="B34" s="15" t="s">
        <v>0</v>
      </c>
      <c r="C34" s="15">
        <v>8591.7999999999993</v>
      </c>
      <c r="D34" s="15">
        <v>1.0329999999999999</v>
      </c>
      <c r="E34" s="15">
        <v>1591606768</v>
      </c>
      <c r="F34" s="15">
        <v>8579.7999999999993</v>
      </c>
      <c r="G34" s="15">
        <v>7.0000000000000001E-3</v>
      </c>
      <c r="H34" s="15">
        <v>1591606730</v>
      </c>
    </row>
    <row r="35" spans="2:8" x14ac:dyDescent="0.35">
      <c r="B35" s="15" t="s">
        <v>0</v>
      </c>
      <c r="C35" s="15">
        <v>8592.1</v>
      </c>
      <c r="D35" s="15">
        <v>1.3340000000000001</v>
      </c>
      <c r="E35" s="15">
        <v>1591606812</v>
      </c>
      <c r="F35" s="15">
        <v>8579.6</v>
      </c>
      <c r="G35" s="15">
        <v>5.1999999999999998E-2</v>
      </c>
      <c r="H35" s="15">
        <v>1591606711</v>
      </c>
    </row>
    <row r="36" spans="2:8" x14ac:dyDescent="0.35">
      <c r="B36" s="15" t="s">
        <v>0</v>
      </c>
      <c r="C36" s="15">
        <v>8592.2999999999993</v>
      </c>
      <c r="D36" s="15">
        <v>4.0659999999999998</v>
      </c>
      <c r="E36" s="15">
        <v>1591606758</v>
      </c>
      <c r="F36" s="15">
        <v>8579.2999999999993</v>
      </c>
      <c r="G36" s="15">
        <v>0.30399999999999999</v>
      </c>
      <c r="H36" s="15">
        <v>1591606652</v>
      </c>
    </row>
    <row r="37" spans="2:8" x14ac:dyDescent="0.35">
      <c r="B37" s="15" t="s">
        <v>0</v>
      </c>
      <c r="C37" s="15">
        <v>8592.7000000000007</v>
      </c>
      <c r="D37" s="15">
        <v>1.782</v>
      </c>
      <c r="E37" s="15">
        <v>1591606794</v>
      </c>
      <c r="F37" s="15">
        <v>8579</v>
      </c>
      <c r="G37" s="15">
        <v>0.49</v>
      </c>
      <c r="H37" s="15">
        <v>1591606788</v>
      </c>
    </row>
    <row r="38" spans="2:8" x14ac:dyDescent="0.35">
      <c r="B38" s="15" t="s">
        <v>0</v>
      </c>
      <c r="C38" s="15">
        <v>8592.7999999999993</v>
      </c>
      <c r="D38" s="15">
        <v>1.2330000000000001</v>
      </c>
      <c r="E38" s="15">
        <v>1591606816</v>
      </c>
      <c r="F38" s="15">
        <v>8578.9</v>
      </c>
      <c r="G38" s="15">
        <v>0.93500000000000005</v>
      </c>
      <c r="H38" s="15">
        <v>1591606773</v>
      </c>
    </row>
    <row r="39" spans="2:8" x14ac:dyDescent="0.35">
      <c r="B39" s="15" t="s">
        <v>0</v>
      </c>
      <c r="C39" s="15">
        <v>8593.5</v>
      </c>
      <c r="D39" s="15">
        <v>4.2999999999999997E-2</v>
      </c>
      <c r="E39" s="15">
        <v>1591606798</v>
      </c>
      <c r="F39" s="15">
        <v>8578.7000000000007</v>
      </c>
      <c r="G39" s="15">
        <v>0.29399999999999998</v>
      </c>
      <c r="H39" s="15">
        <v>1591606510</v>
      </c>
    </row>
    <row r="40" spans="2:8" x14ac:dyDescent="0.35">
      <c r="B40" s="15" t="s">
        <v>0</v>
      </c>
      <c r="C40" s="15">
        <v>8593.6</v>
      </c>
      <c r="D40" s="15">
        <v>2.8</v>
      </c>
      <c r="E40" s="15">
        <v>1591606811</v>
      </c>
      <c r="F40" s="15">
        <v>8578.6</v>
      </c>
      <c r="G40" s="15">
        <v>1.0329999999999999</v>
      </c>
      <c r="H40" s="15">
        <v>1591606797</v>
      </c>
    </row>
    <row r="41" spans="2:8" x14ac:dyDescent="0.35">
      <c r="B41" s="15" t="s">
        <v>0</v>
      </c>
      <c r="C41" s="15">
        <v>8593.7000000000007</v>
      </c>
      <c r="D41" s="15">
        <v>0.72699999999999998</v>
      </c>
      <c r="E41" s="15">
        <v>1591606797</v>
      </c>
      <c r="F41" s="15">
        <v>8578.2999999999993</v>
      </c>
      <c r="G41" s="15">
        <v>0.3</v>
      </c>
      <c r="H41" s="15">
        <v>1591606713</v>
      </c>
    </row>
    <row r="42" spans="2:8" x14ac:dyDescent="0.35">
      <c r="B42" s="15" t="s">
        <v>0</v>
      </c>
      <c r="C42" s="15">
        <v>8594</v>
      </c>
      <c r="D42" s="15">
        <v>0.38</v>
      </c>
      <c r="E42" s="15">
        <v>1591606813</v>
      </c>
      <c r="F42" s="15">
        <v>8577.5</v>
      </c>
      <c r="G42" s="15">
        <v>1.6890000000000001</v>
      </c>
      <c r="H42" s="15">
        <v>1591606799</v>
      </c>
    </row>
    <row r="43" spans="2:8" x14ac:dyDescent="0.35">
      <c r="B43" s="15" t="s">
        <v>0</v>
      </c>
      <c r="C43" s="15">
        <v>8594.1</v>
      </c>
      <c r="D43" s="15">
        <v>10</v>
      </c>
      <c r="E43" s="15">
        <v>1591606757</v>
      </c>
      <c r="F43" s="15">
        <v>8576.6</v>
      </c>
      <c r="G43" s="15">
        <v>3</v>
      </c>
      <c r="H43" s="15">
        <v>1591606797</v>
      </c>
    </row>
    <row r="44" spans="2:8" x14ac:dyDescent="0.35">
      <c r="B44" s="15" t="s">
        <v>0</v>
      </c>
      <c r="C44" s="15">
        <v>8594.5</v>
      </c>
      <c r="D44" s="15">
        <v>1.3580000000000001</v>
      </c>
      <c r="E44" s="15">
        <v>1591606736</v>
      </c>
      <c r="F44" s="15">
        <v>8576.5</v>
      </c>
      <c r="G44" s="15">
        <v>1.0329999999999999</v>
      </c>
      <c r="H44" s="15">
        <v>1591606776</v>
      </c>
    </row>
    <row r="45" spans="2:8" x14ac:dyDescent="0.35">
      <c r="B45" s="15" t="s">
        <v>0</v>
      </c>
      <c r="C45" s="15">
        <v>8594.6</v>
      </c>
      <c r="D45" s="15">
        <v>2.4449999999999998</v>
      </c>
      <c r="E45" s="15">
        <v>1591606813</v>
      </c>
      <c r="F45" s="15">
        <v>8576.4</v>
      </c>
      <c r="G45" s="15">
        <v>7.5039999999999996</v>
      </c>
      <c r="H45" s="15">
        <v>1591606786</v>
      </c>
    </row>
    <row r="46" spans="2:8" x14ac:dyDescent="0.35">
      <c r="B46" s="15" t="s">
        <v>0</v>
      </c>
      <c r="C46" s="15">
        <v>8594.7000000000007</v>
      </c>
      <c r="D46" s="15">
        <v>1.34</v>
      </c>
      <c r="E46" s="15">
        <v>1591606756</v>
      </c>
      <c r="F46" s="15">
        <v>8575.4</v>
      </c>
      <c r="G46" s="15">
        <v>3.5999999999999997E-2</v>
      </c>
      <c r="H46" s="15">
        <v>1591606795</v>
      </c>
    </row>
    <row r="47" spans="2:8" x14ac:dyDescent="0.35">
      <c r="B47" s="15" t="s">
        <v>0</v>
      </c>
      <c r="C47" s="15">
        <v>8594.9</v>
      </c>
      <c r="D47" s="15">
        <v>7.1130000000000004</v>
      </c>
      <c r="E47" s="15">
        <v>1591606759</v>
      </c>
      <c r="F47" s="15">
        <v>8575</v>
      </c>
      <c r="G47" s="15">
        <v>1.2E-2</v>
      </c>
      <c r="H47" s="15">
        <v>1591606602</v>
      </c>
    </row>
    <row r="48" spans="2:8" x14ac:dyDescent="0.35">
      <c r="B48" s="15" t="s">
        <v>0</v>
      </c>
      <c r="C48" s="15">
        <v>8595</v>
      </c>
      <c r="D48" s="15">
        <v>0.51500000000000001</v>
      </c>
      <c r="E48" s="15">
        <v>1591606786</v>
      </c>
      <c r="F48" s="15">
        <v>8574.7999999999993</v>
      </c>
      <c r="G48" s="15">
        <v>0.5</v>
      </c>
      <c r="H48" s="15">
        <v>1591606708</v>
      </c>
    </row>
    <row r="49" spans="2:8" x14ac:dyDescent="0.35">
      <c r="B49" s="15" t="s">
        <v>0</v>
      </c>
      <c r="C49" s="15">
        <v>8595.2000000000007</v>
      </c>
      <c r="D49" s="15">
        <v>0.29099999999999998</v>
      </c>
      <c r="E49" s="15">
        <v>1591606786</v>
      </c>
      <c r="F49" s="15">
        <v>8574.6</v>
      </c>
      <c r="G49" s="15">
        <v>2</v>
      </c>
      <c r="H49" s="15">
        <v>1591606786</v>
      </c>
    </row>
    <row r="50" spans="2:8" x14ac:dyDescent="0.35">
      <c r="B50" s="15" t="s">
        <v>0</v>
      </c>
      <c r="C50" s="15">
        <v>8595.5</v>
      </c>
      <c r="D50" s="15">
        <v>1.048</v>
      </c>
      <c r="E50" s="15">
        <v>1591606803</v>
      </c>
      <c r="F50" s="15">
        <v>8574.5</v>
      </c>
      <c r="G50" s="15">
        <v>0.09</v>
      </c>
      <c r="H50" s="15">
        <v>1591606809</v>
      </c>
    </row>
    <row r="51" spans="2:8" x14ac:dyDescent="0.35">
      <c r="B51" s="15" t="s">
        <v>0</v>
      </c>
      <c r="C51" s="15">
        <v>8595.6</v>
      </c>
      <c r="D51" s="15">
        <v>9.3330000000000002</v>
      </c>
      <c r="E51" s="15">
        <v>1591606715</v>
      </c>
      <c r="F51" s="15">
        <v>8574.2000000000007</v>
      </c>
      <c r="G51" s="15">
        <v>0.216</v>
      </c>
      <c r="H51" s="15">
        <v>1591606808</v>
      </c>
    </row>
    <row r="52" spans="2:8" x14ac:dyDescent="0.35">
      <c r="B52" s="15" t="s">
        <v>0</v>
      </c>
      <c r="C52" s="15">
        <v>8595.7000000000007</v>
      </c>
      <c r="D52" s="15">
        <v>2</v>
      </c>
      <c r="E52" s="15">
        <v>1591606782</v>
      </c>
      <c r="F52" s="15">
        <v>8574.1</v>
      </c>
      <c r="G52" s="15">
        <v>0.55600000000000005</v>
      </c>
      <c r="H52" s="15">
        <v>1591606788</v>
      </c>
    </row>
    <row r="53" spans="2:8" x14ac:dyDescent="0.35">
      <c r="B53" s="15" t="s">
        <v>0</v>
      </c>
      <c r="C53" s="15">
        <v>8595.9</v>
      </c>
      <c r="D53" s="15">
        <v>2.1000000000000001E-2</v>
      </c>
      <c r="E53" s="15">
        <v>1591606724</v>
      </c>
      <c r="F53" s="15">
        <v>8574</v>
      </c>
      <c r="G53" s="15">
        <v>1.4510000000000001</v>
      </c>
      <c r="H53" s="15">
        <v>1591606816</v>
      </c>
    </row>
    <row r="54" spans="2:8" x14ac:dyDescent="0.35">
      <c r="B54" s="15" t="s">
        <v>0</v>
      </c>
      <c r="C54" s="15">
        <v>8596.2000000000007</v>
      </c>
      <c r="D54" s="15">
        <v>1.5489999999999999</v>
      </c>
      <c r="E54" s="15">
        <v>1591606798</v>
      </c>
      <c r="F54" s="15">
        <v>8573.4</v>
      </c>
      <c r="G54" s="15">
        <v>1.86</v>
      </c>
      <c r="H54" s="15">
        <v>1591606764</v>
      </c>
    </row>
    <row r="55" spans="2:8" x14ac:dyDescent="0.35">
      <c r="B55" s="15" t="s">
        <v>0</v>
      </c>
      <c r="C55" s="15">
        <v>8596.6</v>
      </c>
      <c r="D55" s="15">
        <v>2.78</v>
      </c>
      <c r="E55" s="15">
        <v>1591606757</v>
      </c>
      <c r="F55" s="15">
        <v>8572.7000000000007</v>
      </c>
      <c r="G55" s="15">
        <v>1.2290000000000001</v>
      </c>
      <c r="H55" s="15">
        <v>1591606799</v>
      </c>
    </row>
    <row r="56" spans="2:8" x14ac:dyDescent="0.35">
      <c r="B56" s="15" t="s">
        <v>0</v>
      </c>
      <c r="C56" s="15">
        <v>8596.7000000000007</v>
      </c>
      <c r="D56" s="15">
        <v>3.3980000000000001</v>
      </c>
      <c r="E56" s="15">
        <v>1591606754</v>
      </c>
      <c r="F56" s="15">
        <v>8572.2999999999993</v>
      </c>
      <c r="G56" s="15">
        <v>1.254</v>
      </c>
      <c r="H56" s="15">
        <v>1591606810</v>
      </c>
    </row>
    <row r="57" spans="2:8" x14ac:dyDescent="0.35">
      <c r="B57" s="15" t="s">
        <v>0</v>
      </c>
      <c r="C57" s="15">
        <v>8596.7999999999993</v>
      </c>
      <c r="D57" s="15">
        <v>1.454</v>
      </c>
      <c r="E57" s="15">
        <v>1591606756</v>
      </c>
      <c r="F57" s="15">
        <v>8572.1</v>
      </c>
      <c r="G57" s="15">
        <v>0.192</v>
      </c>
      <c r="H57" s="15">
        <v>1591606808</v>
      </c>
    </row>
    <row r="58" spans="2:8" x14ac:dyDescent="0.35">
      <c r="B58" s="15" t="s">
        <v>0</v>
      </c>
      <c r="C58" s="15">
        <v>8597.2999999999993</v>
      </c>
      <c r="D58" s="15">
        <v>4.7939999999999996</v>
      </c>
      <c r="E58" s="15">
        <v>1591606703</v>
      </c>
      <c r="F58" s="15">
        <v>8572</v>
      </c>
      <c r="G58" s="15">
        <v>0.17699999999999999</v>
      </c>
      <c r="H58" s="15">
        <v>1591606808</v>
      </c>
    </row>
    <row r="59" spans="2:8" x14ac:dyDescent="0.35">
      <c r="B59" s="15" t="s">
        <v>0</v>
      </c>
      <c r="C59" s="15">
        <v>8597.7000000000007</v>
      </c>
      <c r="D59" s="15">
        <v>0.5</v>
      </c>
      <c r="E59" s="15">
        <v>1591606648</v>
      </c>
      <c r="F59" s="15">
        <v>8571</v>
      </c>
      <c r="G59" s="15">
        <v>3.34</v>
      </c>
      <c r="H59" s="15">
        <v>1591606643</v>
      </c>
    </row>
    <row r="60" spans="2:8" x14ac:dyDescent="0.35">
      <c r="B60" s="15" t="s">
        <v>0</v>
      </c>
      <c r="C60" s="15">
        <v>8598</v>
      </c>
      <c r="D60" s="15">
        <v>0.5</v>
      </c>
      <c r="E60" s="15">
        <v>1591606244</v>
      </c>
      <c r="F60" s="15">
        <v>8570.2999999999993</v>
      </c>
      <c r="G60" s="15">
        <v>4.234</v>
      </c>
      <c r="H60" s="15">
        <v>1591606808</v>
      </c>
    </row>
    <row r="61" spans="2:8" x14ac:dyDescent="0.35">
      <c r="B61" s="15" t="s">
        <v>0</v>
      </c>
      <c r="C61" s="15">
        <v>8598.1</v>
      </c>
      <c r="D61" s="15">
        <v>1.292</v>
      </c>
      <c r="E61" s="15">
        <v>1591606810</v>
      </c>
      <c r="F61" s="15">
        <v>8569.7000000000007</v>
      </c>
      <c r="G61" s="15">
        <v>3.1E-2</v>
      </c>
      <c r="H61" s="15">
        <v>1591606764</v>
      </c>
    </row>
    <row r="62" spans="2:8" x14ac:dyDescent="0.35">
      <c r="B62" s="15" t="s">
        <v>0</v>
      </c>
      <c r="C62" s="15">
        <v>8598.6</v>
      </c>
      <c r="D62" s="15">
        <v>0.75800000000000001</v>
      </c>
      <c r="E62" s="15">
        <v>1591606697</v>
      </c>
      <c r="F62" s="15">
        <v>8569.6</v>
      </c>
      <c r="G62" s="15">
        <v>3.097</v>
      </c>
      <c r="H62" s="15">
        <v>1591606799</v>
      </c>
    </row>
    <row r="63" spans="2:8" x14ac:dyDescent="0.35">
      <c r="B63" s="15" t="s">
        <v>0</v>
      </c>
      <c r="C63" s="15">
        <v>8599.6</v>
      </c>
      <c r="D63" s="15">
        <v>14.662000000000001</v>
      </c>
      <c r="E63" s="15">
        <v>1591606382</v>
      </c>
      <c r="F63" s="15">
        <v>8569.2999999999993</v>
      </c>
      <c r="G63" s="15">
        <v>1.1759999999999999</v>
      </c>
      <c r="H63" s="15">
        <v>1591606695</v>
      </c>
    </row>
    <row r="64" spans="2:8" x14ac:dyDescent="0.35">
      <c r="B64" s="15" t="s">
        <v>0</v>
      </c>
      <c r="C64" s="15">
        <v>8599.7999999999993</v>
      </c>
      <c r="D64" s="15">
        <v>2.899</v>
      </c>
      <c r="E64" s="15">
        <v>1591606718</v>
      </c>
      <c r="F64" s="15">
        <v>8568.7000000000007</v>
      </c>
      <c r="G64" s="15">
        <v>1.7889999999999999</v>
      </c>
      <c r="H64" s="15">
        <v>1591606714</v>
      </c>
    </row>
    <row r="65" spans="2:8" x14ac:dyDescent="0.35">
      <c r="B65" s="15" t="s">
        <v>0</v>
      </c>
      <c r="C65" s="15">
        <v>8599.9</v>
      </c>
      <c r="D65" s="15">
        <v>2.82</v>
      </c>
      <c r="E65" s="15">
        <v>1591606720</v>
      </c>
      <c r="F65" s="15">
        <v>8568.4</v>
      </c>
      <c r="G65" s="15">
        <v>4.8079999999999998</v>
      </c>
      <c r="H65" s="15">
        <v>1591606807</v>
      </c>
    </row>
    <row r="66" spans="2:8" x14ac:dyDescent="0.35">
      <c r="B66" s="15" t="s">
        <v>0</v>
      </c>
      <c r="C66" s="15">
        <v>8600</v>
      </c>
      <c r="D66" s="15">
        <v>3.141</v>
      </c>
      <c r="E66" s="15">
        <v>1591606810</v>
      </c>
      <c r="F66" s="15">
        <v>8568</v>
      </c>
      <c r="G66" s="15">
        <v>2</v>
      </c>
      <c r="H66" s="15">
        <v>1591606529</v>
      </c>
    </row>
    <row r="67" spans="2:8" x14ac:dyDescent="0.35">
      <c r="B67" s="15" t="s">
        <v>0</v>
      </c>
      <c r="C67" s="15">
        <v>8600.2999999999993</v>
      </c>
      <c r="D67" s="15">
        <v>0.31900000000000001</v>
      </c>
      <c r="E67" s="15">
        <v>1591606721</v>
      </c>
      <c r="F67" s="15">
        <v>8567.9</v>
      </c>
      <c r="G67" s="15">
        <v>0.624</v>
      </c>
      <c r="H67" s="15">
        <v>1591606808</v>
      </c>
    </row>
    <row r="68" spans="2:8" x14ac:dyDescent="0.35">
      <c r="B68" s="15" t="s">
        <v>0</v>
      </c>
      <c r="C68" s="15">
        <v>8600.5</v>
      </c>
      <c r="D68" s="15">
        <v>1.075</v>
      </c>
      <c r="E68" s="15">
        <v>1591606712</v>
      </c>
      <c r="F68" s="15">
        <v>8567.5</v>
      </c>
      <c r="G68" s="15">
        <v>4.851</v>
      </c>
      <c r="H68" s="15">
        <v>1591606807</v>
      </c>
    </row>
    <row r="69" spans="2:8" x14ac:dyDescent="0.35">
      <c r="B69" s="15" t="s">
        <v>0</v>
      </c>
      <c r="C69" s="15">
        <v>8601.4</v>
      </c>
      <c r="D69" s="15">
        <v>2.7</v>
      </c>
      <c r="E69" s="15">
        <v>1591605360</v>
      </c>
      <c r="F69" s="15">
        <v>8567.4</v>
      </c>
      <c r="G69" s="15">
        <v>14.263999999999999</v>
      </c>
      <c r="H69" s="15">
        <v>1591606718</v>
      </c>
    </row>
    <row r="70" spans="2:8" x14ac:dyDescent="0.35">
      <c r="B70" s="15" t="s">
        <v>0</v>
      </c>
      <c r="C70" s="15">
        <v>8601.5</v>
      </c>
      <c r="D70" s="15">
        <v>4.9829999999999997</v>
      </c>
      <c r="E70" s="15">
        <v>1591606783</v>
      </c>
      <c r="F70" s="15">
        <v>8567.2000000000007</v>
      </c>
      <c r="G70" s="15">
        <v>2.4</v>
      </c>
      <c r="H70" s="15">
        <v>1591606607</v>
      </c>
    </row>
    <row r="71" spans="2:8" x14ac:dyDescent="0.35">
      <c r="B71" s="15" t="s">
        <v>0</v>
      </c>
      <c r="C71" s="15">
        <v>8602.2999999999993</v>
      </c>
      <c r="D71" s="15">
        <v>1.5489999999999999</v>
      </c>
      <c r="E71" s="15">
        <v>1591606809</v>
      </c>
      <c r="F71" s="15">
        <v>8567</v>
      </c>
      <c r="G71" s="15">
        <v>4.3029999999999999</v>
      </c>
      <c r="H71" s="15">
        <v>1591606714</v>
      </c>
    </row>
    <row r="72" spans="2:8" x14ac:dyDescent="0.35">
      <c r="B72" s="15" t="s">
        <v>0</v>
      </c>
      <c r="C72" s="15">
        <v>8603.2000000000007</v>
      </c>
      <c r="D72" s="15">
        <v>1.3660000000000001</v>
      </c>
      <c r="E72" s="15">
        <v>1591606689</v>
      </c>
      <c r="F72" s="15">
        <v>8566.9</v>
      </c>
      <c r="G72" s="15">
        <v>0.75800000000000001</v>
      </c>
      <c r="H72" s="15">
        <v>1591606717</v>
      </c>
    </row>
    <row r="73" spans="2:8" x14ac:dyDescent="0.35">
      <c r="B73" s="15" t="s">
        <v>0</v>
      </c>
      <c r="C73" s="15">
        <v>8603.6</v>
      </c>
      <c r="D73" s="15">
        <v>0.41299999999999998</v>
      </c>
      <c r="E73" s="15">
        <v>1591606689</v>
      </c>
      <c r="F73" s="15">
        <v>8566.2999999999993</v>
      </c>
      <c r="G73" s="15">
        <v>4.0789999999999997</v>
      </c>
      <c r="H73" s="15">
        <v>1591606724</v>
      </c>
    </row>
    <row r="74" spans="2:8" x14ac:dyDescent="0.35">
      <c r="B74" s="15" t="s">
        <v>0</v>
      </c>
      <c r="C74" s="15">
        <v>8603.7000000000007</v>
      </c>
      <c r="D74" s="15">
        <v>1.141</v>
      </c>
      <c r="E74" s="15">
        <v>1591606688</v>
      </c>
      <c r="F74" s="15">
        <v>8565.7999999999993</v>
      </c>
      <c r="G74" s="15">
        <v>1.3009999999999999</v>
      </c>
      <c r="H74" s="15">
        <v>1591606810</v>
      </c>
    </row>
    <row r="75" spans="2:8" x14ac:dyDescent="0.35">
      <c r="B75" s="15" t="s">
        <v>0</v>
      </c>
      <c r="C75" s="15">
        <v>8603.7999999999993</v>
      </c>
      <c r="D75" s="15">
        <v>0.2</v>
      </c>
      <c r="E75" s="15">
        <v>1591606390</v>
      </c>
      <c r="F75" s="15">
        <v>8565.4</v>
      </c>
      <c r="G75" s="15">
        <v>1.06</v>
      </c>
      <c r="H75" s="15">
        <v>1591606708</v>
      </c>
    </row>
    <row r="76" spans="2:8" x14ac:dyDescent="0.35">
      <c r="B76" s="15" t="s">
        <v>0</v>
      </c>
      <c r="C76" s="15">
        <v>8604.2000000000007</v>
      </c>
      <c r="D76" s="15">
        <v>11.096</v>
      </c>
      <c r="E76" s="15">
        <v>1591606681</v>
      </c>
      <c r="F76" s="15">
        <v>8565.2999999999993</v>
      </c>
      <c r="G76" s="15">
        <v>3.5350000000000001</v>
      </c>
      <c r="H76" s="15">
        <v>1591606714</v>
      </c>
    </row>
    <row r="77" spans="2:8" x14ac:dyDescent="0.35">
      <c r="B77" s="15" t="s">
        <v>0</v>
      </c>
      <c r="C77" s="15">
        <v>8604.6</v>
      </c>
      <c r="D77" s="15">
        <v>4.3550000000000004</v>
      </c>
      <c r="E77" s="15">
        <v>1591606810</v>
      </c>
      <c r="F77" s="15">
        <v>8564.6</v>
      </c>
      <c r="G77" s="15">
        <v>5.0000000000000001E-3</v>
      </c>
      <c r="H77" s="15">
        <v>1591605893</v>
      </c>
    </row>
    <row r="78" spans="2:8" x14ac:dyDescent="0.35">
      <c r="B78" s="15" t="s">
        <v>0</v>
      </c>
      <c r="C78" s="15">
        <v>8604.9</v>
      </c>
      <c r="D78" s="15">
        <v>10.144</v>
      </c>
      <c r="E78" s="15">
        <v>1591605811</v>
      </c>
      <c r="F78" s="15">
        <v>8563.2999999999993</v>
      </c>
      <c r="G78" s="15">
        <v>2.306</v>
      </c>
      <c r="H78" s="15">
        <v>1591606423</v>
      </c>
    </row>
    <row r="79" spans="2:8" x14ac:dyDescent="0.35">
      <c r="B79" s="15" t="s">
        <v>0</v>
      </c>
      <c r="C79" s="15">
        <v>8605.1</v>
      </c>
      <c r="D79" s="15">
        <v>2.2000000000000002</v>
      </c>
      <c r="E79" s="15">
        <v>1591606492</v>
      </c>
      <c r="F79" s="15">
        <v>8563.2000000000007</v>
      </c>
      <c r="G79" s="15">
        <v>2E-3</v>
      </c>
      <c r="H79" s="15">
        <v>1591606739</v>
      </c>
    </row>
    <row r="80" spans="2:8" x14ac:dyDescent="0.35">
      <c r="B80" s="15" t="s">
        <v>0</v>
      </c>
      <c r="C80" s="15">
        <v>8605.4</v>
      </c>
      <c r="D80" s="15">
        <v>3.0830000000000002</v>
      </c>
      <c r="E80" s="15">
        <v>1591606814</v>
      </c>
      <c r="F80" s="15">
        <v>8563.1</v>
      </c>
      <c r="G80" s="15">
        <v>0.88300000000000001</v>
      </c>
      <c r="H80" s="15">
        <v>1591606627</v>
      </c>
    </row>
    <row r="81" spans="2:8" x14ac:dyDescent="0.35">
      <c r="B81" s="15" t="s">
        <v>0</v>
      </c>
      <c r="C81" s="15">
        <v>8605.5</v>
      </c>
      <c r="D81" s="15">
        <v>0.02</v>
      </c>
      <c r="E81" s="15">
        <v>1591606715</v>
      </c>
      <c r="F81" s="15">
        <v>8562.7000000000007</v>
      </c>
      <c r="G81" s="15">
        <v>0.98499999999999999</v>
      </c>
      <c r="H81" s="15">
        <v>1591606809</v>
      </c>
    </row>
    <row r="82" spans="2:8" x14ac:dyDescent="0.35">
      <c r="B82" s="15" t="s">
        <v>0</v>
      </c>
      <c r="C82" s="15">
        <v>8605.7000000000007</v>
      </c>
      <c r="D82" s="15">
        <v>4.2619999999999996</v>
      </c>
      <c r="E82" s="15">
        <v>1591606655</v>
      </c>
      <c r="F82" s="15">
        <v>8562.2000000000007</v>
      </c>
      <c r="G82" s="15">
        <v>0.20399999999999999</v>
      </c>
      <c r="H82" s="15">
        <v>1591605893</v>
      </c>
    </row>
    <row r="83" spans="2:8" x14ac:dyDescent="0.35">
      <c r="B83" s="15" t="s">
        <v>0</v>
      </c>
      <c r="C83" s="15">
        <v>8605.7999999999993</v>
      </c>
      <c r="D83" s="15">
        <v>1.006</v>
      </c>
      <c r="E83" s="15">
        <v>1591606809</v>
      </c>
      <c r="F83" s="15">
        <v>8561.2000000000007</v>
      </c>
      <c r="G83" s="15">
        <v>1.147</v>
      </c>
      <c r="H83" s="15">
        <v>1591606724</v>
      </c>
    </row>
    <row r="84" spans="2:8" x14ac:dyDescent="0.35">
      <c r="B84" s="15" t="s">
        <v>0</v>
      </c>
      <c r="C84" s="15">
        <v>8606.1</v>
      </c>
      <c r="D84" s="15">
        <v>8.4499999999999993</v>
      </c>
      <c r="E84" s="15">
        <v>1591606389</v>
      </c>
      <c r="F84" s="15">
        <v>8560.9</v>
      </c>
      <c r="G84" s="15">
        <v>0.91200000000000003</v>
      </c>
      <c r="H84" s="15">
        <v>1591606627</v>
      </c>
    </row>
    <row r="85" spans="2:8" x14ac:dyDescent="0.35">
      <c r="B85" s="15" t="s">
        <v>0</v>
      </c>
      <c r="C85" s="15">
        <v>8606.5</v>
      </c>
      <c r="D85" s="15">
        <v>3.9369999999999998</v>
      </c>
      <c r="E85" s="15">
        <v>1591606415</v>
      </c>
      <c r="F85" s="15">
        <v>8560.7000000000007</v>
      </c>
      <c r="G85" s="15">
        <v>1.345</v>
      </c>
      <c r="H85" s="15">
        <v>1591606728</v>
      </c>
    </row>
    <row r="86" spans="2:8" x14ac:dyDescent="0.35">
      <c r="B86" s="15" t="s">
        <v>0</v>
      </c>
      <c r="C86" s="15">
        <v>8606.7000000000007</v>
      </c>
      <c r="D86" s="15">
        <v>4.0609999999999999</v>
      </c>
      <c r="E86" s="15">
        <v>1591606714</v>
      </c>
      <c r="F86" s="15">
        <v>8560.2999999999993</v>
      </c>
      <c r="G86" s="15">
        <v>2.7</v>
      </c>
      <c r="H86" s="15">
        <v>1591606627</v>
      </c>
    </row>
    <row r="87" spans="2:8" x14ac:dyDescent="0.35">
      <c r="B87" s="15" t="s">
        <v>0</v>
      </c>
      <c r="C87" s="15">
        <v>8606.9</v>
      </c>
      <c r="D87" s="15">
        <v>9.3209999999999997</v>
      </c>
      <c r="E87" s="15">
        <v>1591606718</v>
      </c>
      <c r="F87" s="15">
        <v>8560.1</v>
      </c>
      <c r="G87" s="15">
        <v>4.0000000000000001E-3</v>
      </c>
      <c r="H87" s="15">
        <v>1591606487</v>
      </c>
    </row>
    <row r="88" spans="2:8" x14ac:dyDescent="0.35">
      <c r="B88" s="15" t="s">
        <v>0</v>
      </c>
      <c r="C88" s="15">
        <v>8607.5</v>
      </c>
      <c r="D88" s="15">
        <v>2.1779999999999999</v>
      </c>
      <c r="E88" s="15">
        <v>1591606713</v>
      </c>
      <c r="F88" s="15">
        <v>8560</v>
      </c>
      <c r="G88" s="15">
        <v>0.129</v>
      </c>
      <c r="H88" s="15">
        <v>1591606179</v>
      </c>
    </row>
    <row r="89" spans="2:8" x14ac:dyDescent="0.35">
      <c r="B89" s="15" t="s">
        <v>0</v>
      </c>
      <c r="C89" s="15">
        <v>8607.6</v>
      </c>
      <c r="D89" s="15">
        <v>5.0000000000000001E-3</v>
      </c>
      <c r="E89" s="15">
        <v>1591605790</v>
      </c>
      <c r="F89" s="15">
        <v>8559.4</v>
      </c>
      <c r="G89" s="15">
        <v>1.2190000000000001</v>
      </c>
      <c r="H89" s="15">
        <v>1591606810</v>
      </c>
    </row>
    <row r="90" spans="2:8" x14ac:dyDescent="0.35">
      <c r="B90" s="15" t="s">
        <v>0</v>
      </c>
      <c r="C90" s="15">
        <v>8608</v>
      </c>
      <c r="D90" s="15">
        <v>6.093</v>
      </c>
      <c r="E90" s="15">
        <v>1591606811</v>
      </c>
      <c r="F90" s="15">
        <v>8558.7999999999993</v>
      </c>
      <c r="G90" s="15">
        <v>19.183</v>
      </c>
      <c r="H90" s="15">
        <v>1591606718</v>
      </c>
    </row>
    <row r="91" spans="2:8" x14ac:dyDescent="0.35">
      <c r="B91" s="15" t="s">
        <v>0</v>
      </c>
      <c r="C91" s="15">
        <v>8608.1</v>
      </c>
      <c r="D91" s="15">
        <v>3.3</v>
      </c>
      <c r="E91" s="15">
        <v>1591605898</v>
      </c>
      <c r="F91" s="15">
        <v>8558.5</v>
      </c>
      <c r="G91" s="15">
        <v>2.1999999999999999E-2</v>
      </c>
      <c r="H91" s="15">
        <v>1591606800</v>
      </c>
    </row>
    <row r="92" spans="2:8" x14ac:dyDescent="0.35">
      <c r="B92" s="15" t="s">
        <v>0</v>
      </c>
      <c r="C92" s="15">
        <v>8608.4</v>
      </c>
      <c r="D92" s="15">
        <v>8.9999999999999993E-3</v>
      </c>
      <c r="E92" s="15">
        <v>1591606173</v>
      </c>
      <c r="F92" s="15">
        <v>8558.4</v>
      </c>
      <c r="G92" s="15">
        <v>7.5640000000000001</v>
      </c>
      <c r="H92" s="15">
        <v>1591606714</v>
      </c>
    </row>
    <row r="93" spans="2:8" x14ac:dyDescent="0.35">
      <c r="B93" s="15" t="s">
        <v>0</v>
      </c>
      <c r="C93" s="15">
        <v>8610.5</v>
      </c>
      <c r="D93" s="15">
        <v>0.02</v>
      </c>
      <c r="E93" s="15">
        <v>1591605903</v>
      </c>
      <c r="F93" s="15">
        <v>8556.7999999999993</v>
      </c>
      <c r="G93" s="15">
        <v>3.3</v>
      </c>
      <c r="H93" s="15">
        <v>1591606627</v>
      </c>
    </row>
    <row r="94" spans="2:8" x14ac:dyDescent="0.35">
      <c r="B94" s="15" t="s">
        <v>0</v>
      </c>
      <c r="C94" s="15">
        <v>8611</v>
      </c>
      <c r="D94" s="15">
        <v>1.2250000000000001</v>
      </c>
      <c r="E94" s="15">
        <v>1591606810</v>
      </c>
      <c r="F94" s="15">
        <v>8556.4</v>
      </c>
      <c r="G94" s="15">
        <v>4.0839999999999996</v>
      </c>
      <c r="H94" s="15">
        <v>1591606809</v>
      </c>
    </row>
    <row r="95" spans="2:8" x14ac:dyDescent="0.35">
      <c r="B95" s="15" t="s">
        <v>0</v>
      </c>
      <c r="C95" s="15">
        <v>8611.7999999999993</v>
      </c>
      <c r="D95" s="15">
        <v>2.5</v>
      </c>
      <c r="E95" s="15">
        <v>1591605304</v>
      </c>
      <c r="F95" s="15">
        <v>8556.2999999999993</v>
      </c>
      <c r="G95" s="15">
        <v>0.01</v>
      </c>
      <c r="H95" s="15">
        <v>1591606378</v>
      </c>
    </row>
    <row r="96" spans="2:8" x14ac:dyDescent="0.35">
      <c r="B96" s="15" t="s">
        <v>0</v>
      </c>
      <c r="C96" s="15">
        <v>8612.1</v>
      </c>
      <c r="D96" s="15">
        <v>6.5000000000000002E-2</v>
      </c>
      <c r="E96" s="15">
        <v>1591606811</v>
      </c>
      <c r="F96" s="15">
        <v>8555.5</v>
      </c>
      <c r="G96" s="15">
        <v>2.5</v>
      </c>
      <c r="H96" s="15">
        <v>1591606723</v>
      </c>
    </row>
    <row r="97" spans="2:8" x14ac:dyDescent="0.35">
      <c r="B97" s="15" t="s">
        <v>0</v>
      </c>
      <c r="C97" s="15">
        <v>8612.4</v>
      </c>
      <c r="D97" s="15">
        <v>8.1000000000000003E-2</v>
      </c>
      <c r="E97" s="15">
        <v>1591606785</v>
      </c>
      <c r="F97" s="15">
        <v>8554.7999999999993</v>
      </c>
      <c r="G97" s="15">
        <v>2.5000000000000001E-2</v>
      </c>
      <c r="H97" s="15">
        <v>1591606528</v>
      </c>
    </row>
    <row r="98" spans="2:8" x14ac:dyDescent="0.35">
      <c r="B98" s="15" t="s">
        <v>0</v>
      </c>
      <c r="C98" s="15">
        <v>8612.5</v>
      </c>
      <c r="D98" s="15">
        <v>3.0000000000000001E-3</v>
      </c>
      <c r="E98" s="15">
        <v>1591606409</v>
      </c>
      <c r="F98" s="15">
        <v>8553</v>
      </c>
      <c r="G98" s="15">
        <v>3.2</v>
      </c>
      <c r="H98" s="15">
        <v>1591606713</v>
      </c>
    </row>
    <row r="99" spans="2:8" x14ac:dyDescent="0.35">
      <c r="B99" s="15" t="s">
        <v>0</v>
      </c>
      <c r="C99" s="15">
        <v>8613.1</v>
      </c>
      <c r="D99" s="15">
        <v>8.1999999999999993</v>
      </c>
      <c r="E99" s="15">
        <v>1591604992</v>
      </c>
      <c r="F99" s="15">
        <v>8552.9</v>
      </c>
      <c r="G99" s="15">
        <v>1.2130000000000001</v>
      </c>
      <c r="H99" s="15">
        <v>1591606810</v>
      </c>
    </row>
    <row r="100" spans="2:8" x14ac:dyDescent="0.35">
      <c r="B100" s="15" t="s">
        <v>0</v>
      </c>
      <c r="C100" s="15">
        <v>8613.7999999999993</v>
      </c>
      <c r="D100" s="15">
        <v>2.4E-2</v>
      </c>
      <c r="E100" s="15">
        <v>1591606785</v>
      </c>
      <c r="F100" s="15">
        <v>8552.7999999999993</v>
      </c>
      <c r="G100" s="15">
        <v>3.097</v>
      </c>
      <c r="H100" s="15">
        <v>1591606669</v>
      </c>
    </row>
    <row r="101" spans="2:8" x14ac:dyDescent="0.35">
      <c r="B101" s="15" t="s">
        <v>0</v>
      </c>
      <c r="C101" s="15">
        <v>8614.6</v>
      </c>
      <c r="D101" s="15">
        <v>20</v>
      </c>
      <c r="E101" s="15">
        <v>1591606729</v>
      </c>
      <c r="F101" s="15">
        <v>8552.7000000000007</v>
      </c>
      <c r="G101" s="15">
        <v>2.3E-2</v>
      </c>
      <c r="H101" s="15">
        <v>1591606654</v>
      </c>
    </row>
    <row r="102" spans="2:8" x14ac:dyDescent="0.35">
      <c r="B102" s="15" t="s">
        <v>0</v>
      </c>
      <c r="C102" s="15">
        <v>8615</v>
      </c>
      <c r="D102" s="15">
        <v>3.9249999999999998</v>
      </c>
      <c r="E102" s="15">
        <v>1591606601</v>
      </c>
      <c r="F102" s="15">
        <v>8552.5</v>
      </c>
      <c r="G102" s="15">
        <v>7.7030000000000003</v>
      </c>
      <c r="H102" s="15">
        <v>1591606709</v>
      </c>
    </row>
    <row r="103" spans="2:8" x14ac:dyDescent="0.35">
      <c r="B103" s="15" t="s">
        <v>0</v>
      </c>
      <c r="C103" s="15">
        <v>8615.5</v>
      </c>
      <c r="D103" s="15">
        <v>0.02</v>
      </c>
      <c r="E103" s="15">
        <v>1591605525</v>
      </c>
      <c r="F103" s="15">
        <v>8552.4</v>
      </c>
      <c r="G103" s="15">
        <v>2.8879999999999999</v>
      </c>
      <c r="H103" s="15">
        <v>1591605783</v>
      </c>
    </row>
    <row r="104" spans="2:8" x14ac:dyDescent="0.35">
      <c r="B104" s="15" t="s">
        <v>0</v>
      </c>
      <c r="C104" s="15">
        <v>8615.7000000000007</v>
      </c>
      <c r="D104" s="15">
        <v>4.056</v>
      </c>
      <c r="E104" s="15">
        <v>1591606593</v>
      </c>
      <c r="F104" s="15">
        <v>8552</v>
      </c>
      <c r="G104" s="15">
        <v>0.05</v>
      </c>
      <c r="H104" s="15">
        <v>1591606101</v>
      </c>
    </row>
    <row r="105" spans="2:8" x14ac:dyDescent="0.35">
      <c r="B105" s="15" t="s">
        <v>0</v>
      </c>
      <c r="C105" s="15">
        <v>8615.9</v>
      </c>
      <c r="D105" s="15">
        <v>2.2999999999999998</v>
      </c>
      <c r="E105" s="15">
        <v>1591605306</v>
      </c>
      <c r="F105" s="15">
        <v>8551.9</v>
      </c>
      <c r="G105" s="15">
        <v>1.0999999999999999E-2</v>
      </c>
      <c r="H105" s="15">
        <v>1591605379</v>
      </c>
    </row>
    <row r="106" spans="2:8" x14ac:dyDescent="0.35">
      <c r="B106" s="15" t="s">
        <v>0</v>
      </c>
      <c r="C106" s="15">
        <v>8617</v>
      </c>
      <c r="D106" s="15">
        <v>8.5000000000000006E-2</v>
      </c>
      <c r="E106" s="15">
        <v>1591606781</v>
      </c>
      <c r="F106" s="15">
        <v>8551.7999999999993</v>
      </c>
      <c r="G106" s="15">
        <v>2.9000000000000001E-2</v>
      </c>
      <c r="H106" s="15">
        <v>1591605414</v>
      </c>
    </row>
    <row r="107" spans="2:8" x14ac:dyDescent="0.35">
      <c r="B107" s="15" t="s">
        <v>0</v>
      </c>
      <c r="C107" s="15">
        <v>8617.4</v>
      </c>
      <c r="D107" s="15">
        <v>1.3129999999999999</v>
      </c>
      <c r="E107" s="15">
        <v>1591606810</v>
      </c>
      <c r="F107" s="15">
        <v>8551.5</v>
      </c>
      <c r="G107" s="15">
        <v>2.3E-2</v>
      </c>
      <c r="H107" s="15">
        <v>1591606789</v>
      </c>
    </row>
    <row r="108" spans="2:8" x14ac:dyDescent="0.35">
      <c r="B108" s="15" t="s">
        <v>0</v>
      </c>
      <c r="C108" s="15">
        <v>8617.9</v>
      </c>
      <c r="D108" s="15">
        <v>0.20200000000000001</v>
      </c>
      <c r="E108" s="15">
        <v>1591606194</v>
      </c>
      <c r="F108" s="15">
        <v>8551</v>
      </c>
      <c r="G108" s="15">
        <v>1.518</v>
      </c>
      <c r="H108" s="15">
        <v>1591606222</v>
      </c>
    </row>
    <row r="109" spans="2:8" x14ac:dyDescent="0.35">
      <c r="B109" s="15" t="s">
        <v>0</v>
      </c>
      <c r="C109" s="15">
        <v>8618</v>
      </c>
      <c r="D109" s="15">
        <v>1.0289999999999999</v>
      </c>
      <c r="E109" s="15">
        <v>1591606809</v>
      </c>
      <c r="F109" s="15">
        <v>8550</v>
      </c>
      <c r="G109" s="15">
        <v>1.2E-2</v>
      </c>
      <c r="H109" s="15">
        <v>1591606809</v>
      </c>
    </row>
    <row r="110" spans="2:8" x14ac:dyDescent="0.35">
      <c r="B110" s="15" t="s">
        <v>0</v>
      </c>
      <c r="C110" s="15">
        <v>8618.1</v>
      </c>
      <c r="D110" s="15">
        <v>2.1000000000000001E-2</v>
      </c>
      <c r="E110" s="15">
        <v>1591604660</v>
      </c>
      <c r="F110" s="15">
        <v>8549.9</v>
      </c>
      <c r="G110" s="15">
        <v>12.319000000000001</v>
      </c>
      <c r="H110" s="15">
        <v>1591606714</v>
      </c>
    </row>
    <row r="111" spans="2:8" x14ac:dyDescent="0.35">
      <c r="B111" s="15" t="s">
        <v>0</v>
      </c>
      <c r="C111" s="15">
        <v>8619.2000000000007</v>
      </c>
      <c r="D111" s="15">
        <v>3.3</v>
      </c>
      <c r="E111" s="15">
        <v>1591606589</v>
      </c>
      <c r="F111" s="15">
        <v>8549.7000000000007</v>
      </c>
      <c r="G111" s="15">
        <v>2.91</v>
      </c>
      <c r="H111" s="15">
        <v>1591606493</v>
      </c>
    </row>
    <row r="112" spans="2:8" x14ac:dyDescent="0.35">
      <c r="B112" s="15" t="s">
        <v>0</v>
      </c>
      <c r="C112" s="15">
        <v>8620</v>
      </c>
      <c r="D112" s="15">
        <v>0.122</v>
      </c>
      <c r="E112" s="15">
        <v>1591606528</v>
      </c>
      <c r="F112" s="15">
        <v>8549.6</v>
      </c>
      <c r="G112" s="15">
        <v>4.4889999999999999</v>
      </c>
      <c r="H112" s="15">
        <v>1591605539</v>
      </c>
    </row>
    <row r="113" spans="2:8" x14ac:dyDescent="0.35">
      <c r="B113" s="15" t="s">
        <v>0</v>
      </c>
      <c r="C113" s="15">
        <v>8620.1</v>
      </c>
      <c r="D113" s="15">
        <v>2.1999999999999999E-2</v>
      </c>
      <c r="E113" s="15">
        <v>1591604054</v>
      </c>
      <c r="F113" s="15">
        <v>8549.5</v>
      </c>
      <c r="G113" s="15">
        <v>2.2999999999999998</v>
      </c>
      <c r="H113" s="15">
        <v>1591605755</v>
      </c>
    </row>
    <row r="114" spans="2:8" x14ac:dyDescent="0.35">
      <c r="B114" s="15"/>
      <c r="C114" s="15"/>
      <c r="D114" s="15"/>
      <c r="E114" s="15"/>
      <c r="F114" s="15"/>
      <c r="G114" s="15"/>
      <c r="H114" s="15"/>
    </row>
    <row r="115" spans="2:8" x14ac:dyDescent="0.35">
      <c r="B115" s="15"/>
      <c r="C115" s="15"/>
      <c r="D115" s="15"/>
      <c r="E115" s="15"/>
      <c r="F115" s="15"/>
      <c r="G115" s="15"/>
      <c r="H115" s="15"/>
    </row>
    <row r="116" spans="2:8" x14ac:dyDescent="0.35">
      <c r="B116" s="15"/>
      <c r="C116" s="15"/>
      <c r="D116" s="15"/>
      <c r="E116" s="15"/>
      <c r="F116" s="15"/>
      <c r="G116" s="15"/>
      <c r="H116" s="15"/>
    </row>
    <row r="117" spans="2:8" x14ac:dyDescent="0.35">
      <c r="B117" s="15"/>
      <c r="C117" s="15"/>
      <c r="D117" s="15"/>
      <c r="E117" s="15"/>
      <c r="F117" s="15"/>
      <c r="G117" s="15"/>
      <c r="H117" s="15"/>
    </row>
    <row r="118" spans="2:8" x14ac:dyDescent="0.35">
      <c r="B118" s="15"/>
      <c r="C118" s="15"/>
      <c r="D118" s="15"/>
      <c r="E118" s="15"/>
      <c r="F118" s="15"/>
      <c r="G118" s="15"/>
      <c r="H118" s="15"/>
    </row>
    <row r="119" spans="2:8" x14ac:dyDescent="0.35">
      <c r="B119" s="15"/>
      <c r="C119" s="15"/>
      <c r="D119" s="15"/>
      <c r="E119" s="15"/>
      <c r="F119" s="15"/>
      <c r="G119" s="15"/>
      <c r="H119" s="15"/>
    </row>
    <row r="120" spans="2:8" x14ac:dyDescent="0.35">
      <c r="B120" s="15"/>
      <c r="C120" s="15"/>
      <c r="D120" s="15"/>
      <c r="E120" s="15"/>
      <c r="F120" s="15"/>
      <c r="G120" s="15"/>
      <c r="H120" s="15"/>
    </row>
    <row r="121" spans="2:8" x14ac:dyDescent="0.35">
      <c r="B121" s="15"/>
      <c r="C121" s="15"/>
      <c r="D121" s="15"/>
      <c r="E121" s="15"/>
      <c r="F121" s="15"/>
      <c r="G121" s="15"/>
      <c r="H121" s="15"/>
    </row>
    <row r="122" spans="2:8" x14ac:dyDescent="0.35">
      <c r="B122" s="15"/>
      <c r="C122" s="15"/>
      <c r="D122" s="15"/>
      <c r="E122" s="15"/>
      <c r="F122" s="15"/>
      <c r="G122" s="15"/>
      <c r="H122" s="15"/>
    </row>
    <row r="123" spans="2:8" x14ac:dyDescent="0.35">
      <c r="B123" s="15"/>
      <c r="C123" s="15"/>
      <c r="D123" s="15"/>
      <c r="E123" s="15"/>
      <c r="F123" s="15"/>
      <c r="G123" s="15"/>
      <c r="H123" s="15"/>
    </row>
    <row r="124" spans="2:8" x14ac:dyDescent="0.35">
      <c r="B124" s="15"/>
      <c r="C124" s="15"/>
      <c r="D124" s="15"/>
      <c r="E124" s="15"/>
      <c r="F124" s="15"/>
      <c r="G124" s="15"/>
      <c r="H124" s="15"/>
    </row>
    <row r="125" spans="2:8" x14ac:dyDescent="0.35">
      <c r="B125" s="15"/>
      <c r="C125" s="15"/>
      <c r="D125" s="15"/>
      <c r="E125" s="15"/>
      <c r="F125" s="15"/>
      <c r="G125" s="15"/>
      <c r="H125" s="15"/>
    </row>
    <row r="126" spans="2:8" x14ac:dyDescent="0.35">
      <c r="B126" s="15"/>
      <c r="C126" s="15"/>
      <c r="D126" s="15"/>
      <c r="E126" s="15"/>
      <c r="F126" s="15"/>
      <c r="G126" s="15"/>
      <c r="H126" s="15"/>
    </row>
    <row r="127" spans="2:8" x14ac:dyDescent="0.35">
      <c r="B127" s="15"/>
      <c r="C127" s="15"/>
      <c r="D127" s="15"/>
      <c r="E127" s="15"/>
      <c r="F127" s="15"/>
      <c r="G127" s="15"/>
      <c r="H127" s="15"/>
    </row>
    <row r="128" spans="2:8" x14ac:dyDescent="0.35">
      <c r="B128" s="15"/>
      <c r="C128" s="15"/>
      <c r="D128" s="15"/>
      <c r="E128" s="15"/>
      <c r="F128" s="15"/>
      <c r="G128" s="15"/>
      <c r="H128" s="15"/>
    </row>
    <row r="129" spans="2:8" x14ac:dyDescent="0.35">
      <c r="B129" s="15"/>
      <c r="C129" s="15"/>
      <c r="D129" s="15"/>
      <c r="E129" s="15"/>
      <c r="F129" s="15"/>
      <c r="G129" s="15"/>
      <c r="H129" s="15"/>
    </row>
    <row r="130" spans="2:8" x14ac:dyDescent="0.35">
      <c r="B130" s="15"/>
      <c r="C130" s="15"/>
      <c r="D130" s="15"/>
      <c r="E130" s="15"/>
      <c r="F130" s="15"/>
      <c r="G130" s="15"/>
      <c r="H130" s="15"/>
    </row>
    <row r="131" spans="2:8" x14ac:dyDescent="0.35">
      <c r="B131" s="15"/>
      <c r="C131" s="15"/>
      <c r="D131" s="15"/>
      <c r="E131" s="15"/>
      <c r="F131" s="15"/>
      <c r="G131" s="15"/>
      <c r="H131" s="15"/>
    </row>
    <row r="132" spans="2:8" x14ac:dyDescent="0.35">
      <c r="B132" s="15"/>
      <c r="C132" s="15"/>
      <c r="D132" s="15"/>
      <c r="E132" s="15"/>
      <c r="F132" s="15"/>
      <c r="G132" s="15"/>
      <c r="H132" s="15"/>
    </row>
    <row r="133" spans="2:8" x14ac:dyDescent="0.35">
      <c r="B133" s="15"/>
      <c r="C133" s="15"/>
      <c r="D133" s="15"/>
      <c r="E133" s="15"/>
      <c r="F133" s="15"/>
      <c r="G133" s="15"/>
      <c r="H133" s="15"/>
    </row>
    <row r="134" spans="2:8" x14ac:dyDescent="0.35">
      <c r="B134" s="15"/>
      <c r="C134" s="15"/>
      <c r="D134" s="15"/>
      <c r="E134" s="15"/>
      <c r="F134" s="15"/>
      <c r="G134" s="15"/>
      <c r="H134" s="15"/>
    </row>
    <row r="135" spans="2:8" x14ac:dyDescent="0.35">
      <c r="B135" s="15"/>
      <c r="C135" s="15"/>
      <c r="D135" s="15"/>
      <c r="E135" s="15"/>
      <c r="F135" s="15"/>
      <c r="G135" s="15"/>
      <c r="H135" s="15"/>
    </row>
    <row r="136" spans="2:8" x14ac:dyDescent="0.35">
      <c r="B136" s="15"/>
      <c r="C136" s="15"/>
      <c r="D136" s="15"/>
      <c r="E136" s="15"/>
      <c r="F136" s="15"/>
      <c r="G136" s="15"/>
      <c r="H136" s="15"/>
    </row>
    <row r="137" spans="2:8" x14ac:dyDescent="0.35">
      <c r="B137" s="15"/>
      <c r="C137" s="15"/>
      <c r="D137" s="15"/>
      <c r="E137" s="15"/>
      <c r="F137" s="15"/>
      <c r="G137" s="15"/>
      <c r="H137" s="15"/>
    </row>
    <row r="138" spans="2:8" x14ac:dyDescent="0.35">
      <c r="B138" s="15"/>
      <c r="C138" s="15"/>
      <c r="D138" s="15"/>
      <c r="E138" s="15"/>
      <c r="F138" s="15"/>
      <c r="G138" s="15"/>
      <c r="H138" s="15"/>
    </row>
    <row r="139" spans="2:8" x14ac:dyDescent="0.35">
      <c r="B139" s="15"/>
      <c r="C139" s="15"/>
      <c r="D139" s="15"/>
      <c r="E139" s="15"/>
      <c r="F139" s="15"/>
      <c r="G139" s="15"/>
      <c r="H139" s="15"/>
    </row>
    <row r="140" spans="2:8" x14ac:dyDescent="0.35">
      <c r="B140" s="15"/>
      <c r="C140" s="15"/>
      <c r="D140" s="15"/>
      <c r="E140" s="15"/>
      <c r="F140" s="15"/>
      <c r="G140" s="15"/>
      <c r="H140" s="15"/>
    </row>
    <row r="141" spans="2:8" x14ac:dyDescent="0.35">
      <c r="B141" s="15"/>
      <c r="C141" s="15"/>
      <c r="D141" s="15"/>
      <c r="E141" s="15"/>
      <c r="F141" s="15"/>
      <c r="G141" s="15"/>
      <c r="H141" s="15"/>
    </row>
    <row r="142" spans="2:8" x14ac:dyDescent="0.35">
      <c r="B142" s="15"/>
      <c r="C142" s="15"/>
      <c r="D142" s="15"/>
      <c r="E142" s="15"/>
      <c r="F142" s="15"/>
      <c r="G142" s="15"/>
      <c r="H142" s="15"/>
    </row>
    <row r="143" spans="2:8" x14ac:dyDescent="0.35">
      <c r="B143" s="15"/>
      <c r="C143" s="15"/>
      <c r="D143" s="15"/>
      <c r="E143" s="15"/>
      <c r="F143" s="15"/>
      <c r="G143" s="15"/>
      <c r="H143" s="15"/>
    </row>
    <row r="144" spans="2:8" x14ac:dyDescent="0.35">
      <c r="B144" s="15"/>
      <c r="C144" s="15"/>
      <c r="D144" s="15"/>
      <c r="E144" s="15"/>
      <c r="F144" s="15"/>
      <c r="G144" s="15"/>
      <c r="H144" s="15"/>
    </row>
    <row r="145" spans="2:8" x14ac:dyDescent="0.35">
      <c r="B145" s="15"/>
      <c r="C145" s="15"/>
      <c r="D145" s="15"/>
      <c r="E145" s="15"/>
      <c r="F145" s="15"/>
      <c r="G145" s="15"/>
      <c r="H145" s="15"/>
    </row>
    <row r="146" spans="2:8" x14ac:dyDescent="0.35">
      <c r="B146" s="15"/>
      <c r="C146" s="15"/>
      <c r="D146" s="15"/>
      <c r="E146" s="15"/>
      <c r="F146" s="15"/>
      <c r="G146" s="15"/>
      <c r="H146" s="15"/>
    </row>
    <row r="147" spans="2:8" x14ac:dyDescent="0.35">
      <c r="B147" s="15"/>
      <c r="C147" s="15"/>
      <c r="D147" s="15"/>
      <c r="E147" s="15"/>
      <c r="F147" s="15"/>
      <c r="G147" s="15"/>
      <c r="H147" s="15"/>
    </row>
    <row r="148" spans="2:8" x14ac:dyDescent="0.35">
      <c r="B148" s="15"/>
      <c r="C148" s="15"/>
      <c r="D148" s="15"/>
      <c r="E148" s="15"/>
      <c r="F148" s="15"/>
      <c r="G148" s="15"/>
      <c r="H148" s="15"/>
    </row>
    <row r="149" spans="2:8" x14ac:dyDescent="0.35">
      <c r="B149" s="15"/>
      <c r="C149" s="15"/>
      <c r="D149" s="15"/>
      <c r="E149" s="15"/>
      <c r="F149" s="15"/>
      <c r="G149" s="15"/>
      <c r="H149" s="15"/>
    </row>
    <row r="150" spans="2:8" x14ac:dyDescent="0.35">
      <c r="B150" s="15"/>
      <c r="C150" s="15"/>
      <c r="D150" s="15"/>
      <c r="E150" s="15"/>
      <c r="F150" s="15"/>
      <c r="G150" s="15"/>
      <c r="H150" s="15"/>
    </row>
    <row r="151" spans="2:8" x14ac:dyDescent="0.35">
      <c r="B151" s="15"/>
      <c r="C151" s="15"/>
      <c r="D151" s="15"/>
      <c r="E151" s="15"/>
      <c r="F151" s="15"/>
      <c r="G151" s="15"/>
      <c r="H151" s="15"/>
    </row>
    <row r="152" spans="2:8" x14ac:dyDescent="0.35">
      <c r="B152" s="15"/>
      <c r="C152" s="15"/>
      <c r="D152" s="15"/>
      <c r="E152" s="15"/>
      <c r="F152" s="15"/>
      <c r="G152" s="15"/>
      <c r="H152" s="15"/>
    </row>
    <row r="153" spans="2:8" x14ac:dyDescent="0.35">
      <c r="B153" s="15"/>
      <c r="C153" s="15"/>
      <c r="D153" s="15"/>
      <c r="E153" s="15"/>
      <c r="F153" s="15"/>
      <c r="G153" s="15"/>
      <c r="H153" s="15"/>
    </row>
    <row r="154" spans="2:8" x14ac:dyDescent="0.35">
      <c r="B154" s="15"/>
      <c r="C154" s="15"/>
      <c r="D154" s="15"/>
      <c r="E154" s="15"/>
      <c r="F154" s="15"/>
      <c r="G154" s="15"/>
      <c r="H154" s="15"/>
    </row>
    <row r="155" spans="2:8" x14ac:dyDescent="0.35">
      <c r="B155" s="15"/>
      <c r="C155" s="15"/>
      <c r="D155" s="15"/>
      <c r="E155" s="15"/>
      <c r="F155" s="15"/>
      <c r="G155" s="15"/>
      <c r="H155" s="15"/>
    </row>
    <row r="156" spans="2:8" x14ac:dyDescent="0.35">
      <c r="B156" s="15"/>
      <c r="C156" s="15"/>
      <c r="D156" s="15"/>
      <c r="E156" s="15"/>
      <c r="F156" s="15"/>
      <c r="G156" s="15"/>
      <c r="H156" s="15"/>
    </row>
    <row r="157" spans="2:8" x14ac:dyDescent="0.35">
      <c r="B157" s="15"/>
      <c r="C157" s="15"/>
      <c r="D157" s="15"/>
      <c r="E157" s="15"/>
      <c r="F157" s="15"/>
      <c r="G157" s="15"/>
      <c r="H157" s="15"/>
    </row>
    <row r="158" spans="2:8" x14ac:dyDescent="0.35">
      <c r="B158" s="15"/>
      <c r="C158" s="15"/>
      <c r="D158" s="15"/>
      <c r="E158" s="15"/>
      <c r="F158" s="15"/>
      <c r="G158" s="15"/>
      <c r="H158" s="15"/>
    </row>
    <row r="159" spans="2:8" x14ac:dyDescent="0.35">
      <c r="B159" s="15"/>
      <c r="C159" s="15"/>
      <c r="D159" s="15"/>
      <c r="E159" s="15"/>
      <c r="F159" s="15"/>
      <c r="G159" s="15"/>
      <c r="H159" s="15"/>
    </row>
    <row r="160" spans="2:8" x14ac:dyDescent="0.35">
      <c r="B160" s="15"/>
      <c r="C160" s="15"/>
      <c r="D160" s="15"/>
      <c r="E160" s="15"/>
      <c r="F160" s="15"/>
      <c r="G160" s="15"/>
      <c r="H160" s="15"/>
    </row>
    <row r="161" spans="2:8" x14ac:dyDescent="0.35">
      <c r="B161" s="15"/>
      <c r="C161" s="15"/>
      <c r="D161" s="15"/>
      <c r="E161" s="15"/>
      <c r="F161" s="15"/>
      <c r="G161" s="15"/>
      <c r="H161" s="15"/>
    </row>
    <row r="162" spans="2:8" x14ac:dyDescent="0.35">
      <c r="B162" s="15"/>
      <c r="C162" s="15"/>
      <c r="D162" s="15"/>
      <c r="E162" s="15"/>
      <c r="F162" s="15"/>
      <c r="G162" s="15"/>
      <c r="H162" s="15"/>
    </row>
    <row r="163" spans="2:8" x14ac:dyDescent="0.35">
      <c r="B163" s="15"/>
      <c r="C163" s="15"/>
      <c r="D163" s="15"/>
      <c r="E163" s="15"/>
      <c r="F163" s="15"/>
      <c r="G163" s="15"/>
      <c r="H163" s="15"/>
    </row>
    <row r="164" spans="2:8" x14ac:dyDescent="0.35">
      <c r="B164" s="15"/>
      <c r="C164" s="15"/>
      <c r="D164" s="15"/>
      <c r="E164" s="15"/>
      <c r="F164" s="15"/>
      <c r="G164" s="15"/>
      <c r="H164" s="15"/>
    </row>
    <row r="165" spans="2:8" x14ac:dyDescent="0.35">
      <c r="B165" s="15"/>
      <c r="C165" s="15"/>
      <c r="D165" s="15"/>
      <c r="E165" s="15"/>
      <c r="F165" s="15"/>
      <c r="G165" s="15"/>
      <c r="H165" s="15"/>
    </row>
    <row r="166" spans="2:8" x14ac:dyDescent="0.35">
      <c r="B166" s="15"/>
      <c r="C166" s="15"/>
      <c r="D166" s="15"/>
      <c r="E166" s="15"/>
      <c r="F166" s="15"/>
      <c r="G166" s="15"/>
      <c r="H166" s="15"/>
    </row>
    <row r="167" spans="2:8" x14ac:dyDescent="0.35">
      <c r="B167" s="15"/>
      <c r="C167" s="15"/>
      <c r="D167" s="15"/>
      <c r="E167" s="15"/>
      <c r="F167" s="15"/>
      <c r="G167" s="15"/>
      <c r="H167" s="15"/>
    </row>
    <row r="168" spans="2:8" x14ac:dyDescent="0.35">
      <c r="B168" s="15"/>
      <c r="C168" s="15"/>
      <c r="D168" s="15"/>
      <c r="E168" s="15"/>
      <c r="F168" s="15"/>
      <c r="G168" s="15"/>
      <c r="H168" s="15"/>
    </row>
    <row r="169" spans="2:8" x14ac:dyDescent="0.35">
      <c r="B169" s="15"/>
      <c r="C169" s="15"/>
      <c r="D169" s="15"/>
      <c r="E169" s="15"/>
      <c r="F169" s="15"/>
      <c r="G169" s="15"/>
      <c r="H169" s="15"/>
    </row>
    <row r="170" spans="2:8" x14ac:dyDescent="0.35">
      <c r="B170" s="15"/>
      <c r="C170" s="15"/>
      <c r="D170" s="15"/>
      <c r="E170" s="15"/>
      <c r="F170" s="15"/>
      <c r="G170" s="15"/>
      <c r="H170" s="15"/>
    </row>
    <row r="171" spans="2:8" x14ac:dyDescent="0.35">
      <c r="B171" s="15"/>
      <c r="C171" s="15"/>
      <c r="D171" s="15"/>
      <c r="E171" s="15"/>
      <c r="F171" s="15"/>
      <c r="G171" s="15"/>
      <c r="H171" s="15"/>
    </row>
    <row r="172" spans="2:8" x14ac:dyDescent="0.35">
      <c r="B172" s="15"/>
      <c r="C172" s="15"/>
      <c r="D172" s="15"/>
      <c r="E172" s="15"/>
      <c r="F172" s="15"/>
      <c r="G172" s="15"/>
      <c r="H172" s="15"/>
    </row>
    <row r="173" spans="2:8" x14ac:dyDescent="0.35">
      <c r="B173" s="15"/>
      <c r="C173" s="15"/>
      <c r="D173" s="15"/>
      <c r="E173" s="15"/>
      <c r="F173" s="15"/>
      <c r="G173" s="15"/>
      <c r="H173" s="15"/>
    </row>
    <row r="174" spans="2:8" x14ac:dyDescent="0.35">
      <c r="B174" s="15"/>
      <c r="C174" s="15"/>
      <c r="D174" s="15"/>
      <c r="E174" s="15"/>
      <c r="F174" s="15"/>
      <c r="G174" s="15"/>
      <c r="H174" s="15"/>
    </row>
    <row r="175" spans="2:8" x14ac:dyDescent="0.35">
      <c r="B175" s="15"/>
      <c r="C175" s="15"/>
      <c r="D175" s="15"/>
      <c r="E175" s="15"/>
      <c r="F175" s="15"/>
      <c r="G175" s="15"/>
      <c r="H175" s="15"/>
    </row>
    <row r="176" spans="2:8" x14ac:dyDescent="0.35">
      <c r="B176" s="15"/>
      <c r="C176" s="15"/>
      <c r="D176" s="15"/>
      <c r="E176" s="15"/>
      <c r="F176" s="15"/>
      <c r="G176" s="15"/>
      <c r="H176" s="15"/>
    </row>
    <row r="177" spans="2:8" x14ac:dyDescent="0.35">
      <c r="B177" s="15"/>
      <c r="C177" s="15"/>
      <c r="D177" s="15"/>
      <c r="E177" s="15"/>
      <c r="F177" s="15"/>
      <c r="G177" s="15"/>
      <c r="H177" s="15"/>
    </row>
    <row r="178" spans="2:8" x14ac:dyDescent="0.35">
      <c r="B178" s="15"/>
      <c r="C178" s="15"/>
      <c r="D178" s="15"/>
      <c r="E178" s="15"/>
      <c r="F178" s="15"/>
      <c r="G178" s="15"/>
      <c r="H178" s="15"/>
    </row>
    <row r="179" spans="2:8" x14ac:dyDescent="0.35">
      <c r="B179" s="15"/>
      <c r="C179" s="15"/>
      <c r="D179" s="15"/>
      <c r="E179" s="15"/>
      <c r="F179" s="15"/>
      <c r="G179" s="15"/>
      <c r="H179" s="15"/>
    </row>
    <row r="180" spans="2:8" x14ac:dyDescent="0.35">
      <c r="B180" s="15"/>
      <c r="C180" s="15"/>
      <c r="D180" s="15"/>
      <c r="E180" s="15"/>
      <c r="F180" s="15"/>
      <c r="G180" s="15"/>
      <c r="H180" s="15"/>
    </row>
    <row r="181" spans="2:8" x14ac:dyDescent="0.35">
      <c r="B181" s="15"/>
      <c r="C181" s="15"/>
      <c r="D181" s="15"/>
      <c r="E181" s="15"/>
      <c r="F181" s="15"/>
      <c r="G181" s="15"/>
      <c r="H181" s="15"/>
    </row>
    <row r="182" spans="2:8" x14ac:dyDescent="0.35">
      <c r="B182" s="15"/>
      <c r="C182" s="15"/>
      <c r="D182" s="15"/>
      <c r="E182" s="15"/>
      <c r="F182" s="15"/>
      <c r="G182" s="15"/>
      <c r="H182" s="15"/>
    </row>
    <row r="183" spans="2:8" x14ac:dyDescent="0.35">
      <c r="B183" s="15"/>
      <c r="C183" s="15"/>
      <c r="D183" s="15"/>
      <c r="E183" s="15"/>
      <c r="F183" s="15"/>
      <c r="G183" s="15"/>
      <c r="H183" s="15"/>
    </row>
    <row r="184" spans="2:8" x14ac:dyDescent="0.35">
      <c r="B184" s="15"/>
      <c r="C184" s="15"/>
      <c r="D184" s="15"/>
      <c r="E184" s="15"/>
      <c r="F184" s="15"/>
      <c r="G184" s="15"/>
      <c r="H184" s="15"/>
    </row>
    <row r="185" spans="2:8" x14ac:dyDescent="0.35">
      <c r="B185" s="15"/>
      <c r="C185" s="15"/>
      <c r="D185" s="15"/>
      <c r="E185" s="15"/>
      <c r="F185" s="15"/>
      <c r="G185" s="15"/>
      <c r="H185" s="15"/>
    </row>
    <row r="186" spans="2:8" x14ac:dyDescent="0.35">
      <c r="B186" s="15"/>
      <c r="C186" s="15"/>
      <c r="D186" s="15"/>
      <c r="E186" s="15"/>
      <c r="F186" s="15"/>
      <c r="G186" s="15"/>
      <c r="H186" s="15"/>
    </row>
    <row r="187" spans="2:8" x14ac:dyDescent="0.35">
      <c r="B187" s="15"/>
      <c r="C187" s="15"/>
      <c r="D187" s="15"/>
      <c r="E187" s="15"/>
      <c r="F187" s="15"/>
      <c r="G187" s="15"/>
      <c r="H187" s="15"/>
    </row>
    <row r="188" spans="2:8" x14ac:dyDescent="0.35">
      <c r="B188" s="15"/>
      <c r="C188" s="15"/>
      <c r="D188" s="15"/>
      <c r="E188" s="15"/>
      <c r="F188" s="15"/>
      <c r="G188" s="15"/>
      <c r="H188" s="15"/>
    </row>
    <row r="189" spans="2:8" x14ac:dyDescent="0.35">
      <c r="B189" s="15"/>
      <c r="C189" s="15"/>
      <c r="D189" s="15"/>
      <c r="E189" s="15"/>
      <c r="F189" s="15"/>
      <c r="G189" s="15"/>
      <c r="H189" s="15"/>
    </row>
    <row r="190" spans="2:8" x14ac:dyDescent="0.35">
      <c r="B190" s="15"/>
      <c r="C190" s="15"/>
      <c r="D190" s="15"/>
      <c r="E190" s="15"/>
      <c r="F190" s="15"/>
      <c r="G190" s="15"/>
      <c r="H190" s="15"/>
    </row>
    <row r="191" spans="2:8" x14ac:dyDescent="0.35">
      <c r="B191" s="15"/>
      <c r="C191" s="15"/>
      <c r="D191" s="15"/>
      <c r="E191" s="15"/>
      <c r="F191" s="15"/>
      <c r="G191" s="15"/>
      <c r="H191" s="15"/>
    </row>
    <row r="192" spans="2:8" x14ac:dyDescent="0.35">
      <c r="B192" s="15"/>
      <c r="C192" s="15"/>
      <c r="D192" s="15"/>
      <c r="E192" s="15"/>
      <c r="F192" s="15"/>
      <c r="G192" s="15"/>
      <c r="H192" s="15"/>
    </row>
    <row r="193" spans="2:8" x14ac:dyDescent="0.35">
      <c r="B193" s="15"/>
      <c r="C193" s="15"/>
      <c r="D193" s="15"/>
      <c r="E193" s="15"/>
      <c r="F193" s="15"/>
      <c r="G193" s="15"/>
      <c r="H193" s="15"/>
    </row>
    <row r="194" spans="2:8" x14ac:dyDescent="0.35">
      <c r="B194" s="15"/>
      <c r="C194" s="15"/>
      <c r="D194" s="15"/>
      <c r="E194" s="15"/>
      <c r="F194" s="15"/>
      <c r="G194" s="15"/>
      <c r="H194" s="15"/>
    </row>
    <row r="195" spans="2:8" x14ac:dyDescent="0.35">
      <c r="B195" s="15"/>
      <c r="C195" s="15"/>
      <c r="D195" s="15"/>
      <c r="E195" s="15"/>
      <c r="F195" s="15"/>
      <c r="G195" s="15"/>
      <c r="H195" s="15"/>
    </row>
    <row r="196" spans="2:8" x14ac:dyDescent="0.35">
      <c r="B196" s="15"/>
      <c r="C196" s="15"/>
      <c r="D196" s="15"/>
      <c r="E196" s="15"/>
      <c r="F196" s="15"/>
      <c r="G196" s="15"/>
      <c r="H196" s="15"/>
    </row>
    <row r="197" spans="2:8" x14ac:dyDescent="0.35">
      <c r="B197" s="15"/>
      <c r="C197" s="15"/>
      <c r="D197" s="15"/>
      <c r="E197" s="15"/>
      <c r="F197" s="15"/>
      <c r="G197" s="15"/>
      <c r="H197" s="15"/>
    </row>
    <row r="198" spans="2:8" x14ac:dyDescent="0.35">
      <c r="B198" s="15"/>
      <c r="C198" s="15"/>
      <c r="D198" s="15"/>
      <c r="E198" s="15"/>
      <c r="F198" s="15"/>
      <c r="G198" s="15"/>
      <c r="H198" s="15"/>
    </row>
    <row r="199" spans="2:8" x14ac:dyDescent="0.35">
      <c r="B199" s="15"/>
      <c r="C199" s="15"/>
      <c r="D199" s="15"/>
      <c r="E199" s="15"/>
      <c r="F199" s="15"/>
      <c r="G199" s="15"/>
      <c r="H199" s="15"/>
    </row>
    <row r="200" spans="2:8" x14ac:dyDescent="0.35">
      <c r="B200" s="15"/>
      <c r="C200" s="15"/>
      <c r="D200" s="15"/>
      <c r="E200" s="15"/>
      <c r="F200" s="15"/>
      <c r="G200" s="15"/>
      <c r="H200" s="15"/>
    </row>
    <row r="201" spans="2:8" x14ac:dyDescent="0.35">
      <c r="B201" s="15"/>
      <c r="C201" s="15"/>
      <c r="D201" s="15"/>
      <c r="E201" s="15"/>
      <c r="F201" s="15"/>
      <c r="G201" s="15"/>
      <c r="H201" s="15"/>
    </row>
    <row r="202" spans="2:8" x14ac:dyDescent="0.35">
      <c r="B202" s="15"/>
      <c r="C202" s="15"/>
      <c r="D202" s="15"/>
      <c r="E202" s="15"/>
      <c r="F202" s="15"/>
      <c r="G202" s="15"/>
      <c r="H202" s="15"/>
    </row>
    <row r="203" spans="2:8" x14ac:dyDescent="0.35">
      <c r="B203" s="15"/>
      <c r="C203" s="15"/>
      <c r="D203" s="15"/>
      <c r="E203" s="15"/>
      <c r="F203" s="15"/>
      <c r="G203" s="15"/>
      <c r="H203" s="15"/>
    </row>
    <row r="204" spans="2:8" x14ac:dyDescent="0.35">
      <c r="B204" s="15"/>
      <c r="C204" s="15"/>
      <c r="D204" s="15"/>
      <c r="E204" s="15"/>
      <c r="F204" s="15"/>
      <c r="G204" s="15"/>
      <c r="H204" s="15"/>
    </row>
    <row r="205" spans="2:8" x14ac:dyDescent="0.35">
      <c r="B205" s="15"/>
      <c r="C205" s="15"/>
      <c r="D205" s="15"/>
      <c r="E205" s="15"/>
      <c r="F205" s="15"/>
      <c r="G205" s="15"/>
      <c r="H205" s="15"/>
    </row>
    <row r="206" spans="2:8" x14ac:dyDescent="0.35">
      <c r="B206" s="15"/>
      <c r="C206" s="15"/>
      <c r="D206" s="15"/>
      <c r="E206" s="15"/>
      <c r="F206" s="15"/>
      <c r="G206" s="15"/>
      <c r="H206" s="15"/>
    </row>
    <row r="207" spans="2:8" x14ac:dyDescent="0.35">
      <c r="B207" s="15"/>
      <c r="C207" s="15"/>
      <c r="D207" s="15"/>
      <c r="E207" s="15"/>
      <c r="F207" s="15"/>
      <c r="G207" s="15"/>
      <c r="H207" s="15"/>
    </row>
    <row r="208" spans="2:8" x14ac:dyDescent="0.35">
      <c r="B208" s="15"/>
      <c r="C208" s="15"/>
      <c r="D208" s="15"/>
      <c r="E208" s="15"/>
      <c r="F208" s="15"/>
      <c r="G208" s="15"/>
      <c r="H208" s="15"/>
    </row>
    <row r="209" spans="2:8" x14ac:dyDescent="0.35">
      <c r="B209" s="15"/>
      <c r="C209" s="15"/>
      <c r="D209" s="15"/>
      <c r="E209" s="15"/>
      <c r="F209" s="15"/>
      <c r="G209" s="15"/>
      <c r="H209" s="15"/>
    </row>
    <row r="210" spans="2:8" x14ac:dyDescent="0.35">
      <c r="B210" s="15"/>
      <c r="C210" s="15"/>
      <c r="D210" s="15"/>
      <c r="E210" s="15"/>
      <c r="F210" s="15"/>
      <c r="G210" s="15"/>
      <c r="H210" s="15"/>
    </row>
    <row r="211" spans="2:8" x14ac:dyDescent="0.35">
      <c r="B211" s="15"/>
      <c r="C211" s="15"/>
      <c r="D211" s="15"/>
      <c r="E211" s="15"/>
      <c r="F211" s="15"/>
      <c r="G211" s="15"/>
      <c r="H211" s="15"/>
    </row>
    <row r="212" spans="2:8" x14ac:dyDescent="0.35">
      <c r="B212" s="15"/>
      <c r="C212" s="15"/>
      <c r="D212" s="15"/>
      <c r="E212" s="15"/>
      <c r="F212" s="15"/>
      <c r="G212" s="15"/>
      <c r="H212" s="15"/>
    </row>
    <row r="213" spans="2:8" x14ac:dyDescent="0.35">
      <c r="B213" s="15"/>
      <c r="C213" s="15"/>
      <c r="D213" s="15"/>
      <c r="E213" s="15"/>
      <c r="F213" s="15"/>
      <c r="G213" s="15"/>
      <c r="H213" s="15"/>
    </row>
    <row r="214" spans="2:8" x14ac:dyDescent="0.35">
      <c r="B214" s="15"/>
      <c r="C214" s="15"/>
      <c r="D214" s="15"/>
      <c r="E214" s="15"/>
      <c r="F214" s="15"/>
      <c r="G214" s="15"/>
      <c r="H214" s="15"/>
    </row>
    <row r="215" spans="2:8" x14ac:dyDescent="0.35">
      <c r="B215" s="15"/>
      <c r="C215" s="15"/>
      <c r="D215" s="15"/>
      <c r="E215" s="15"/>
      <c r="F215" s="15"/>
      <c r="G215" s="15"/>
      <c r="H215" s="15"/>
    </row>
    <row r="216" spans="2:8" x14ac:dyDescent="0.35">
      <c r="B216" s="15"/>
      <c r="C216" s="15"/>
      <c r="D216" s="15"/>
      <c r="E216" s="15"/>
      <c r="F216" s="15"/>
      <c r="G216" s="15"/>
      <c r="H216" s="15"/>
    </row>
    <row r="217" spans="2:8" x14ac:dyDescent="0.35">
      <c r="B217" s="15"/>
      <c r="C217" s="15"/>
      <c r="D217" s="15"/>
      <c r="E217" s="15"/>
      <c r="F217" s="15"/>
      <c r="G217" s="15"/>
      <c r="H217" s="15"/>
    </row>
    <row r="218" spans="2:8" x14ac:dyDescent="0.35">
      <c r="B218" s="15"/>
      <c r="C218" s="15"/>
      <c r="D218" s="15"/>
      <c r="E218" s="15"/>
      <c r="F218" s="15"/>
      <c r="G218" s="15"/>
      <c r="H218" s="15"/>
    </row>
    <row r="219" spans="2:8" x14ac:dyDescent="0.35">
      <c r="B219" s="15"/>
      <c r="C219" s="15"/>
      <c r="D219" s="15"/>
      <c r="E219" s="15"/>
      <c r="F219" s="15"/>
      <c r="G219" s="15"/>
      <c r="H219" s="15"/>
    </row>
    <row r="220" spans="2:8" x14ac:dyDescent="0.35">
      <c r="B220" s="15"/>
      <c r="C220" s="15"/>
      <c r="D220" s="15"/>
      <c r="E220" s="15"/>
      <c r="F220" s="15"/>
      <c r="G220" s="15"/>
      <c r="H220" s="15"/>
    </row>
    <row r="221" spans="2:8" x14ac:dyDescent="0.35">
      <c r="B221" s="15"/>
      <c r="C221" s="15"/>
      <c r="D221" s="15"/>
      <c r="E221" s="15"/>
      <c r="F221" s="15"/>
      <c r="G221" s="15"/>
      <c r="H221" s="15"/>
    </row>
    <row r="222" spans="2:8" x14ac:dyDescent="0.35">
      <c r="B222" s="15"/>
      <c r="C222" s="15"/>
      <c r="D222" s="15"/>
      <c r="E222" s="15"/>
      <c r="F222" s="15"/>
      <c r="G222" s="15"/>
      <c r="H222" s="15"/>
    </row>
    <row r="223" spans="2:8" x14ac:dyDescent="0.35">
      <c r="B223" s="15"/>
      <c r="C223" s="15"/>
      <c r="D223" s="15"/>
      <c r="E223" s="15"/>
      <c r="F223" s="15"/>
      <c r="G223" s="15"/>
      <c r="H223" s="15"/>
    </row>
    <row r="224" spans="2:8" x14ac:dyDescent="0.35">
      <c r="B224" s="15"/>
      <c r="C224" s="15"/>
      <c r="D224" s="15"/>
      <c r="E224" s="15"/>
      <c r="F224" s="15"/>
      <c r="G224" s="15"/>
      <c r="H224" s="15"/>
    </row>
    <row r="225" spans="2:8" x14ac:dyDescent="0.35">
      <c r="B225" s="15"/>
      <c r="C225" s="15"/>
      <c r="D225" s="15"/>
      <c r="E225" s="15"/>
      <c r="F225" s="15"/>
      <c r="G225" s="15"/>
      <c r="H225" s="15"/>
    </row>
    <row r="226" spans="2:8" x14ac:dyDescent="0.35">
      <c r="B226" s="15"/>
      <c r="C226" s="15"/>
      <c r="D226" s="15"/>
      <c r="E226" s="15"/>
      <c r="F226" s="15"/>
      <c r="G226" s="15"/>
      <c r="H226" s="15"/>
    </row>
    <row r="227" spans="2:8" x14ac:dyDescent="0.35">
      <c r="B227" s="15"/>
      <c r="C227" s="15"/>
      <c r="D227" s="15"/>
      <c r="E227" s="15"/>
      <c r="F227" s="15"/>
      <c r="G227" s="15"/>
      <c r="H227" s="15"/>
    </row>
    <row r="228" spans="2:8" x14ac:dyDescent="0.35">
      <c r="B228" s="15"/>
      <c r="C228" s="15"/>
      <c r="D228" s="15"/>
      <c r="E228" s="15"/>
      <c r="F228" s="15"/>
      <c r="G228" s="15"/>
      <c r="H228" s="15"/>
    </row>
    <row r="229" spans="2:8" x14ac:dyDescent="0.35">
      <c r="B229" s="15"/>
      <c r="C229" s="15"/>
      <c r="D229" s="15"/>
      <c r="E229" s="15"/>
      <c r="F229" s="15"/>
      <c r="G229" s="15"/>
      <c r="H229" s="15"/>
    </row>
    <row r="230" spans="2:8" x14ac:dyDescent="0.35">
      <c r="B230" s="15"/>
      <c r="C230" s="15"/>
      <c r="D230" s="15"/>
      <c r="E230" s="15"/>
      <c r="F230" s="15"/>
      <c r="G230" s="15"/>
      <c r="H230" s="15"/>
    </row>
    <row r="231" spans="2:8" x14ac:dyDescent="0.35">
      <c r="B231" s="15"/>
      <c r="C231" s="15"/>
      <c r="D231" s="15"/>
      <c r="E231" s="15"/>
      <c r="F231" s="15"/>
      <c r="G231" s="15"/>
      <c r="H231" s="15"/>
    </row>
    <row r="232" spans="2:8" x14ac:dyDescent="0.35">
      <c r="B232" s="15"/>
      <c r="C232" s="15"/>
      <c r="D232" s="15"/>
      <c r="E232" s="15"/>
      <c r="F232" s="15"/>
      <c r="G232" s="15"/>
      <c r="H232" s="15"/>
    </row>
    <row r="233" spans="2:8" x14ac:dyDescent="0.35">
      <c r="B233" s="15"/>
      <c r="C233" s="15"/>
      <c r="D233" s="15"/>
      <c r="E233" s="15"/>
      <c r="F233" s="15"/>
      <c r="G233" s="15"/>
      <c r="H233" s="15"/>
    </row>
    <row r="234" spans="2:8" x14ac:dyDescent="0.35">
      <c r="B234" s="15"/>
      <c r="C234" s="15"/>
      <c r="D234" s="15"/>
      <c r="E234" s="15"/>
      <c r="F234" s="15"/>
      <c r="G234" s="15"/>
      <c r="H234" s="15"/>
    </row>
    <row r="235" spans="2:8" x14ac:dyDescent="0.35">
      <c r="B235" s="15"/>
      <c r="C235" s="15"/>
      <c r="D235" s="15"/>
      <c r="E235" s="15"/>
      <c r="F235" s="15"/>
      <c r="G235" s="15"/>
      <c r="H235" s="15"/>
    </row>
    <row r="236" spans="2:8" x14ac:dyDescent="0.35">
      <c r="B236" s="15"/>
      <c r="C236" s="15"/>
      <c r="D236" s="15"/>
      <c r="E236" s="15"/>
      <c r="F236" s="15"/>
      <c r="G236" s="15"/>
      <c r="H236" s="15"/>
    </row>
    <row r="237" spans="2:8" x14ac:dyDescent="0.35">
      <c r="B237" s="15"/>
      <c r="C237" s="15"/>
      <c r="D237" s="15"/>
      <c r="E237" s="15"/>
      <c r="F237" s="15"/>
      <c r="G237" s="15"/>
      <c r="H237" s="15"/>
    </row>
    <row r="238" spans="2:8" x14ac:dyDescent="0.35">
      <c r="B238" s="15"/>
      <c r="C238" s="15"/>
      <c r="D238" s="15"/>
      <c r="E238" s="15"/>
      <c r="F238" s="15"/>
      <c r="G238" s="15"/>
      <c r="H238" s="15"/>
    </row>
    <row r="239" spans="2:8" x14ac:dyDescent="0.35">
      <c r="B239" s="15"/>
      <c r="C239" s="15"/>
      <c r="D239" s="15"/>
      <c r="E239" s="15"/>
      <c r="F239" s="15"/>
      <c r="G239" s="15"/>
      <c r="H239" s="15"/>
    </row>
    <row r="240" spans="2:8" x14ac:dyDescent="0.35">
      <c r="B240" s="15"/>
      <c r="C240" s="15"/>
      <c r="D240" s="15"/>
      <c r="E240" s="15"/>
      <c r="F240" s="15"/>
      <c r="G240" s="15"/>
      <c r="H240" s="15"/>
    </row>
    <row r="241" spans="2:8" x14ac:dyDescent="0.35">
      <c r="B241" s="15"/>
      <c r="C241" s="15"/>
      <c r="D241" s="15"/>
      <c r="E241" s="15"/>
      <c r="F241" s="15"/>
      <c r="G241" s="15"/>
      <c r="H241" s="15"/>
    </row>
    <row r="242" spans="2:8" x14ac:dyDescent="0.35">
      <c r="B242" s="15"/>
      <c r="C242" s="15"/>
      <c r="D242" s="15"/>
      <c r="E242" s="15"/>
      <c r="F242" s="15"/>
      <c r="G242" s="15"/>
      <c r="H242" s="15"/>
    </row>
    <row r="243" spans="2:8" x14ac:dyDescent="0.35">
      <c r="B243" s="15"/>
      <c r="C243" s="15"/>
      <c r="D243" s="15"/>
      <c r="E243" s="15"/>
      <c r="F243" s="15"/>
      <c r="G243" s="15"/>
      <c r="H243" s="15"/>
    </row>
    <row r="244" spans="2:8" x14ac:dyDescent="0.35">
      <c r="B244" s="15"/>
      <c r="C244" s="15"/>
      <c r="D244" s="15"/>
      <c r="E244" s="15"/>
      <c r="F244" s="15"/>
      <c r="G244" s="15"/>
      <c r="H244" s="15"/>
    </row>
    <row r="245" spans="2:8" x14ac:dyDescent="0.35">
      <c r="B245" s="15"/>
      <c r="C245" s="15"/>
      <c r="D245" s="15"/>
      <c r="E245" s="15"/>
      <c r="F245" s="15"/>
      <c r="G245" s="15"/>
      <c r="H245" s="15"/>
    </row>
    <row r="246" spans="2:8" x14ac:dyDescent="0.35">
      <c r="B246" s="15"/>
      <c r="C246" s="15"/>
      <c r="D246" s="15"/>
      <c r="E246" s="15"/>
      <c r="F246" s="15"/>
      <c r="G246" s="15"/>
      <c r="H246" s="15"/>
    </row>
    <row r="247" spans="2:8" x14ac:dyDescent="0.35">
      <c r="B247" s="15"/>
      <c r="C247" s="15"/>
      <c r="D247" s="15"/>
      <c r="E247" s="15"/>
      <c r="F247" s="15"/>
      <c r="G247" s="15"/>
      <c r="H247" s="15"/>
    </row>
    <row r="248" spans="2:8" x14ac:dyDescent="0.35">
      <c r="B248" s="15"/>
      <c r="C248" s="15"/>
      <c r="D248" s="15"/>
      <c r="E248" s="15"/>
      <c r="F248" s="15"/>
      <c r="G248" s="15"/>
      <c r="H248" s="15"/>
    </row>
    <row r="249" spans="2:8" x14ac:dyDescent="0.35">
      <c r="B249" s="15"/>
      <c r="C249" s="15"/>
      <c r="D249" s="15"/>
      <c r="E249" s="15"/>
      <c r="F249" s="15"/>
      <c r="G249" s="15"/>
      <c r="H249" s="15"/>
    </row>
    <row r="250" spans="2:8" x14ac:dyDescent="0.35">
      <c r="B250" s="15"/>
      <c r="C250" s="15"/>
      <c r="D250" s="15"/>
      <c r="E250" s="15"/>
      <c r="F250" s="15"/>
      <c r="G250" s="15"/>
      <c r="H250" s="15"/>
    </row>
    <row r="251" spans="2:8" x14ac:dyDescent="0.35">
      <c r="B251" s="15"/>
      <c r="C251" s="15"/>
      <c r="D251" s="15"/>
      <c r="E251" s="15"/>
      <c r="F251" s="15"/>
      <c r="G251" s="15"/>
      <c r="H251" s="15"/>
    </row>
    <row r="252" spans="2:8" x14ac:dyDescent="0.35">
      <c r="B252" s="15"/>
      <c r="C252" s="15"/>
      <c r="D252" s="15"/>
      <c r="E252" s="15"/>
      <c r="F252" s="15"/>
      <c r="G252" s="15"/>
      <c r="H252" s="15"/>
    </row>
    <row r="253" spans="2:8" x14ac:dyDescent="0.35">
      <c r="B253" s="15"/>
      <c r="C253" s="15"/>
      <c r="D253" s="15"/>
      <c r="E253" s="15"/>
      <c r="F253" s="15"/>
      <c r="G253" s="15"/>
      <c r="H253" s="15"/>
    </row>
    <row r="254" spans="2:8" x14ac:dyDescent="0.35">
      <c r="B254" s="15"/>
      <c r="C254" s="15"/>
      <c r="D254" s="15"/>
      <c r="E254" s="15"/>
      <c r="F254" s="15"/>
      <c r="G254" s="15"/>
      <c r="H254" s="15"/>
    </row>
    <row r="255" spans="2:8" x14ac:dyDescent="0.35">
      <c r="B255" s="15"/>
      <c r="C255" s="15"/>
      <c r="D255" s="15"/>
      <c r="E255" s="15"/>
      <c r="F255" s="15"/>
      <c r="G255" s="15"/>
      <c r="H255" s="15"/>
    </row>
    <row r="256" spans="2:8" x14ac:dyDescent="0.35">
      <c r="B256" s="15"/>
      <c r="C256" s="15"/>
      <c r="D256" s="15"/>
      <c r="E256" s="15"/>
      <c r="F256" s="15"/>
      <c r="G256" s="15"/>
      <c r="H256" s="15"/>
    </row>
    <row r="257" spans="2:8" x14ac:dyDescent="0.35">
      <c r="B257" s="15"/>
      <c r="C257" s="15"/>
      <c r="D257" s="15"/>
      <c r="E257" s="15"/>
      <c r="F257" s="15"/>
      <c r="G257" s="15"/>
      <c r="H257" s="15"/>
    </row>
    <row r="258" spans="2:8" x14ac:dyDescent="0.35">
      <c r="B258" s="15"/>
      <c r="C258" s="15"/>
      <c r="D258" s="15"/>
      <c r="E258" s="15"/>
      <c r="F258" s="15"/>
      <c r="G258" s="15"/>
      <c r="H258" s="15"/>
    </row>
    <row r="259" spans="2:8" x14ac:dyDescent="0.35">
      <c r="B259" s="15"/>
      <c r="C259" s="15"/>
      <c r="D259" s="15"/>
      <c r="E259" s="15"/>
      <c r="F259" s="15"/>
      <c r="G259" s="15"/>
      <c r="H259" s="15"/>
    </row>
    <row r="260" spans="2:8" x14ac:dyDescent="0.35">
      <c r="B260" s="15"/>
      <c r="C260" s="15"/>
      <c r="D260" s="15"/>
      <c r="E260" s="15"/>
      <c r="F260" s="15"/>
      <c r="G260" s="15"/>
      <c r="H260" s="15"/>
    </row>
    <row r="261" spans="2:8" x14ac:dyDescent="0.35">
      <c r="B261" s="15"/>
      <c r="C261" s="15"/>
      <c r="D261" s="15"/>
      <c r="E261" s="15"/>
      <c r="F261" s="15"/>
      <c r="G261" s="15"/>
      <c r="H261" s="15"/>
    </row>
    <row r="262" spans="2:8" x14ac:dyDescent="0.35">
      <c r="B262" s="15"/>
      <c r="C262" s="15"/>
      <c r="D262" s="15"/>
      <c r="E262" s="15"/>
      <c r="F262" s="15"/>
      <c r="G262" s="15"/>
      <c r="H262" s="15"/>
    </row>
    <row r="263" spans="2:8" x14ac:dyDescent="0.35">
      <c r="B263" s="15"/>
      <c r="C263" s="15"/>
      <c r="D263" s="15"/>
      <c r="E263" s="15"/>
      <c r="F263" s="15"/>
      <c r="G263" s="15"/>
      <c r="H263" s="15"/>
    </row>
    <row r="264" spans="2:8" x14ac:dyDescent="0.35">
      <c r="B264" s="15"/>
      <c r="C264" s="15"/>
      <c r="D264" s="15"/>
      <c r="E264" s="15"/>
      <c r="F264" s="15"/>
      <c r="G264" s="15"/>
      <c r="H264" s="15"/>
    </row>
    <row r="265" spans="2:8" x14ac:dyDescent="0.35">
      <c r="B265" s="15"/>
      <c r="C265" s="15"/>
      <c r="D265" s="15"/>
      <c r="E265" s="15"/>
      <c r="F265" s="15"/>
      <c r="G265" s="15"/>
      <c r="H265" s="15"/>
    </row>
    <row r="266" spans="2:8" x14ac:dyDescent="0.35">
      <c r="B266" s="15"/>
      <c r="C266" s="15"/>
      <c r="D266" s="15"/>
      <c r="E266" s="15"/>
      <c r="F266" s="15"/>
      <c r="G266" s="15"/>
      <c r="H266" s="15"/>
    </row>
    <row r="267" spans="2:8" x14ac:dyDescent="0.35">
      <c r="B267" s="15"/>
      <c r="C267" s="15"/>
      <c r="D267" s="15"/>
      <c r="E267" s="15"/>
      <c r="F267" s="15"/>
      <c r="G267" s="15"/>
      <c r="H267" s="15"/>
    </row>
    <row r="268" spans="2:8" x14ac:dyDescent="0.35">
      <c r="B268" s="15"/>
      <c r="C268" s="15"/>
      <c r="D268" s="15"/>
      <c r="E268" s="15"/>
      <c r="F268" s="15"/>
      <c r="G268" s="15"/>
      <c r="H268" s="15"/>
    </row>
    <row r="269" spans="2:8" x14ac:dyDescent="0.35">
      <c r="B269" s="15"/>
      <c r="C269" s="15"/>
      <c r="D269" s="15"/>
      <c r="E269" s="15"/>
      <c r="F269" s="15"/>
      <c r="G269" s="15"/>
      <c r="H269" s="15"/>
    </row>
    <row r="270" spans="2:8" x14ac:dyDescent="0.35">
      <c r="B270" s="15"/>
      <c r="C270" s="15"/>
      <c r="D270" s="15"/>
      <c r="E270" s="15"/>
      <c r="F270" s="15"/>
      <c r="G270" s="15"/>
      <c r="H270" s="15"/>
    </row>
    <row r="271" spans="2:8" x14ac:dyDescent="0.35">
      <c r="B271" s="15"/>
      <c r="C271" s="15"/>
      <c r="D271" s="15"/>
      <c r="E271" s="15"/>
      <c r="F271" s="15"/>
      <c r="G271" s="15"/>
      <c r="H271" s="15"/>
    </row>
    <row r="272" spans="2:8" x14ac:dyDescent="0.35">
      <c r="B272" s="15"/>
      <c r="C272" s="15"/>
      <c r="D272" s="15"/>
      <c r="E272" s="15"/>
      <c r="F272" s="15"/>
      <c r="G272" s="15"/>
      <c r="H272" s="15"/>
    </row>
    <row r="273" spans="2:8" x14ac:dyDescent="0.35">
      <c r="B273" s="15"/>
      <c r="C273" s="15"/>
      <c r="D273" s="15"/>
      <c r="E273" s="15"/>
      <c r="F273" s="15"/>
      <c r="G273" s="15"/>
      <c r="H273" s="15"/>
    </row>
    <row r="274" spans="2:8" x14ac:dyDescent="0.35">
      <c r="B274" s="15"/>
      <c r="C274" s="15"/>
      <c r="D274" s="15"/>
      <c r="E274" s="15"/>
      <c r="F274" s="15"/>
      <c r="G274" s="15"/>
      <c r="H274" s="15"/>
    </row>
    <row r="275" spans="2:8" x14ac:dyDescent="0.35">
      <c r="B275" s="15"/>
      <c r="C275" s="15"/>
      <c r="D275" s="15"/>
      <c r="E275" s="15"/>
      <c r="F275" s="15"/>
      <c r="G275" s="15"/>
      <c r="H275" s="15"/>
    </row>
    <row r="276" spans="2:8" x14ac:dyDescent="0.35">
      <c r="B276" s="15"/>
      <c r="C276" s="15"/>
      <c r="D276" s="15"/>
      <c r="E276" s="15"/>
      <c r="F276" s="15"/>
      <c r="G276" s="15"/>
      <c r="H276" s="15"/>
    </row>
    <row r="277" spans="2:8" x14ac:dyDescent="0.35">
      <c r="B277" s="15"/>
      <c r="C277" s="15"/>
      <c r="D277" s="15"/>
      <c r="E277" s="15"/>
      <c r="F277" s="15"/>
      <c r="G277" s="15"/>
      <c r="H277" s="15"/>
    </row>
    <row r="278" spans="2:8" x14ac:dyDescent="0.35">
      <c r="B278" s="15"/>
      <c r="C278" s="15"/>
      <c r="D278" s="15"/>
      <c r="E278" s="15"/>
      <c r="F278" s="15"/>
      <c r="G278" s="15"/>
      <c r="H278" s="15"/>
    </row>
    <row r="279" spans="2:8" x14ac:dyDescent="0.35">
      <c r="B279" s="15"/>
      <c r="C279" s="15"/>
      <c r="D279" s="15"/>
      <c r="E279" s="15"/>
      <c r="F279" s="15"/>
      <c r="G279" s="15"/>
      <c r="H279" s="15"/>
    </row>
    <row r="280" spans="2:8" x14ac:dyDescent="0.35">
      <c r="B280" s="15"/>
      <c r="C280" s="15"/>
      <c r="D280" s="15"/>
      <c r="E280" s="15"/>
      <c r="F280" s="15"/>
      <c r="G280" s="15"/>
      <c r="H280" s="15"/>
    </row>
    <row r="281" spans="2:8" x14ac:dyDescent="0.35">
      <c r="B281" s="15"/>
      <c r="C281" s="15"/>
      <c r="D281" s="15"/>
      <c r="E281" s="15"/>
      <c r="F281" s="15"/>
      <c r="G281" s="15"/>
      <c r="H281" s="15"/>
    </row>
    <row r="282" spans="2:8" x14ac:dyDescent="0.35">
      <c r="B282" s="15"/>
      <c r="C282" s="15"/>
      <c r="D282" s="15"/>
      <c r="E282" s="15"/>
      <c r="F282" s="15"/>
      <c r="G282" s="15"/>
      <c r="H282" s="15"/>
    </row>
    <row r="283" spans="2:8" x14ac:dyDescent="0.35">
      <c r="B283" s="15"/>
      <c r="C283" s="15"/>
      <c r="D283" s="15"/>
      <c r="E283" s="15"/>
      <c r="F283" s="15"/>
      <c r="G283" s="15"/>
      <c r="H283" s="15"/>
    </row>
    <row r="284" spans="2:8" x14ac:dyDescent="0.35">
      <c r="B284" s="15"/>
      <c r="C284" s="15"/>
      <c r="D284" s="15"/>
      <c r="E284" s="15"/>
      <c r="F284" s="15"/>
      <c r="G284" s="15"/>
      <c r="H284" s="15"/>
    </row>
    <row r="285" spans="2:8" x14ac:dyDescent="0.35">
      <c r="B285" s="15"/>
      <c r="C285" s="15"/>
      <c r="D285" s="15"/>
      <c r="E285" s="15"/>
      <c r="F285" s="15"/>
      <c r="G285" s="15"/>
      <c r="H285" s="15"/>
    </row>
    <row r="286" spans="2:8" x14ac:dyDescent="0.35">
      <c r="B286" s="15"/>
      <c r="C286" s="15"/>
      <c r="D286" s="15"/>
      <c r="E286" s="15"/>
      <c r="F286" s="15"/>
      <c r="G286" s="15"/>
      <c r="H286" s="15"/>
    </row>
    <row r="287" spans="2:8" x14ac:dyDescent="0.35">
      <c r="B287" s="15"/>
      <c r="C287" s="15"/>
      <c r="D287" s="15"/>
      <c r="E287" s="15"/>
      <c r="F287" s="15"/>
      <c r="G287" s="15"/>
      <c r="H287" s="15"/>
    </row>
    <row r="288" spans="2:8" x14ac:dyDescent="0.35">
      <c r="B288" s="15"/>
      <c r="C288" s="15"/>
      <c r="D288" s="15"/>
      <c r="E288" s="15"/>
      <c r="F288" s="15"/>
      <c r="G288" s="15"/>
      <c r="H288" s="15"/>
    </row>
    <row r="289" spans="2:8" x14ac:dyDescent="0.35">
      <c r="B289" s="15"/>
      <c r="C289" s="15"/>
      <c r="D289" s="15"/>
      <c r="E289" s="15"/>
      <c r="F289" s="15"/>
      <c r="G289" s="15"/>
      <c r="H289" s="15"/>
    </row>
    <row r="290" spans="2:8" x14ac:dyDescent="0.35">
      <c r="B290" s="15"/>
      <c r="C290" s="15"/>
      <c r="D290" s="15"/>
      <c r="E290" s="15"/>
      <c r="F290" s="15"/>
      <c r="G290" s="15"/>
      <c r="H290" s="15"/>
    </row>
    <row r="291" spans="2:8" x14ac:dyDescent="0.35">
      <c r="B291" s="15"/>
      <c r="C291" s="15"/>
      <c r="D291" s="15"/>
      <c r="E291" s="15"/>
      <c r="F291" s="15"/>
      <c r="G291" s="15"/>
      <c r="H291" s="15"/>
    </row>
    <row r="292" spans="2:8" x14ac:dyDescent="0.35">
      <c r="B292" s="15"/>
      <c r="C292" s="15"/>
      <c r="D292" s="15"/>
      <c r="E292" s="15"/>
      <c r="F292" s="15"/>
      <c r="G292" s="15"/>
      <c r="H292" s="15"/>
    </row>
    <row r="293" spans="2:8" x14ac:dyDescent="0.35">
      <c r="B293" s="15"/>
      <c r="C293" s="15"/>
      <c r="D293" s="15"/>
      <c r="E293" s="15"/>
      <c r="F293" s="15"/>
      <c r="G293" s="15"/>
      <c r="H293" s="15"/>
    </row>
    <row r="294" spans="2:8" x14ac:dyDescent="0.35">
      <c r="B294" s="15"/>
      <c r="C294" s="15"/>
      <c r="D294" s="15"/>
      <c r="E294" s="15"/>
      <c r="F294" s="15"/>
      <c r="G294" s="15"/>
      <c r="H294" s="15"/>
    </row>
    <row r="295" spans="2:8" x14ac:dyDescent="0.35">
      <c r="B295" s="15"/>
      <c r="C295" s="15"/>
      <c r="D295" s="15"/>
      <c r="E295" s="15"/>
      <c r="F295" s="15"/>
      <c r="G295" s="15"/>
      <c r="H295" s="15"/>
    </row>
    <row r="296" spans="2:8" x14ac:dyDescent="0.35">
      <c r="B296" s="15"/>
      <c r="C296" s="15"/>
      <c r="D296" s="15"/>
      <c r="E296" s="15"/>
      <c r="F296" s="15"/>
      <c r="G296" s="15"/>
      <c r="H296" s="15"/>
    </row>
    <row r="297" spans="2:8" x14ac:dyDescent="0.35">
      <c r="B297" s="15"/>
      <c r="C297" s="15"/>
      <c r="D297" s="15"/>
      <c r="E297" s="15"/>
      <c r="F297" s="15"/>
      <c r="G297" s="15"/>
      <c r="H297" s="15"/>
    </row>
    <row r="298" spans="2:8" x14ac:dyDescent="0.35">
      <c r="B298" s="15"/>
      <c r="C298" s="15"/>
      <c r="D298" s="15"/>
      <c r="E298" s="15"/>
      <c r="F298" s="15"/>
      <c r="G298" s="15"/>
      <c r="H298" s="15"/>
    </row>
    <row r="299" spans="2:8" x14ac:dyDescent="0.35">
      <c r="B299" s="15"/>
      <c r="C299" s="15"/>
      <c r="D299" s="15"/>
      <c r="E299" s="15"/>
      <c r="F299" s="15"/>
      <c r="G299" s="15"/>
      <c r="H299" s="15"/>
    </row>
    <row r="300" spans="2:8" x14ac:dyDescent="0.35">
      <c r="B300" s="15"/>
      <c r="C300" s="15"/>
      <c r="D300" s="15"/>
      <c r="E300" s="15"/>
      <c r="F300" s="15"/>
      <c r="G300" s="15"/>
      <c r="H300" s="15"/>
    </row>
    <row r="301" spans="2:8" x14ac:dyDescent="0.35">
      <c r="B301" s="15"/>
      <c r="C301" s="15"/>
      <c r="D301" s="15"/>
      <c r="E301" s="15"/>
      <c r="F301" s="15"/>
      <c r="G301" s="15"/>
      <c r="H301" s="15"/>
    </row>
    <row r="302" spans="2:8" x14ac:dyDescent="0.35">
      <c r="B302" s="15"/>
      <c r="C302" s="15"/>
      <c r="D302" s="15"/>
      <c r="E302" s="15"/>
      <c r="F302" s="15"/>
      <c r="G302" s="15"/>
      <c r="H302" s="15"/>
    </row>
    <row r="303" spans="2:8" x14ac:dyDescent="0.35">
      <c r="B303" s="15"/>
      <c r="C303" s="15"/>
      <c r="D303" s="15"/>
      <c r="E303" s="15"/>
      <c r="F303" s="15"/>
      <c r="G303" s="15"/>
      <c r="H303" s="15"/>
    </row>
    <row r="304" spans="2:8" x14ac:dyDescent="0.35">
      <c r="B304" s="15"/>
      <c r="C304" s="15"/>
      <c r="D304" s="15"/>
      <c r="E304" s="15"/>
      <c r="F304" s="15"/>
      <c r="G304" s="15"/>
      <c r="H304" s="15"/>
    </row>
    <row r="305" spans="2:8" x14ac:dyDescent="0.35">
      <c r="B305" s="15"/>
      <c r="C305" s="15"/>
      <c r="D305" s="15"/>
      <c r="E305" s="15"/>
      <c r="F305" s="15"/>
      <c r="G305" s="15"/>
      <c r="H305" s="15"/>
    </row>
    <row r="306" spans="2:8" x14ac:dyDescent="0.35">
      <c r="B306" s="15"/>
      <c r="C306" s="15"/>
      <c r="D306" s="15"/>
      <c r="E306" s="15"/>
      <c r="F306" s="15"/>
      <c r="G306" s="15"/>
      <c r="H306" s="15"/>
    </row>
    <row r="307" spans="2:8" x14ac:dyDescent="0.35">
      <c r="B307" s="15"/>
      <c r="C307" s="15"/>
      <c r="D307" s="15"/>
      <c r="E307" s="15"/>
      <c r="F307" s="15"/>
      <c r="G307" s="15"/>
      <c r="H307" s="15"/>
    </row>
    <row r="308" spans="2:8" x14ac:dyDescent="0.35">
      <c r="B308" s="15"/>
      <c r="C308" s="15"/>
      <c r="D308" s="15"/>
      <c r="E308" s="15"/>
      <c r="F308" s="15"/>
      <c r="G308" s="15"/>
      <c r="H308" s="15"/>
    </row>
    <row r="309" spans="2:8" x14ac:dyDescent="0.35">
      <c r="B309" s="15"/>
      <c r="C309" s="15"/>
      <c r="D309" s="15"/>
      <c r="E309" s="15"/>
      <c r="F309" s="15"/>
      <c r="G309" s="15"/>
      <c r="H309" s="15"/>
    </row>
    <row r="310" spans="2:8" x14ac:dyDescent="0.35">
      <c r="B310" s="15"/>
      <c r="C310" s="15"/>
      <c r="D310" s="15"/>
      <c r="E310" s="15"/>
      <c r="F310" s="15"/>
      <c r="G310" s="15"/>
      <c r="H310" s="15"/>
    </row>
    <row r="311" spans="2:8" x14ac:dyDescent="0.35">
      <c r="B311" s="15"/>
      <c r="C311" s="15"/>
      <c r="D311" s="15"/>
      <c r="E311" s="15"/>
      <c r="F311" s="15"/>
      <c r="G311" s="15"/>
      <c r="H311" s="15"/>
    </row>
    <row r="312" spans="2:8" x14ac:dyDescent="0.35">
      <c r="B312" s="15"/>
      <c r="C312" s="15"/>
      <c r="D312" s="15"/>
      <c r="E312" s="15"/>
      <c r="F312" s="15"/>
      <c r="G312" s="15"/>
      <c r="H312" s="15"/>
    </row>
    <row r="313" spans="2:8" x14ac:dyDescent="0.35">
      <c r="B313" s="15"/>
      <c r="C313" s="15"/>
      <c r="D313" s="15"/>
      <c r="E313" s="15"/>
      <c r="F313" s="15"/>
      <c r="G313" s="15"/>
      <c r="H313" s="15"/>
    </row>
    <row r="314" spans="2:8" x14ac:dyDescent="0.35">
      <c r="B314" s="15"/>
      <c r="C314" s="15"/>
      <c r="D314" s="15"/>
      <c r="E314" s="15"/>
      <c r="F314" s="15"/>
      <c r="G314" s="15"/>
      <c r="H314" s="15"/>
    </row>
    <row r="315" spans="2:8" x14ac:dyDescent="0.35">
      <c r="B315" s="15"/>
      <c r="C315" s="15"/>
      <c r="D315" s="15"/>
      <c r="E315" s="15"/>
      <c r="F315" s="15"/>
      <c r="G315" s="15"/>
      <c r="H315" s="15"/>
    </row>
    <row r="316" spans="2:8" x14ac:dyDescent="0.35">
      <c r="B316" s="15"/>
      <c r="C316" s="15"/>
      <c r="D316" s="15"/>
      <c r="E316" s="15"/>
      <c r="F316" s="15"/>
      <c r="G316" s="15"/>
      <c r="H316" s="15"/>
    </row>
    <row r="317" spans="2:8" x14ac:dyDescent="0.35">
      <c r="B317" s="15"/>
      <c r="C317" s="15"/>
      <c r="D317" s="15"/>
      <c r="E317" s="15"/>
      <c r="F317" s="15"/>
      <c r="G317" s="15"/>
      <c r="H317" s="15"/>
    </row>
    <row r="318" spans="2:8" x14ac:dyDescent="0.35">
      <c r="B318" s="15"/>
      <c r="C318" s="15"/>
      <c r="D318" s="15"/>
      <c r="E318" s="15"/>
      <c r="F318" s="15"/>
      <c r="G318" s="15"/>
      <c r="H318" s="15"/>
    </row>
    <row r="319" spans="2:8" x14ac:dyDescent="0.35">
      <c r="B319" s="15"/>
      <c r="C319" s="15"/>
      <c r="D319" s="15"/>
      <c r="E319" s="15"/>
      <c r="F319" s="15"/>
      <c r="G319" s="15"/>
      <c r="H319" s="15"/>
    </row>
    <row r="320" spans="2:8" x14ac:dyDescent="0.35">
      <c r="B320" s="15"/>
      <c r="C320" s="15"/>
      <c r="D320" s="15"/>
      <c r="E320" s="15"/>
      <c r="F320" s="15"/>
      <c r="G320" s="15"/>
      <c r="H320" s="15"/>
    </row>
    <row r="321" spans="2:8" x14ac:dyDescent="0.35">
      <c r="B321" s="15"/>
      <c r="C321" s="15"/>
      <c r="D321" s="15"/>
      <c r="E321" s="15"/>
      <c r="F321" s="15"/>
      <c r="G321" s="15"/>
      <c r="H321" s="15"/>
    </row>
    <row r="322" spans="2:8" x14ac:dyDescent="0.35">
      <c r="B322" s="15"/>
      <c r="C322" s="15"/>
      <c r="D322" s="15"/>
      <c r="E322" s="15"/>
      <c r="F322" s="15"/>
      <c r="G322" s="15"/>
      <c r="H322" s="15"/>
    </row>
    <row r="323" spans="2:8" x14ac:dyDescent="0.35">
      <c r="B323" s="15"/>
      <c r="C323" s="15"/>
      <c r="D323" s="15"/>
      <c r="E323" s="15"/>
      <c r="F323" s="15"/>
      <c r="G323" s="15"/>
      <c r="H323" s="15"/>
    </row>
    <row r="324" spans="2:8" x14ac:dyDescent="0.35">
      <c r="B324" s="15"/>
      <c r="C324" s="15"/>
      <c r="D324" s="15"/>
      <c r="E324" s="15"/>
      <c r="F324" s="15"/>
      <c r="G324" s="15"/>
      <c r="H324" s="15"/>
    </row>
    <row r="325" spans="2:8" x14ac:dyDescent="0.35">
      <c r="B325" s="15"/>
      <c r="C325" s="15"/>
      <c r="D325" s="15"/>
      <c r="E325" s="15"/>
      <c r="F325" s="15"/>
      <c r="G325" s="15"/>
      <c r="H325" s="15"/>
    </row>
    <row r="326" spans="2:8" x14ac:dyDescent="0.35">
      <c r="B326" s="15"/>
      <c r="C326" s="15"/>
      <c r="D326" s="15"/>
      <c r="E326" s="15"/>
      <c r="F326" s="15"/>
      <c r="G326" s="15"/>
      <c r="H326" s="15"/>
    </row>
    <row r="327" spans="2:8" x14ac:dyDescent="0.35">
      <c r="B327" s="15"/>
      <c r="C327" s="15"/>
      <c r="D327" s="15"/>
      <c r="E327" s="15"/>
      <c r="F327" s="15"/>
      <c r="G327" s="15"/>
      <c r="H327" s="15"/>
    </row>
    <row r="328" spans="2:8" x14ac:dyDescent="0.35">
      <c r="B328" s="15"/>
      <c r="C328" s="15"/>
      <c r="D328" s="15"/>
      <c r="E328" s="15"/>
      <c r="F328" s="15"/>
      <c r="G328" s="15"/>
      <c r="H328" s="15"/>
    </row>
    <row r="329" spans="2:8" x14ac:dyDescent="0.35">
      <c r="B329" s="15"/>
      <c r="C329" s="15"/>
      <c r="D329" s="15"/>
      <c r="E329" s="15"/>
      <c r="F329" s="15"/>
      <c r="G329" s="15"/>
      <c r="H329" s="15"/>
    </row>
    <row r="330" spans="2:8" x14ac:dyDescent="0.35">
      <c r="B330" s="15"/>
      <c r="C330" s="15"/>
      <c r="D330" s="15"/>
      <c r="E330" s="15"/>
      <c r="F330" s="15"/>
      <c r="G330" s="15"/>
      <c r="H330" s="15"/>
    </row>
    <row r="331" spans="2:8" x14ac:dyDescent="0.35">
      <c r="B331" s="15"/>
      <c r="C331" s="15"/>
      <c r="D331" s="15"/>
      <c r="E331" s="15"/>
      <c r="F331" s="15"/>
      <c r="G331" s="15"/>
      <c r="H331" s="15"/>
    </row>
    <row r="332" spans="2:8" x14ac:dyDescent="0.35">
      <c r="B332" s="15"/>
      <c r="C332" s="15"/>
      <c r="D332" s="15"/>
      <c r="E332" s="15"/>
      <c r="F332" s="15"/>
      <c r="G332" s="15"/>
      <c r="H332" s="15"/>
    </row>
    <row r="333" spans="2:8" x14ac:dyDescent="0.35">
      <c r="B333" s="15"/>
      <c r="C333" s="15"/>
      <c r="D333" s="15"/>
      <c r="E333" s="15"/>
      <c r="F333" s="15"/>
      <c r="G333" s="15"/>
      <c r="H333" s="15"/>
    </row>
    <row r="334" spans="2:8" x14ac:dyDescent="0.35">
      <c r="B334" s="15"/>
      <c r="C334" s="15"/>
      <c r="D334" s="15"/>
      <c r="E334" s="15"/>
      <c r="F334" s="15"/>
      <c r="G334" s="15"/>
      <c r="H334" s="15"/>
    </row>
    <row r="335" spans="2:8" x14ac:dyDescent="0.35">
      <c r="B335" s="15"/>
      <c r="C335" s="15"/>
      <c r="D335" s="15"/>
      <c r="E335" s="15"/>
      <c r="F335" s="15"/>
      <c r="G335" s="15"/>
      <c r="H335" s="15"/>
    </row>
    <row r="336" spans="2:8" x14ac:dyDescent="0.35">
      <c r="B336" s="15"/>
      <c r="C336" s="15"/>
      <c r="D336" s="15"/>
      <c r="E336" s="15"/>
      <c r="F336" s="15"/>
      <c r="G336" s="15"/>
      <c r="H336" s="15"/>
    </row>
    <row r="337" spans="2:8" x14ac:dyDescent="0.35">
      <c r="B337" s="15"/>
      <c r="C337" s="15"/>
      <c r="D337" s="15"/>
      <c r="E337" s="15"/>
      <c r="F337" s="15"/>
      <c r="G337" s="15"/>
      <c r="H337" s="15"/>
    </row>
    <row r="338" spans="2:8" x14ac:dyDescent="0.35">
      <c r="B338" s="15"/>
      <c r="C338" s="15"/>
      <c r="D338" s="15"/>
      <c r="E338" s="15"/>
      <c r="F338" s="15"/>
      <c r="G338" s="15"/>
      <c r="H338" s="15"/>
    </row>
    <row r="339" spans="2:8" x14ac:dyDescent="0.35">
      <c r="B339" s="15"/>
      <c r="C339" s="15"/>
      <c r="D339" s="15"/>
      <c r="E339" s="15"/>
      <c r="F339" s="15"/>
      <c r="G339" s="15"/>
      <c r="H339" s="15"/>
    </row>
    <row r="340" spans="2:8" x14ac:dyDescent="0.35">
      <c r="B340" s="15"/>
      <c r="C340" s="15"/>
      <c r="D340" s="15"/>
      <c r="E340" s="15"/>
      <c r="F340" s="15"/>
      <c r="G340" s="15"/>
      <c r="H340" s="15"/>
    </row>
    <row r="341" spans="2:8" x14ac:dyDescent="0.35">
      <c r="B341" s="15"/>
      <c r="C341" s="15"/>
      <c r="D341" s="15"/>
      <c r="E341" s="15"/>
      <c r="F341" s="15"/>
      <c r="G341" s="15"/>
      <c r="H341" s="15"/>
    </row>
    <row r="342" spans="2:8" x14ac:dyDescent="0.35">
      <c r="B342" s="15"/>
      <c r="C342" s="15"/>
      <c r="D342" s="15"/>
      <c r="E342" s="15"/>
      <c r="F342" s="15"/>
      <c r="G342" s="15"/>
      <c r="H342" s="15"/>
    </row>
    <row r="343" spans="2:8" x14ac:dyDescent="0.35">
      <c r="B343" s="15"/>
      <c r="C343" s="15"/>
      <c r="D343" s="15"/>
      <c r="E343" s="15"/>
      <c r="F343" s="15"/>
      <c r="G343" s="15"/>
      <c r="H343" s="15"/>
    </row>
    <row r="344" spans="2:8" x14ac:dyDescent="0.35">
      <c r="B344" s="15"/>
      <c r="C344" s="15"/>
      <c r="D344" s="15"/>
      <c r="E344" s="15"/>
      <c r="F344" s="15"/>
      <c r="G344" s="15"/>
      <c r="H344" s="15"/>
    </row>
    <row r="345" spans="2:8" x14ac:dyDescent="0.35">
      <c r="B345" s="15"/>
      <c r="C345" s="15"/>
      <c r="D345" s="15"/>
      <c r="E345" s="15"/>
      <c r="F345" s="15"/>
      <c r="G345" s="15"/>
      <c r="H345" s="15"/>
    </row>
    <row r="346" spans="2:8" x14ac:dyDescent="0.35">
      <c r="B346" s="15"/>
      <c r="C346" s="15"/>
      <c r="D346" s="15"/>
      <c r="E346" s="15"/>
      <c r="F346" s="15"/>
      <c r="G346" s="15"/>
      <c r="H346" s="15"/>
    </row>
    <row r="347" spans="2:8" x14ac:dyDescent="0.35">
      <c r="B347" s="15"/>
      <c r="C347" s="15"/>
      <c r="D347" s="15"/>
      <c r="E347" s="15"/>
      <c r="F347" s="15"/>
      <c r="G347" s="15"/>
      <c r="H347" s="15"/>
    </row>
    <row r="348" spans="2:8" x14ac:dyDescent="0.35">
      <c r="B348" s="15"/>
      <c r="C348" s="15"/>
      <c r="D348" s="15"/>
      <c r="E348" s="15"/>
      <c r="F348" s="15"/>
      <c r="G348" s="15"/>
      <c r="H348" s="15"/>
    </row>
    <row r="349" spans="2:8" x14ac:dyDescent="0.35">
      <c r="B349" s="15"/>
      <c r="C349" s="15"/>
      <c r="D349" s="15"/>
      <c r="E349" s="15"/>
      <c r="F349" s="15"/>
      <c r="G349" s="15"/>
      <c r="H349" s="15"/>
    </row>
    <row r="350" spans="2:8" x14ac:dyDescent="0.35">
      <c r="B350" s="15"/>
      <c r="C350" s="15"/>
      <c r="D350" s="15"/>
      <c r="E350" s="15"/>
      <c r="F350" s="15"/>
      <c r="G350" s="15"/>
      <c r="H350" s="15"/>
    </row>
    <row r="351" spans="2:8" x14ac:dyDescent="0.35">
      <c r="B351" s="15"/>
      <c r="C351" s="15"/>
      <c r="D351" s="15"/>
      <c r="E351" s="15"/>
      <c r="F351" s="15"/>
      <c r="G351" s="15"/>
      <c r="H351" s="15"/>
    </row>
    <row r="352" spans="2:8" x14ac:dyDescent="0.35">
      <c r="B352" s="15"/>
      <c r="C352" s="15"/>
      <c r="D352" s="15"/>
      <c r="E352" s="15"/>
      <c r="F352" s="15"/>
      <c r="G352" s="15"/>
      <c r="H352" s="15"/>
    </row>
    <row r="353" spans="2:8" x14ac:dyDescent="0.35">
      <c r="B353" s="15"/>
      <c r="C353" s="15"/>
      <c r="D353" s="15"/>
      <c r="E353" s="15"/>
      <c r="F353" s="15"/>
      <c r="G353" s="15"/>
      <c r="H353" s="15"/>
    </row>
    <row r="354" spans="2:8" x14ac:dyDescent="0.35">
      <c r="B354" s="15"/>
      <c r="C354" s="15"/>
      <c r="D354" s="15"/>
      <c r="E354" s="15"/>
      <c r="F354" s="15"/>
      <c r="G354" s="15"/>
      <c r="H354" s="15"/>
    </row>
    <row r="355" spans="2:8" x14ac:dyDescent="0.35">
      <c r="B355" s="15"/>
      <c r="C355" s="15"/>
      <c r="D355" s="15"/>
      <c r="E355" s="15"/>
      <c r="F355" s="15"/>
      <c r="G355" s="15"/>
      <c r="H355" s="15"/>
    </row>
    <row r="356" spans="2:8" x14ac:dyDescent="0.35">
      <c r="B356" s="15"/>
      <c r="C356" s="15"/>
      <c r="D356" s="15"/>
      <c r="E356" s="15"/>
      <c r="F356" s="15"/>
      <c r="G356" s="15"/>
      <c r="H356" s="15"/>
    </row>
    <row r="357" spans="2:8" x14ac:dyDescent="0.35">
      <c r="B357" s="15"/>
      <c r="C357" s="15"/>
      <c r="D357" s="15"/>
      <c r="E357" s="15"/>
      <c r="F357" s="15"/>
      <c r="G357" s="15"/>
      <c r="H357" s="15"/>
    </row>
    <row r="358" spans="2:8" x14ac:dyDescent="0.35">
      <c r="B358" s="15"/>
      <c r="C358" s="15"/>
      <c r="D358" s="15"/>
      <c r="E358" s="15"/>
      <c r="F358" s="15"/>
      <c r="G358" s="15"/>
      <c r="H358" s="15"/>
    </row>
    <row r="359" spans="2:8" x14ac:dyDescent="0.35">
      <c r="B359" s="15"/>
      <c r="C359" s="15"/>
      <c r="D359" s="15"/>
      <c r="E359" s="15"/>
      <c r="F359" s="15"/>
      <c r="G359" s="15"/>
      <c r="H359" s="15"/>
    </row>
    <row r="360" spans="2:8" x14ac:dyDescent="0.35">
      <c r="B360" s="15"/>
      <c r="C360" s="15"/>
      <c r="D360" s="15"/>
      <c r="E360" s="15"/>
      <c r="F360" s="15"/>
      <c r="G360" s="15"/>
      <c r="H360" s="15"/>
    </row>
    <row r="361" spans="2:8" x14ac:dyDescent="0.35">
      <c r="B361" s="15"/>
      <c r="C361" s="15"/>
      <c r="D361" s="15"/>
      <c r="E361" s="15"/>
      <c r="F361" s="15"/>
      <c r="G361" s="15"/>
      <c r="H361" s="15"/>
    </row>
    <row r="362" spans="2:8" x14ac:dyDescent="0.35">
      <c r="B362" s="15"/>
      <c r="C362" s="15"/>
      <c r="D362" s="15"/>
      <c r="E362" s="15"/>
      <c r="F362" s="15"/>
      <c r="G362" s="15"/>
      <c r="H362" s="15"/>
    </row>
    <row r="363" spans="2:8" x14ac:dyDescent="0.35">
      <c r="B363" s="15"/>
      <c r="C363" s="15"/>
      <c r="D363" s="15"/>
      <c r="E363" s="15"/>
      <c r="F363" s="15"/>
      <c r="G363" s="15"/>
      <c r="H363" s="15"/>
    </row>
    <row r="364" spans="2:8" x14ac:dyDescent="0.35">
      <c r="B364" s="15"/>
      <c r="C364" s="15"/>
      <c r="D364" s="15"/>
      <c r="E364" s="15"/>
      <c r="F364" s="15"/>
      <c r="G364" s="15"/>
      <c r="H364" s="15"/>
    </row>
    <row r="365" spans="2:8" x14ac:dyDescent="0.35">
      <c r="B365" s="15"/>
      <c r="C365" s="15"/>
      <c r="D365" s="15"/>
      <c r="E365" s="15"/>
      <c r="F365" s="15"/>
      <c r="G365" s="15"/>
      <c r="H365" s="15"/>
    </row>
    <row r="366" spans="2:8" x14ac:dyDescent="0.35">
      <c r="B366" s="15"/>
      <c r="C366" s="15"/>
      <c r="D366" s="15"/>
      <c r="E366" s="15"/>
      <c r="F366" s="15"/>
      <c r="G366" s="15"/>
      <c r="H366" s="15"/>
    </row>
    <row r="367" spans="2:8" x14ac:dyDescent="0.35">
      <c r="B367" s="15"/>
      <c r="C367" s="15"/>
      <c r="D367" s="15"/>
      <c r="E367" s="15"/>
      <c r="F367" s="15"/>
      <c r="G367" s="15"/>
      <c r="H367" s="15"/>
    </row>
    <row r="368" spans="2:8" x14ac:dyDescent="0.35">
      <c r="B368" s="15"/>
      <c r="C368" s="15"/>
      <c r="D368" s="15"/>
      <c r="E368" s="15"/>
      <c r="F368" s="15"/>
      <c r="G368" s="15"/>
      <c r="H368" s="15"/>
    </row>
    <row r="369" spans="2:8" x14ac:dyDescent="0.35">
      <c r="B369" s="15"/>
      <c r="C369" s="15"/>
      <c r="D369" s="15"/>
      <c r="E369" s="15"/>
      <c r="F369" s="15"/>
      <c r="G369" s="15"/>
      <c r="H369" s="15"/>
    </row>
    <row r="370" spans="2:8" x14ac:dyDescent="0.35">
      <c r="B370" s="15"/>
      <c r="C370" s="15"/>
      <c r="D370" s="15"/>
      <c r="E370" s="15"/>
      <c r="F370" s="15"/>
      <c r="G370" s="15"/>
      <c r="H370" s="15"/>
    </row>
    <row r="371" spans="2:8" x14ac:dyDescent="0.35">
      <c r="B371" s="15"/>
      <c r="C371" s="15"/>
      <c r="D371" s="15"/>
      <c r="E371" s="15"/>
      <c r="F371" s="15"/>
      <c r="G371" s="15"/>
      <c r="H371" s="15"/>
    </row>
    <row r="372" spans="2:8" x14ac:dyDescent="0.35">
      <c r="B372" s="15"/>
      <c r="C372" s="15"/>
      <c r="D372" s="15"/>
      <c r="E372" s="15"/>
      <c r="F372" s="15"/>
      <c r="G372" s="15"/>
      <c r="H372" s="15"/>
    </row>
    <row r="373" spans="2:8" x14ac:dyDescent="0.35">
      <c r="B373" s="15"/>
      <c r="C373" s="15"/>
      <c r="D373" s="15"/>
      <c r="E373" s="15"/>
      <c r="F373" s="15"/>
      <c r="G373" s="15"/>
      <c r="H373" s="15"/>
    </row>
    <row r="374" spans="2:8" x14ac:dyDescent="0.35">
      <c r="B374" s="15"/>
      <c r="C374" s="15"/>
      <c r="D374" s="15"/>
      <c r="E374" s="15"/>
      <c r="F374" s="15"/>
      <c r="G374" s="15"/>
      <c r="H374" s="15"/>
    </row>
    <row r="375" spans="2:8" x14ac:dyDescent="0.35">
      <c r="B375" s="15"/>
      <c r="C375" s="15"/>
      <c r="D375" s="15"/>
      <c r="E375" s="15"/>
      <c r="F375" s="15"/>
      <c r="G375" s="15"/>
      <c r="H375" s="15"/>
    </row>
    <row r="376" spans="2:8" x14ac:dyDescent="0.35">
      <c r="B376" s="15"/>
      <c r="C376" s="15"/>
      <c r="D376" s="15"/>
      <c r="E376" s="15"/>
      <c r="F376" s="15"/>
      <c r="G376" s="15"/>
      <c r="H376" s="15"/>
    </row>
    <row r="377" spans="2:8" x14ac:dyDescent="0.35">
      <c r="B377" s="15"/>
      <c r="C377" s="15"/>
      <c r="D377" s="15"/>
      <c r="E377" s="15"/>
      <c r="F377" s="15"/>
      <c r="G377" s="15"/>
      <c r="H377" s="15"/>
    </row>
    <row r="378" spans="2:8" x14ac:dyDescent="0.35">
      <c r="B378" s="15"/>
      <c r="C378" s="15"/>
      <c r="D378" s="15"/>
      <c r="E378" s="15"/>
      <c r="F378" s="15"/>
      <c r="G378" s="15"/>
      <c r="H378" s="15"/>
    </row>
    <row r="379" spans="2:8" x14ac:dyDescent="0.35">
      <c r="B379" s="15"/>
      <c r="C379" s="15"/>
      <c r="D379" s="15"/>
      <c r="E379" s="15"/>
      <c r="F379" s="15"/>
      <c r="G379" s="15"/>
      <c r="H379" s="15"/>
    </row>
    <row r="380" spans="2:8" x14ac:dyDescent="0.35">
      <c r="B380" s="15"/>
      <c r="C380" s="15"/>
      <c r="D380" s="15"/>
      <c r="E380" s="15"/>
      <c r="F380" s="15"/>
      <c r="G380" s="15"/>
      <c r="H380" s="15"/>
    </row>
    <row r="381" spans="2:8" x14ac:dyDescent="0.35">
      <c r="B381" s="15"/>
      <c r="C381" s="15"/>
      <c r="D381" s="15"/>
      <c r="E381" s="15"/>
      <c r="F381" s="15"/>
      <c r="G381" s="15"/>
      <c r="H381" s="15"/>
    </row>
    <row r="382" spans="2:8" x14ac:dyDescent="0.35">
      <c r="B382" s="15"/>
      <c r="C382" s="15"/>
      <c r="D382" s="15"/>
      <c r="E382" s="15"/>
      <c r="F382" s="15"/>
      <c r="G382" s="15"/>
      <c r="H382" s="15"/>
    </row>
    <row r="383" spans="2:8" x14ac:dyDescent="0.35">
      <c r="B383" s="15"/>
      <c r="C383" s="15"/>
      <c r="D383" s="15"/>
      <c r="E383" s="15"/>
      <c r="F383" s="15"/>
      <c r="G383" s="15"/>
      <c r="H383" s="15"/>
    </row>
    <row r="384" spans="2:8" x14ac:dyDescent="0.35">
      <c r="B384" s="15"/>
      <c r="C384" s="15"/>
      <c r="D384" s="15"/>
      <c r="E384" s="15"/>
      <c r="F384" s="15"/>
      <c r="G384" s="15"/>
      <c r="H384" s="15"/>
    </row>
    <row r="385" spans="2:8" x14ac:dyDescent="0.35">
      <c r="B385" s="15"/>
      <c r="C385" s="15"/>
      <c r="D385" s="15"/>
      <c r="E385" s="15"/>
      <c r="F385" s="15"/>
      <c r="G385" s="15"/>
      <c r="H385" s="15"/>
    </row>
    <row r="386" spans="2:8" x14ac:dyDescent="0.35">
      <c r="B386" s="15"/>
      <c r="C386" s="15"/>
      <c r="D386" s="15"/>
      <c r="E386" s="15"/>
      <c r="F386" s="15"/>
      <c r="G386" s="15"/>
      <c r="H386" s="15"/>
    </row>
    <row r="387" spans="2:8" x14ac:dyDescent="0.35">
      <c r="B387" s="15"/>
      <c r="C387" s="15"/>
      <c r="D387" s="15"/>
      <c r="E387" s="15"/>
      <c r="F387" s="15"/>
      <c r="G387" s="15"/>
      <c r="H387" s="15"/>
    </row>
    <row r="388" spans="2:8" x14ac:dyDescent="0.35">
      <c r="B388" s="15"/>
      <c r="C388" s="15"/>
      <c r="D388" s="15"/>
      <c r="E388" s="15"/>
      <c r="F388" s="15"/>
      <c r="G388" s="15"/>
      <c r="H388" s="15"/>
    </row>
    <row r="389" spans="2:8" x14ac:dyDescent="0.35">
      <c r="B389" s="15"/>
      <c r="C389" s="15"/>
      <c r="D389" s="15"/>
      <c r="E389" s="15"/>
      <c r="F389" s="15"/>
      <c r="G389" s="15"/>
      <c r="H389" s="15"/>
    </row>
    <row r="390" spans="2:8" x14ac:dyDescent="0.35">
      <c r="B390" s="15"/>
      <c r="C390" s="15"/>
      <c r="D390" s="15"/>
      <c r="E390" s="15"/>
      <c r="F390" s="15"/>
      <c r="G390" s="15"/>
      <c r="H390" s="15"/>
    </row>
    <row r="391" spans="2:8" x14ac:dyDescent="0.35">
      <c r="B391" s="15"/>
      <c r="C391" s="15"/>
      <c r="D391" s="15"/>
      <c r="E391" s="15"/>
      <c r="F391" s="15"/>
      <c r="G391" s="15"/>
      <c r="H391" s="15"/>
    </row>
    <row r="392" spans="2:8" x14ac:dyDescent="0.35">
      <c r="B392" s="15"/>
      <c r="C392" s="15"/>
      <c r="D392" s="15"/>
      <c r="E392" s="15"/>
      <c r="F392" s="15"/>
      <c r="G392" s="15"/>
      <c r="H392" s="15"/>
    </row>
    <row r="393" spans="2:8" x14ac:dyDescent="0.35">
      <c r="B393" s="15"/>
      <c r="C393" s="15"/>
      <c r="D393" s="15"/>
      <c r="E393" s="15"/>
      <c r="F393" s="15"/>
      <c r="G393" s="15"/>
      <c r="H393" s="15"/>
    </row>
    <row r="394" spans="2:8" x14ac:dyDescent="0.35">
      <c r="B394" s="15"/>
      <c r="C394" s="15"/>
      <c r="D394" s="15"/>
      <c r="E394" s="15"/>
      <c r="F394" s="15"/>
      <c r="G394" s="15"/>
      <c r="H394" s="15"/>
    </row>
    <row r="395" spans="2:8" x14ac:dyDescent="0.35">
      <c r="B395" s="15"/>
      <c r="C395" s="15"/>
      <c r="D395" s="15"/>
      <c r="E395" s="15"/>
      <c r="F395" s="15"/>
      <c r="G395" s="15"/>
      <c r="H395" s="15"/>
    </row>
    <row r="396" spans="2:8" x14ac:dyDescent="0.35">
      <c r="B396" s="15"/>
      <c r="C396" s="15"/>
      <c r="D396" s="15"/>
      <c r="E396" s="15"/>
      <c r="F396" s="15"/>
      <c r="G396" s="15"/>
      <c r="H396" s="15"/>
    </row>
    <row r="397" spans="2:8" x14ac:dyDescent="0.35">
      <c r="B397" s="15"/>
      <c r="C397" s="15"/>
      <c r="D397" s="15"/>
      <c r="E397" s="15"/>
      <c r="F397" s="15"/>
      <c r="G397" s="15"/>
      <c r="H397" s="15"/>
    </row>
    <row r="398" spans="2:8" x14ac:dyDescent="0.35">
      <c r="B398" s="15"/>
      <c r="C398" s="15"/>
      <c r="D398" s="15"/>
      <c r="E398" s="15"/>
      <c r="F398" s="15"/>
      <c r="G398" s="15"/>
      <c r="H398" s="15"/>
    </row>
    <row r="399" spans="2:8" x14ac:dyDescent="0.35">
      <c r="B399" s="15"/>
      <c r="C399" s="15"/>
      <c r="D399" s="15"/>
      <c r="E399" s="15"/>
      <c r="F399" s="15"/>
      <c r="G399" s="15"/>
      <c r="H399" s="15"/>
    </row>
    <row r="400" spans="2:8" x14ac:dyDescent="0.35">
      <c r="B400" s="15"/>
      <c r="C400" s="15"/>
      <c r="D400" s="15"/>
      <c r="E400" s="15"/>
      <c r="F400" s="15"/>
      <c r="G400" s="15"/>
      <c r="H400" s="15"/>
    </row>
    <row r="401" spans="2:8" x14ac:dyDescent="0.35">
      <c r="B401" s="15"/>
      <c r="C401" s="15"/>
      <c r="D401" s="15"/>
      <c r="E401" s="15"/>
      <c r="F401" s="15"/>
      <c r="G401" s="15"/>
      <c r="H401" s="15"/>
    </row>
    <row r="402" spans="2:8" x14ac:dyDescent="0.35">
      <c r="B402" s="15"/>
      <c r="C402" s="15"/>
      <c r="D402" s="15"/>
      <c r="E402" s="15"/>
      <c r="F402" s="15"/>
      <c r="G402" s="15"/>
      <c r="H402" s="15"/>
    </row>
    <row r="403" spans="2:8" x14ac:dyDescent="0.35">
      <c r="B403" s="15"/>
      <c r="C403" s="15"/>
      <c r="D403" s="15"/>
      <c r="E403" s="15"/>
      <c r="F403" s="15"/>
      <c r="G403" s="15"/>
      <c r="H403" s="15"/>
    </row>
    <row r="404" spans="2:8" x14ac:dyDescent="0.35">
      <c r="B404" s="15"/>
      <c r="C404" s="15"/>
      <c r="D404" s="15"/>
      <c r="E404" s="15"/>
      <c r="F404" s="15"/>
      <c r="G404" s="15"/>
      <c r="H404" s="15"/>
    </row>
    <row r="405" spans="2:8" x14ac:dyDescent="0.35">
      <c r="B405" s="15"/>
      <c r="C405" s="15"/>
      <c r="D405" s="15"/>
      <c r="E405" s="15"/>
      <c r="F405" s="15"/>
      <c r="G405" s="15"/>
      <c r="H405" s="15"/>
    </row>
    <row r="406" spans="2:8" x14ac:dyDescent="0.35">
      <c r="B406" s="15"/>
      <c r="C406" s="15"/>
      <c r="D406" s="15"/>
      <c r="E406" s="15"/>
      <c r="F406" s="15"/>
      <c r="G406" s="15"/>
      <c r="H406" s="15"/>
    </row>
    <row r="407" spans="2:8" x14ac:dyDescent="0.35">
      <c r="B407" s="15"/>
      <c r="C407" s="15"/>
      <c r="D407" s="15"/>
      <c r="E407" s="15"/>
      <c r="F407" s="15"/>
      <c r="G407" s="15"/>
      <c r="H407" s="15"/>
    </row>
    <row r="408" spans="2:8" x14ac:dyDescent="0.35">
      <c r="B408" s="15"/>
      <c r="C408" s="15"/>
      <c r="D408" s="15"/>
      <c r="E408" s="15"/>
      <c r="F408" s="15"/>
      <c r="G408" s="15"/>
      <c r="H408" s="15"/>
    </row>
    <row r="409" spans="2:8" x14ac:dyDescent="0.35">
      <c r="B409" s="15"/>
      <c r="C409" s="15"/>
      <c r="D409" s="15"/>
      <c r="E409" s="15"/>
      <c r="F409" s="15"/>
      <c r="G409" s="15"/>
      <c r="H409" s="15"/>
    </row>
    <row r="410" spans="2:8" x14ac:dyDescent="0.35">
      <c r="B410" s="15"/>
      <c r="C410" s="15"/>
      <c r="D410" s="15"/>
      <c r="E410" s="15"/>
      <c r="F410" s="15"/>
      <c r="G410" s="15"/>
      <c r="H410" s="15"/>
    </row>
    <row r="411" spans="2:8" x14ac:dyDescent="0.35">
      <c r="B411" s="15"/>
      <c r="C411" s="15"/>
      <c r="D411" s="15"/>
      <c r="E411" s="15"/>
      <c r="F411" s="15"/>
      <c r="G411" s="15"/>
      <c r="H411" s="15"/>
    </row>
    <row r="412" spans="2:8" x14ac:dyDescent="0.35">
      <c r="B412" s="15"/>
      <c r="C412" s="15"/>
      <c r="D412" s="15"/>
      <c r="E412" s="15"/>
      <c r="F412" s="15"/>
      <c r="G412" s="15"/>
      <c r="H412" s="15"/>
    </row>
    <row r="413" spans="2:8" x14ac:dyDescent="0.35">
      <c r="B413" s="15"/>
      <c r="C413" s="15"/>
      <c r="D413" s="15"/>
      <c r="E413" s="15"/>
      <c r="F413" s="15"/>
      <c r="G413" s="15"/>
      <c r="H413" s="15"/>
    </row>
    <row r="414" spans="2:8" x14ac:dyDescent="0.35">
      <c r="B414" s="15"/>
      <c r="C414" s="15"/>
      <c r="D414" s="15"/>
      <c r="E414" s="15"/>
      <c r="F414" s="15"/>
      <c r="G414" s="15"/>
      <c r="H414" s="15"/>
    </row>
    <row r="415" spans="2:8" x14ac:dyDescent="0.35">
      <c r="B415" s="15"/>
      <c r="C415" s="15"/>
      <c r="D415" s="15"/>
      <c r="E415" s="15"/>
      <c r="F415" s="15"/>
      <c r="G415" s="15"/>
      <c r="H415" s="15"/>
    </row>
    <row r="416" spans="2:8" x14ac:dyDescent="0.35">
      <c r="B416" s="15"/>
      <c r="C416" s="15"/>
      <c r="D416" s="15"/>
      <c r="E416" s="15"/>
      <c r="F416" s="15"/>
      <c r="G416" s="15"/>
      <c r="H416" s="15"/>
    </row>
    <row r="417" spans="2:8" x14ac:dyDescent="0.35">
      <c r="B417" s="15"/>
      <c r="C417" s="15"/>
      <c r="D417" s="15"/>
      <c r="E417" s="15"/>
      <c r="F417" s="15"/>
      <c r="G417" s="15"/>
      <c r="H417" s="15"/>
    </row>
    <row r="418" spans="2:8" x14ac:dyDescent="0.35">
      <c r="B418" s="15"/>
      <c r="C418" s="15"/>
      <c r="D418" s="15"/>
      <c r="E418" s="15"/>
      <c r="F418" s="15"/>
      <c r="G418" s="15"/>
      <c r="H418" s="15"/>
    </row>
    <row r="419" spans="2:8" x14ac:dyDescent="0.35">
      <c r="B419" s="15"/>
      <c r="C419" s="15"/>
      <c r="D419" s="15"/>
      <c r="E419" s="15"/>
      <c r="F419" s="15"/>
      <c r="G419" s="15"/>
      <c r="H419" s="15"/>
    </row>
    <row r="420" spans="2:8" x14ac:dyDescent="0.35">
      <c r="B420" s="15"/>
      <c r="C420" s="15"/>
      <c r="D420" s="15"/>
      <c r="E420" s="15"/>
      <c r="F420" s="15"/>
      <c r="G420" s="15"/>
      <c r="H420" s="15"/>
    </row>
    <row r="421" spans="2:8" x14ac:dyDescent="0.35">
      <c r="B421" s="15"/>
      <c r="C421" s="15"/>
      <c r="D421" s="15"/>
      <c r="E421" s="15"/>
      <c r="F421" s="15"/>
      <c r="G421" s="15"/>
      <c r="H421" s="15"/>
    </row>
    <row r="422" spans="2:8" x14ac:dyDescent="0.35">
      <c r="B422" s="15"/>
      <c r="C422" s="15"/>
      <c r="D422" s="15"/>
      <c r="E422" s="15"/>
      <c r="F422" s="15"/>
      <c r="G422" s="15"/>
      <c r="H422" s="15"/>
    </row>
    <row r="423" spans="2:8" x14ac:dyDescent="0.35">
      <c r="B423" s="15"/>
      <c r="C423" s="15"/>
      <c r="D423" s="15"/>
      <c r="E423" s="15"/>
      <c r="F423" s="15"/>
      <c r="G423" s="15"/>
      <c r="H423" s="15"/>
    </row>
    <row r="424" spans="2:8" x14ac:dyDescent="0.35">
      <c r="B424" s="15"/>
      <c r="C424" s="15"/>
      <c r="D424" s="15"/>
      <c r="E424" s="15"/>
      <c r="F424" s="15"/>
      <c r="G424" s="15"/>
      <c r="H424" s="15"/>
    </row>
    <row r="425" spans="2:8" x14ac:dyDescent="0.35">
      <c r="B425" s="15"/>
      <c r="C425" s="15"/>
      <c r="D425" s="15"/>
      <c r="E425" s="15"/>
      <c r="F425" s="15"/>
      <c r="G425" s="15"/>
      <c r="H425" s="15"/>
    </row>
    <row r="426" spans="2:8" x14ac:dyDescent="0.35">
      <c r="B426" s="15"/>
      <c r="C426" s="15"/>
      <c r="D426" s="15"/>
      <c r="E426" s="15"/>
      <c r="F426" s="15"/>
      <c r="G426" s="15"/>
      <c r="H426" s="15"/>
    </row>
    <row r="427" spans="2:8" x14ac:dyDescent="0.35">
      <c r="B427" s="15"/>
      <c r="C427" s="15"/>
      <c r="D427" s="15"/>
      <c r="E427" s="15"/>
      <c r="F427" s="15"/>
      <c r="G427" s="15"/>
      <c r="H427" s="15"/>
    </row>
    <row r="428" spans="2:8" x14ac:dyDescent="0.35">
      <c r="B428" s="15"/>
      <c r="C428" s="15"/>
      <c r="D428" s="15"/>
      <c r="E428" s="15"/>
      <c r="F428" s="15"/>
      <c r="G428" s="15"/>
      <c r="H428" s="15"/>
    </row>
    <row r="429" spans="2:8" x14ac:dyDescent="0.35">
      <c r="B429" s="15"/>
      <c r="C429" s="15"/>
      <c r="D429" s="15"/>
      <c r="E429" s="15"/>
      <c r="F429" s="15"/>
      <c r="G429" s="15"/>
      <c r="H429" s="15"/>
    </row>
    <row r="430" spans="2:8" x14ac:dyDescent="0.35">
      <c r="B430" s="15"/>
      <c r="C430" s="15"/>
      <c r="D430" s="15"/>
      <c r="E430" s="15"/>
      <c r="F430" s="15"/>
      <c r="G430" s="15"/>
      <c r="H430" s="15"/>
    </row>
    <row r="431" spans="2:8" x14ac:dyDescent="0.35">
      <c r="B431" s="15"/>
      <c r="C431" s="15"/>
      <c r="D431" s="15"/>
      <c r="E431" s="15"/>
      <c r="F431" s="15"/>
      <c r="G431" s="15"/>
      <c r="H431" s="15"/>
    </row>
    <row r="432" spans="2:8" x14ac:dyDescent="0.35">
      <c r="B432" s="15"/>
      <c r="C432" s="15"/>
      <c r="D432" s="15"/>
      <c r="E432" s="15"/>
      <c r="F432" s="15"/>
      <c r="G432" s="15"/>
      <c r="H432" s="15"/>
    </row>
    <row r="433" spans="2:8" x14ac:dyDescent="0.35">
      <c r="B433" s="15"/>
      <c r="C433" s="15"/>
      <c r="D433" s="15"/>
      <c r="E433" s="15"/>
      <c r="F433" s="15"/>
      <c r="G433" s="15"/>
      <c r="H433" s="15"/>
    </row>
    <row r="434" spans="2:8" x14ac:dyDescent="0.35">
      <c r="B434" s="15"/>
      <c r="C434" s="15"/>
      <c r="D434" s="15"/>
      <c r="E434" s="15"/>
      <c r="F434" s="15"/>
      <c r="G434" s="15"/>
      <c r="H434" s="15"/>
    </row>
    <row r="435" spans="2:8" x14ac:dyDescent="0.35">
      <c r="B435" s="15"/>
      <c r="C435" s="15"/>
      <c r="D435" s="15"/>
      <c r="E435" s="15"/>
      <c r="F435" s="15"/>
      <c r="G435" s="15"/>
      <c r="H435" s="15"/>
    </row>
    <row r="436" spans="2:8" x14ac:dyDescent="0.35">
      <c r="B436" s="15"/>
      <c r="C436" s="15"/>
      <c r="D436" s="15"/>
      <c r="E436" s="15"/>
      <c r="F436" s="15"/>
      <c r="G436" s="15"/>
      <c r="H436" s="15"/>
    </row>
    <row r="437" spans="2:8" x14ac:dyDescent="0.35">
      <c r="B437" s="15"/>
      <c r="C437" s="15"/>
      <c r="D437" s="15"/>
      <c r="E437" s="15"/>
      <c r="F437" s="15"/>
      <c r="G437" s="15"/>
      <c r="H437" s="15"/>
    </row>
    <row r="438" spans="2:8" x14ac:dyDescent="0.35">
      <c r="B438" s="15"/>
      <c r="C438" s="15"/>
      <c r="D438" s="15"/>
      <c r="E438" s="15"/>
      <c r="F438" s="15"/>
      <c r="G438" s="15"/>
      <c r="H438" s="15"/>
    </row>
    <row r="439" spans="2:8" x14ac:dyDescent="0.35">
      <c r="B439" s="15"/>
      <c r="C439" s="15"/>
      <c r="D439" s="15"/>
      <c r="E439" s="15"/>
      <c r="F439" s="15"/>
      <c r="G439" s="15"/>
      <c r="H439" s="15"/>
    </row>
    <row r="440" spans="2:8" x14ac:dyDescent="0.35">
      <c r="B440" s="15"/>
      <c r="C440" s="15"/>
      <c r="D440" s="15"/>
      <c r="E440" s="15"/>
      <c r="F440" s="15"/>
      <c r="G440" s="15"/>
      <c r="H440" s="15"/>
    </row>
    <row r="441" spans="2:8" x14ac:dyDescent="0.35">
      <c r="B441" s="15"/>
      <c r="C441" s="15"/>
      <c r="D441" s="15"/>
      <c r="E441" s="15"/>
      <c r="F441" s="15"/>
      <c r="G441" s="15"/>
      <c r="H441" s="15"/>
    </row>
    <row r="442" spans="2:8" x14ac:dyDescent="0.35">
      <c r="B442" s="15"/>
      <c r="C442" s="15"/>
      <c r="D442" s="15"/>
      <c r="E442" s="15"/>
      <c r="F442" s="15"/>
      <c r="G442" s="15"/>
      <c r="H442" s="15"/>
    </row>
    <row r="443" spans="2:8" x14ac:dyDescent="0.35">
      <c r="B443" s="15"/>
      <c r="C443" s="15"/>
      <c r="D443" s="15"/>
      <c r="E443" s="15"/>
      <c r="F443" s="15"/>
      <c r="G443" s="15"/>
      <c r="H443" s="15"/>
    </row>
    <row r="444" spans="2:8" x14ac:dyDescent="0.35">
      <c r="B444" s="15"/>
      <c r="C444" s="15"/>
      <c r="D444" s="15"/>
      <c r="E444" s="15"/>
      <c r="F444" s="15"/>
      <c r="G444" s="15"/>
      <c r="H444" s="15"/>
    </row>
    <row r="445" spans="2:8" x14ac:dyDescent="0.35">
      <c r="B445" s="15"/>
      <c r="C445" s="15"/>
      <c r="D445" s="15"/>
      <c r="E445" s="15"/>
      <c r="F445" s="15"/>
      <c r="G445" s="15"/>
      <c r="H445" s="15"/>
    </row>
    <row r="446" spans="2:8" x14ac:dyDescent="0.35">
      <c r="B446" s="15"/>
      <c r="C446" s="15"/>
      <c r="D446" s="15"/>
      <c r="E446" s="15"/>
      <c r="F446" s="15"/>
      <c r="G446" s="15"/>
      <c r="H446" s="15"/>
    </row>
    <row r="447" spans="2:8" x14ac:dyDescent="0.35">
      <c r="B447" s="15"/>
      <c r="C447" s="15"/>
      <c r="D447" s="15"/>
      <c r="E447" s="15"/>
      <c r="F447" s="15"/>
      <c r="G447" s="15"/>
      <c r="H447" s="15"/>
    </row>
    <row r="448" spans="2:8" x14ac:dyDescent="0.35">
      <c r="B448" s="15"/>
      <c r="C448" s="15"/>
      <c r="D448" s="15"/>
      <c r="E448" s="15"/>
      <c r="F448" s="15"/>
      <c r="G448" s="15"/>
      <c r="H448" s="15"/>
    </row>
    <row r="449" spans="2:8" x14ac:dyDescent="0.35">
      <c r="B449" s="15"/>
      <c r="C449" s="15"/>
      <c r="D449" s="15"/>
      <c r="E449" s="15"/>
      <c r="F449" s="15"/>
      <c r="G449" s="15"/>
      <c r="H449" s="15"/>
    </row>
    <row r="450" spans="2:8" x14ac:dyDescent="0.35">
      <c r="B450" s="15"/>
      <c r="C450" s="15"/>
      <c r="D450" s="15"/>
      <c r="E450" s="15"/>
      <c r="F450" s="15"/>
      <c r="G450" s="15"/>
      <c r="H450" s="15"/>
    </row>
    <row r="451" spans="2:8" x14ac:dyDescent="0.35">
      <c r="B451" s="15"/>
      <c r="C451" s="15"/>
      <c r="D451" s="15"/>
      <c r="E451" s="15"/>
      <c r="F451" s="15"/>
      <c r="G451" s="15"/>
      <c r="H451" s="15"/>
    </row>
    <row r="452" spans="2:8" x14ac:dyDescent="0.35">
      <c r="B452" s="15"/>
      <c r="C452" s="15"/>
      <c r="D452" s="15"/>
      <c r="E452" s="15"/>
      <c r="F452" s="15"/>
      <c r="G452" s="15"/>
      <c r="H452" s="15"/>
    </row>
    <row r="453" spans="2:8" x14ac:dyDescent="0.35">
      <c r="B453" s="15"/>
      <c r="C453" s="15"/>
      <c r="D453" s="15"/>
      <c r="E453" s="15"/>
      <c r="F453" s="15"/>
      <c r="G453" s="15"/>
      <c r="H453" s="15"/>
    </row>
    <row r="454" spans="2:8" x14ac:dyDescent="0.35">
      <c r="B454" s="15"/>
      <c r="C454" s="15"/>
      <c r="D454" s="15"/>
      <c r="E454" s="15"/>
      <c r="F454" s="15"/>
      <c r="G454" s="15"/>
      <c r="H454" s="15"/>
    </row>
    <row r="455" spans="2:8" x14ac:dyDescent="0.35">
      <c r="B455" s="15"/>
      <c r="C455" s="15"/>
      <c r="D455" s="15"/>
      <c r="E455" s="15"/>
      <c r="F455" s="15"/>
      <c r="G455" s="15"/>
      <c r="H455" s="15"/>
    </row>
    <row r="456" spans="2:8" x14ac:dyDescent="0.35">
      <c r="B456" s="15"/>
      <c r="C456" s="15"/>
      <c r="D456" s="15"/>
      <c r="E456" s="15"/>
      <c r="F456" s="15"/>
      <c r="G456" s="15"/>
      <c r="H456" s="15"/>
    </row>
    <row r="457" spans="2:8" x14ac:dyDescent="0.35">
      <c r="B457" s="15"/>
      <c r="C457" s="15"/>
      <c r="D457" s="15"/>
      <c r="E457" s="15"/>
      <c r="F457" s="15"/>
      <c r="G457" s="15"/>
      <c r="H457" s="15"/>
    </row>
    <row r="458" spans="2:8" x14ac:dyDescent="0.35">
      <c r="B458" s="15"/>
      <c r="C458" s="15"/>
      <c r="D458" s="15"/>
      <c r="E458" s="15"/>
      <c r="F458" s="15"/>
      <c r="G458" s="15"/>
      <c r="H458" s="15"/>
    </row>
    <row r="459" spans="2:8" x14ac:dyDescent="0.35">
      <c r="B459" s="15"/>
      <c r="C459" s="15"/>
      <c r="D459" s="15"/>
      <c r="E459" s="15"/>
      <c r="F459" s="15"/>
      <c r="G459" s="15"/>
      <c r="H459" s="15"/>
    </row>
    <row r="460" spans="2:8" x14ac:dyDescent="0.35">
      <c r="B460" s="15"/>
      <c r="C460" s="15"/>
      <c r="D460" s="15"/>
      <c r="E460" s="15"/>
      <c r="F460" s="15"/>
      <c r="G460" s="15"/>
      <c r="H460" s="15"/>
    </row>
    <row r="461" spans="2:8" x14ac:dyDescent="0.35">
      <c r="B461" s="15"/>
      <c r="C461" s="15"/>
      <c r="D461" s="15"/>
      <c r="E461" s="15"/>
      <c r="F461" s="15"/>
      <c r="G461" s="15"/>
      <c r="H461" s="15"/>
    </row>
    <row r="462" spans="2:8" x14ac:dyDescent="0.35">
      <c r="B462" s="15"/>
      <c r="C462" s="15"/>
      <c r="D462" s="15"/>
      <c r="E462" s="15"/>
      <c r="F462" s="15"/>
      <c r="G462" s="15"/>
      <c r="H462" s="15"/>
    </row>
    <row r="463" spans="2:8" x14ac:dyDescent="0.35">
      <c r="B463" s="15"/>
      <c r="C463" s="15"/>
      <c r="D463" s="15"/>
      <c r="E463" s="15"/>
      <c r="F463" s="15"/>
      <c r="G463" s="15"/>
      <c r="H463" s="15"/>
    </row>
    <row r="464" spans="2:8" x14ac:dyDescent="0.35">
      <c r="B464" s="15"/>
      <c r="C464" s="15"/>
      <c r="D464" s="15"/>
      <c r="E464" s="15"/>
      <c r="F464" s="15"/>
      <c r="G464" s="15"/>
      <c r="H464" s="15"/>
    </row>
    <row r="465" spans="2:8" x14ac:dyDescent="0.35">
      <c r="B465" s="15"/>
      <c r="C465" s="15"/>
      <c r="D465" s="15"/>
      <c r="E465" s="15"/>
      <c r="F465" s="15"/>
      <c r="G465" s="15"/>
      <c r="H465" s="15"/>
    </row>
    <row r="466" spans="2:8" x14ac:dyDescent="0.35">
      <c r="B466" s="15"/>
      <c r="C466" s="15"/>
      <c r="D466" s="15"/>
      <c r="E466" s="15"/>
      <c r="F466" s="15"/>
      <c r="G466" s="15"/>
      <c r="H466" s="15"/>
    </row>
    <row r="467" spans="2:8" x14ac:dyDescent="0.35">
      <c r="B467" s="15"/>
      <c r="C467" s="15"/>
      <c r="D467" s="15"/>
      <c r="E467" s="15"/>
      <c r="F467" s="15"/>
      <c r="G467" s="15"/>
      <c r="H467" s="15"/>
    </row>
    <row r="468" spans="2:8" x14ac:dyDescent="0.35">
      <c r="B468" s="15"/>
      <c r="C468" s="15"/>
      <c r="D468" s="15"/>
      <c r="E468" s="15"/>
      <c r="F468" s="15"/>
      <c r="G468" s="15"/>
      <c r="H468" s="15"/>
    </row>
    <row r="469" spans="2:8" x14ac:dyDescent="0.35">
      <c r="B469" s="15"/>
      <c r="C469" s="15"/>
      <c r="D469" s="15"/>
      <c r="E469" s="15"/>
      <c r="F469" s="15"/>
      <c r="G469" s="15"/>
      <c r="H469" s="15"/>
    </row>
    <row r="470" spans="2:8" x14ac:dyDescent="0.35">
      <c r="B470" s="15"/>
      <c r="C470" s="15"/>
      <c r="D470" s="15"/>
      <c r="E470" s="15"/>
      <c r="F470" s="15"/>
      <c r="G470" s="15"/>
      <c r="H470" s="15"/>
    </row>
    <row r="471" spans="2:8" x14ac:dyDescent="0.35">
      <c r="B471" s="15"/>
      <c r="C471" s="15"/>
      <c r="D471" s="15"/>
      <c r="E471" s="15"/>
      <c r="F471" s="15"/>
      <c r="G471" s="15"/>
      <c r="H471" s="15"/>
    </row>
    <row r="472" spans="2:8" x14ac:dyDescent="0.35">
      <c r="B472" s="15"/>
      <c r="C472" s="15"/>
      <c r="D472" s="15"/>
      <c r="E472" s="15"/>
      <c r="F472" s="15"/>
      <c r="G472" s="15"/>
      <c r="H472" s="15"/>
    </row>
    <row r="473" spans="2:8" x14ac:dyDescent="0.35">
      <c r="B473" s="15"/>
      <c r="C473" s="15"/>
      <c r="D473" s="15"/>
      <c r="E473" s="15"/>
      <c r="F473" s="15"/>
      <c r="G473" s="15"/>
      <c r="H473" s="15"/>
    </row>
    <row r="474" spans="2:8" x14ac:dyDescent="0.35">
      <c r="B474" s="15"/>
      <c r="C474" s="15"/>
      <c r="D474" s="15"/>
      <c r="E474" s="15"/>
      <c r="F474" s="15"/>
      <c r="G474" s="15"/>
      <c r="H474" s="15"/>
    </row>
    <row r="475" spans="2:8" x14ac:dyDescent="0.35">
      <c r="B475" s="15"/>
      <c r="C475" s="15"/>
      <c r="D475" s="15"/>
      <c r="E475" s="15"/>
      <c r="F475" s="15"/>
      <c r="G475" s="15"/>
      <c r="H475" s="15"/>
    </row>
    <row r="476" spans="2:8" x14ac:dyDescent="0.35">
      <c r="B476" s="15"/>
      <c r="C476" s="15"/>
      <c r="D476" s="15"/>
      <c r="E476" s="15"/>
      <c r="F476" s="15"/>
      <c r="G476" s="15"/>
      <c r="H476" s="15"/>
    </row>
    <row r="477" spans="2:8" x14ac:dyDescent="0.35">
      <c r="B477" s="15"/>
      <c r="C477" s="15"/>
      <c r="D477" s="15"/>
      <c r="E477" s="15"/>
      <c r="F477" s="15"/>
      <c r="G477" s="15"/>
      <c r="H477" s="15"/>
    </row>
    <row r="478" spans="2:8" x14ac:dyDescent="0.35">
      <c r="B478" s="15"/>
      <c r="C478" s="15"/>
      <c r="D478" s="15"/>
      <c r="E478" s="15"/>
      <c r="F478" s="15"/>
      <c r="G478" s="15"/>
      <c r="H478" s="15"/>
    </row>
    <row r="479" spans="2:8" x14ac:dyDescent="0.35">
      <c r="B479" s="15"/>
      <c r="C479" s="15"/>
      <c r="D479" s="15"/>
      <c r="E479" s="15"/>
      <c r="F479" s="15"/>
      <c r="G479" s="15"/>
      <c r="H479" s="15"/>
    </row>
    <row r="480" spans="2:8" x14ac:dyDescent="0.35">
      <c r="B480" s="15"/>
      <c r="C480" s="15"/>
      <c r="D480" s="15"/>
      <c r="E480" s="15"/>
      <c r="F480" s="15"/>
      <c r="G480" s="15"/>
      <c r="H480" s="15"/>
    </row>
    <row r="481" spans="2:8" x14ac:dyDescent="0.35">
      <c r="B481" s="15"/>
      <c r="C481" s="15"/>
      <c r="D481" s="15"/>
      <c r="E481" s="15"/>
      <c r="F481" s="15"/>
      <c r="G481" s="15"/>
      <c r="H481" s="15"/>
    </row>
    <row r="482" spans="2:8" x14ac:dyDescent="0.35">
      <c r="B482" s="15"/>
      <c r="C482" s="15"/>
      <c r="D482" s="15"/>
      <c r="E482" s="15"/>
      <c r="F482" s="15"/>
      <c r="G482" s="15"/>
      <c r="H482" s="15"/>
    </row>
    <row r="483" spans="2:8" x14ac:dyDescent="0.35">
      <c r="B483" s="15"/>
      <c r="C483" s="15"/>
      <c r="D483" s="15"/>
      <c r="E483" s="15"/>
      <c r="F483" s="15"/>
      <c r="G483" s="15"/>
      <c r="H483" s="15"/>
    </row>
    <row r="484" spans="2:8" x14ac:dyDescent="0.35">
      <c r="B484" s="15"/>
      <c r="C484" s="15"/>
      <c r="D484" s="15"/>
      <c r="E484" s="15"/>
      <c r="F484" s="15"/>
      <c r="G484" s="15"/>
      <c r="H484" s="15"/>
    </row>
    <row r="485" spans="2:8" x14ac:dyDescent="0.35">
      <c r="B485" s="15"/>
      <c r="C485" s="15"/>
      <c r="D485" s="15"/>
      <c r="E485" s="15"/>
      <c r="F485" s="15"/>
      <c r="G485" s="15"/>
      <c r="H485" s="15"/>
    </row>
    <row r="486" spans="2:8" x14ac:dyDescent="0.35">
      <c r="B486" s="15"/>
      <c r="C486" s="15"/>
      <c r="D486" s="15"/>
      <c r="E486" s="15"/>
      <c r="F486" s="15"/>
      <c r="G486" s="15"/>
      <c r="H486" s="15"/>
    </row>
    <row r="487" spans="2:8" x14ac:dyDescent="0.35">
      <c r="B487" s="15"/>
      <c r="C487" s="15"/>
      <c r="D487" s="15"/>
      <c r="E487" s="15"/>
      <c r="F487" s="15"/>
      <c r="G487" s="15"/>
      <c r="H487" s="15"/>
    </row>
    <row r="488" spans="2:8" x14ac:dyDescent="0.35">
      <c r="B488" s="15"/>
      <c r="C488" s="15"/>
      <c r="D488" s="15"/>
      <c r="E488" s="15"/>
      <c r="F488" s="15"/>
      <c r="G488" s="15"/>
      <c r="H488" s="15"/>
    </row>
    <row r="489" spans="2:8" x14ac:dyDescent="0.35">
      <c r="B489" s="15"/>
      <c r="C489" s="15"/>
      <c r="D489" s="15"/>
      <c r="E489" s="15"/>
      <c r="F489" s="15"/>
      <c r="G489" s="15"/>
      <c r="H489" s="15"/>
    </row>
    <row r="490" spans="2:8" x14ac:dyDescent="0.35">
      <c r="B490" s="15"/>
      <c r="C490" s="15"/>
      <c r="D490" s="15"/>
      <c r="E490" s="15"/>
      <c r="F490" s="15"/>
      <c r="G490" s="15"/>
      <c r="H490" s="15"/>
    </row>
    <row r="491" spans="2:8" x14ac:dyDescent="0.35">
      <c r="B491" s="15"/>
      <c r="C491" s="15"/>
      <c r="D491" s="15"/>
      <c r="E491" s="15"/>
      <c r="F491" s="15"/>
      <c r="G491" s="15"/>
      <c r="H491" s="15"/>
    </row>
    <row r="492" spans="2:8" x14ac:dyDescent="0.35">
      <c r="B492" s="15"/>
      <c r="C492" s="15"/>
      <c r="D492" s="15"/>
      <c r="E492" s="15"/>
      <c r="F492" s="15"/>
      <c r="G492" s="15"/>
      <c r="H492" s="15"/>
    </row>
    <row r="493" spans="2:8" x14ac:dyDescent="0.35">
      <c r="B493" s="15"/>
      <c r="C493" s="15"/>
      <c r="D493" s="15"/>
      <c r="E493" s="15"/>
      <c r="F493" s="15"/>
      <c r="G493" s="15"/>
      <c r="H493" s="15"/>
    </row>
    <row r="494" spans="2:8" x14ac:dyDescent="0.35">
      <c r="B494" s="15"/>
      <c r="C494" s="15"/>
      <c r="D494" s="15"/>
      <c r="E494" s="15"/>
      <c r="F494" s="15"/>
      <c r="G494" s="15"/>
      <c r="H494" s="15"/>
    </row>
    <row r="495" spans="2:8" x14ac:dyDescent="0.35">
      <c r="B495" s="15"/>
      <c r="C495" s="15"/>
      <c r="D495" s="15"/>
      <c r="E495" s="15"/>
      <c r="F495" s="15"/>
      <c r="G495" s="15"/>
      <c r="H495" s="15"/>
    </row>
    <row r="496" spans="2:8" x14ac:dyDescent="0.35">
      <c r="B496" s="15"/>
      <c r="C496" s="15"/>
      <c r="D496" s="15"/>
      <c r="E496" s="15"/>
      <c r="F496" s="15"/>
      <c r="G496" s="15"/>
      <c r="H496" s="15"/>
    </row>
    <row r="497" spans="2:8" x14ac:dyDescent="0.35">
      <c r="B497" s="15"/>
      <c r="C497" s="15"/>
      <c r="D497" s="15"/>
      <c r="E497" s="15"/>
      <c r="F497" s="15"/>
      <c r="G497" s="15"/>
      <c r="H497" s="15"/>
    </row>
    <row r="498" spans="2:8" x14ac:dyDescent="0.35">
      <c r="B498" s="15"/>
      <c r="C498" s="15"/>
      <c r="D498" s="15"/>
      <c r="E498" s="15"/>
      <c r="F498" s="15"/>
      <c r="G498" s="15"/>
      <c r="H498" s="15"/>
    </row>
    <row r="499" spans="2:8" x14ac:dyDescent="0.35">
      <c r="B499" s="15"/>
      <c r="C499" s="15"/>
      <c r="D499" s="15"/>
      <c r="E499" s="15"/>
      <c r="F499" s="15"/>
      <c r="G499" s="15"/>
      <c r="H499" s="15"/>
    </row>
    <row r="500" spans="2:8" x14ac:dyDescent="0.35">
      <c r="B500" s="15"/>
      <c r="C500" s="15"/>
      <c r="D500" s="15"/>
      <c r="E500" s="15"/>
      <c r="F500" s="15"/>
      <c r="G500" s="15"/>
      <c r="H500" s="15"/>
    </row>
    <row r="501" spans="2:8" x14ac:dyDescent="0.35">
      <c r="B501" s="15"/>
      <c r="C501" s="15"/>
      <c r="D501" s="15"/>
      <c r="E501" s="15"/>
      <c r="F501" s="15"/>
      <c r="G501" s="15"/>
      <c r="H501" s="15"/>
    </row>
    <row r="502" spans="2:8" x14ac:dyDescent="0.35">
      <c r="B502" s="15"/>
      <c r="C502" s="15"/>
      <c r="D502" s="15"/>
      <c r="E502" s="15"/>
      <c r="F502" s="15"/>
      <c r="G502" s="15"/>
      <c r="H502" s="15"/>
    </row>
    <row r="503" spans="2:8" x14ac:dyDescent="0.35">
      <c r="B503" s="15"/>
      <c r="C503" s="15"/>
      <c r="D503" s="15"/>
      <c r="E503" s="15"/>
      <c r="F503" s="15"/>
      <c r="G503" s="15"/>
      <c r="H503" s="15"/>
    </row>
    <row r="504" spans="2:8" x14ac:dyDescent="0.35">
      <c r="B504" s="15"/>
      <c r="C504" s="15"/>
      <c r="D504" s="15"/>
      <c r="E504" s="15"/>
      <c r="F504" s="15"/>
      <c r="G504" s="15"/>
      <c r="H504" s="15"/>
    </row>
    <row r="505" spans="2:8" x14ac:dyDescent="0.35">
      <c r="B505" s="15"/>
      <c r="C505" s="15"/>
      <c r="D505" s="15"/>
      <c r="E505" s="15"/>
      <c r="F505" s="15"/>
      <c r="G505" s="15"/>
      <c r="H505" s="15"/>
    </row>
    <row r="506" spans="2:8" x14ac:dyDescent="0.35">
      <c r="B506" s="15"/>
      <c r="C506" s="15"/>
      <c r="D506" s="15"/>
      <c r="E506" s="15"/>
      <c r="F506" s="15"/>
      <c r="G506" s="15"/>
      <c r="H506" s="15"/>
    </row>
    <row r="507" spans="2:8" x14ac:dyDescent="0.35">
      <c r="B507" s="15"/>
      <c r="C507" s="15"/>
      <c r="D507" s="15"/>
      <c r="E507" s="15"/>
      <c r="F507" s="15"/>
      <c r="G507" s="15"/>
      <c r="H507" s="15"/>
    </row>
    <row r="508" spans="2:8" x14ac:dyDescent="0.35">
      <c r="B508" s="15"/>
      <c r="C508" s="15"/>
      <c r="D508" s="15"/>
      <c r="E508" s="15"/>
      <c r="F508" s="15"/>
      <c r="G508" s="15"/>
      <c r="H508" s="15"/>
    </row>
    <row r="509" spans="2:8" x14ac:dyDescent="0.35">
      <c r="B509" s="15"/>
      <c r="C509" s="15"/>
      <c r="D509" s="15"/>
      <c r="E509" s="15"/>
      <c r="F509" s="15"/>
      <c r="G509" s="15"/>
      <c r="H509" s="15"/>
    </row>
    <row r="510" spans="2:8" x14ac:dyDescent="0.35">
      <c r="B510" s="15"/>
      <c r="C510" s="15"/>
      <c r="D510" s="15"/>
      <c r="E510" s="15"/>
      <c r="F510" s="15"/>
      <c r="G510" s="15"/>
      <c r="H510" s="15"/>
    </row>
    <row r="511" spans="2:8" x14ac:dyDescent="0.35">
      <c r="B511" s="15"/>
      <c r="C511" s="15"/>
      <c r="D511" s="15"/>
      <c r="E511" s="15"/>
      <c r="F511" s="15"/>
      <c r="G511" s="15"/>
      <c r="H511" s="15"/>
    </row>
    <row r="512" spans="2:8" x14ac:dyDescent="0.35">
      <c r="B512" s="15"/>
      <c r="C512" s="15"/>
      <c r="D512" s="15"/>
      <c r="E512" s="15"/>
      <c r="F512" s="15"/>
      <c r="G512" s="15"/>
      <c r="H512" s="15"/>
    </row>
    <row r="513" spans="2:8" x14ac:dyDescent="0.35">
      <c r="B513" s="15"/>
      <c r="C513" s="15"/>
      <c r="D513" s="15"/>
      <c r="E513" s="15"/>
      <c r="F513" s="15"/>
      <c r="G513" s="15"/>
      <c r="H513" s="15"/>
    </row>
  </sheetData>
  <mergeCells count="2">
    <mergeCell ref="C12:E12"/>
    <mergeCell ref="F12:H12"/>
  </mergeCells>
  <hyperlinks>
    <hyperlink ref="B10" location="'Kraken OrderBook'!B10" display="Get"/>
  </hyperlink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B2:K1013"/>
  <sheetViews>
    <sheetView tabSelected="1" workbookViewId="0">
      <selection activeCell="B10" sqref="B10"/>
    </sheetView>
  </sheetViews>
  <sheetFormatPr baseColWidth="10" defaultRowHeight="14.5" x14ac:dyDescent="0.35"/>
  <cols>
    <col min="3" max="3" width="11.81640625" bestFit="1" customWidth="1"/>
    <col min="10" max="10" width="17.54296875" bestFit="1" customWidth="1"/>
  </cols>
  <sheetData>
    <row r="2" spans="2:11" ht="17.5" x14ac:dyDescent="0.35">
      <c r="B2" s="13" t="s">
        <v>534</v>
      </c>
    </row>
    <row r="3" spans="2:11" x14ac:dyDescent="0.35">
      <c r="B3" t="s">
        <v>535</v>
      </c>
    </row>
    <row r="5" spans="2:11" x14ac:dyDescent="0.35">
      <c r="B5" t="s">
        <v>24</v>
      </c>
      <c r="C5" t="s">
        <v>515</v>
      </c>
      <c r="H5" t="s">
        <v>550</v>
      </c>
    </row>
    <row r="6" spans="2:11" x14ac:dyDescent="0.35">
      <c r="C6" s="10" t="s">
        <v>1</v>
      </c>
      <c r="D6" t="s">
        <v>525</v>
      </c>
    </row>
    <row r="7" spans="2:11" x14ac:dyDescent="0.35">
      <c r="C7" t="s">
        <v>518</v>
      </c>
      <c r="J7" s="21"/>
    </row>
    <row r="8" spans="2:11" x14ac:dyDescent="0.35">
      <c r="C8" s="10">
        <v>1.5916104045403699E+18</v>
      </c>
      <c r="D8" t="s">
        <v>539</v>
      </c>
      <c r="I8" s="20" t="s">
        <v>540</v>
      </c>
      <c r="J8" s="19">
        <f>IFERROR(TimestampToExcel_2(C8 / 1000000000),)</f>
        <v>43990.416724537034</v>
      </c>
      <c r="K8" s="19"/>
    </row>
    <row r="10" spans="2:11" x14ac:dyDescent="0.35">
      <c r="B10" s="18" t="s">
        <v>19</v>
      </c>
      <c r="D10" s="16"/>
    </row>
    <row r="12" spans="2:11" ht="15" thickBot="1" x14ac:dyDescent="0.4"/>
    <row r="13" spans="2:11" ht="15.5" thickTop="1" thickBot="1" x14ac:dyDescent="0.4">
      <c r="B13" s="3" t="s">
        <v>491</v>
      </c>
      <c r="C13" s="3" t="s">
        <v>508</v>
      </c>
      <c r="D13" s="3" t="s">
        <v>501</v>
      </c>
      <c r="E13" s="3" t="s">
        <v>519</v>
      </c>
      <c r="F13" s="3" t="s">
        <v>536</v>
      </c>
      <c r="G13" s="3" t="s">
        <v>537</v>
      </c>
      <c r="H13" s="3" t="s">
        <v>538</v>
      </c>
    </row>
    <row r="14" spans="2:11" ht="15" thickTop="1" x14ac:dyDescent="0.35">
      <c r="B14" s="15" t="s">
        <v>1</v>
      </c>
      <c r="C14" s="15">
        <v>216.02</v>
      </c>
      <c r="D14" s="15">
        <v>7.2999999999999996E-4</v>
      </c>
      <c r="E14" s="15">
        <v>1591598702.4526999</v>
      </c>
      <c r="F14" s="15" t="s">
        <v>547</v>
      </c>
      <c r="G14" s="15" t="s">
        <v>548</v>
      </c>
      <c r="H14" s="15"/>
    </row>
    <row r="15" spans="2:11" x14ac:dyDescent="0.35">
      <c r="B15" s="15" t="s">
        <v>1</v>
      </c>
      <c r="C15" s="15">
        <v>215.93</v>
      </c>
      <c r="D15" s="15">
        <v>1.9992700000000001</v>
      </c>
      <c r="E15" s="15">
        <v>1591598702.4579999</v>
      </c>
      <c r="F15" s="15" t="s">
        <v>547</v>
      </c>
      <c r="G15" s="15" t="s">
        <v>548</v>
      </c>
      <c r="H15" s="15"/>
    </row>
    <row r="16" spans="2:11" x14ac:dyDescent="0.35">
      <c r="B16" s="15" t="s">
        <v>1</v>
      </c>
      <c r="C16" s="15">
        <v>215.91</v>
      </c>
      <c r="D16" s="15">
        <v>4.9900199599999997</v>
      </c>
      <c r="E16" s="15">
        <v>1591598725.7105999</v>
      </c>
      <c r="F16" s="15" t="s">
        <v>547</v>
      </c>
      <c r="G16" s="15" t="s">
        <v>546</v>
      </c>
      <c r="H16" s="15"/>
    </row>
    <row r="17" spans="2:8" x14ac:dyDescent="0.35">
      <c r="B17" s="15" t="s">
        <v>1</v>
      </c>
      <c r="C17" s="15">
        <v>215.91</v>
      </c>
      <c r="D17" s="15">
        <v>9.9601199999999994E-3</v>
      </c>
      <c r="E17" s="15">
        <v>1591598725.7204001</v>
      </c>
      <c r="F17" s="15" t="s">
        <v>547</v>
      </c>
      <c r="G17" s="15" t="s">
        <v>546</v>
      </c>
      <c r="H17" s="15"/>
    </row>
    <row r="18" spans="2:8" x14ac:dyDescent="0.35">
      <c r="B18" s="15" t="s">
        <v>1</v>
      </c>
      <c r="C18" s="15">
        <v>215.91</v>
      </c>
      <c r="D18" s="15">
        <v>1.9879999999999999E-5</v>
      </c>
      <c r="E18" s="15">
        <v>1591598725.7227001</v>
      </c>
      <c r="F18" s="15" t="s">
        <v>547</v>
      </c>
      <c r="G18" s="15" t="s">
        <v>546</v>
      </c>
      <c r="H18" s="15"/>
    </row>
    <row r="19" spans="2:8" x14ac:dyDescent="0.35">
      <c r="B19" s="15" t="s">
        <v>1</v>
      </c>
      <c r="C19" s="15">
        <v>215.9</v>
      </c>
      <c r="D19" s="15">
        <v>0.02</v>
      </c>
      <c r="E19" s="15">
        <v>1591598764.1480999</v>
      </c>
      <c r="F19" s="15" t="s">
        <v>545</v>
      </c>
      <c r="G19" s="15" t="s">
        <v>548</v>
      </c>
      <c r="H19" s="15"/>
    </row>
    <row r="20" spans="2:8" x14ac:dyDescent="0.35">
      <c r="B20" s="15" t="s">
        <v>1</v>
      </c>
      <c r="C20" s="15">
        <v>215.89</v>
      </c>
      <c r="D20" s="15">
        <v>1.1397902499999999</v>
      </c>
      <c r="E20" s="15">
        <v>1591598784.4082999</v>
      </c>
      <c r="F20" s="15" t="s">
        <v>547</v>
      </c>
      <c r="G20" s="15" t="s">
        <v>548</v>
      </c>
      <c r="H20" s="15"/>
    </row>
    <row r="21" spans="2:8" x14ac:dyDescent="0.35">
      <c r="B21" s="15" t="s">
        <v>1</v>
      </c>
      <c r="C21" s="15">
        <v>215.9</v>
      </c>
      <c r="D21" s="15">
        <v>0.22090000000000001</v>
      </c>
      <c r="E21" s="15">
        <v>1591598804.7021999</v>
      </c>
      <c r="F21" s="15" t="s">
        <v>545</v>
      </c>
      <c r="G21" s="15" t="s">
        <v>548</v>
      </c>
      <c r="H21" s="15"/>
    </row>
    <row r="22" spans="2:8" x14ac:dyDescent="0.35">
      <c r="B22" s="15" t="s">
        <v>1</v>
      </c>
      <c r="C22" s="15">
        <v>215.89</v>
      </c>
      <c r="D22" s="15">
        <v>0.22089998999999999</v>
      </c>
      <c r="E22" s="15">
        <v>1591598821.7586999</v>
      </c>
      <c r="F22" s="15" t="s">
        <v>547</v>
      </c>
      <c r="G22" s="15" t="s">
        <v>548</v>
      </c>
      <c r="H22" s="15"/>
    </row>
    <row r="23" spans="2:8" x14ac:dyDescent="0.35">
      <c r="B23" s="15" t="s">
        <v>1</v>
      </c>
      <c r="C23" s="15">
        <v>215.9</v>
      </c>
      <c r="D23" s="15">
        <v>0.22704038000000001</v>
      </c>
      <c r="E23" s="15">
        <v>1591598826.7395</v>
      </c>
      <c r="F23" s="15" t="s">
        <v>545</v>
      </c>
      <c r="G23" s="15" t="s">
        <v>548</v>
      </c>
      <c r="H23" s="15"/>
    </row>
    <row r="24" spans="2:8" x14ac:dyDescent="0.35">
      <c r="B24" s="15" t="s">
        <v>1</v>
      </c>
      <c r="C24" s="15">
        <v>215.81</v>
      </c>
      <c r="D24" s="15">
        <v>1</v>
      </c>
      <c r="E24" s="15">
        <v>1591598940.0255001</v>
      </c>
      <c r="F24" s="15" t="s">
        <v>545</v>
      </c>
      <c r="G24" s="15" t="s">
        <v>548</v>
      </c>
      <c r="H24" s="15"/>
    </row>
    <row r="25" spans="2:8" x14ac:dyDescent="0.35">
      <c r="B25" s="15" t="s">
        <v>1</v>
      </c>
      <c r="C25" s="15">
        <v>215.81</v>
      </c>
      <c r="D25" s="15">
        <v>0.11111242</v>
      </c>
      <c r="E25" s="15">
        <v>1591598949.8276</v>
      </c>
      <c r="F25" s="15" t="s">
        <v>545</v>
      </c>
      <c r="G25" s="15" t="s">
        <v>548</v>
      </c>
      <c r="H25" s="15"/>
    </row>
    <row r="26" spans="2:8" x14ac:dyDescent="0.35">
      <c r="B26" s="15" t="s">
        <v>1</v>
      </c>
      <c r="C26" s="15">
        <v>215.8</v>
      </c>
      <c r="D26" s="15">
        <v>0.46339202000000002</v>
      </c>
      <c r="E26" s="15">
        <v>1591598992.0648</v>
      </c>
      <c r="F26" s="15" t="s">
        <v>547</v>
      </c>
      <c r="G26" s="15" t="s">
        <v>546</v>
      </c>
      <c r="H26" s="15"/>
    </row>
    <row r="27" spans="2:8" x14ac:dyDescent="0.35">
      <c r="B27" s="15" t="s">
        <v>1</v>
      </c>
      <c r="C27" s="15">
        <v>215.75</v>
      </c>
      <c r="D27" s="15">
        <v>8.8357329999999998E-2</v>
      </c>
      <c r="E27" s="15">
        <v>1591599007.1307001</v>
      </c>
      <c r="F27" s="15" t="s">
        <v>545</v>
      </c>
      <c r="G27" s="15" t="s">
        <v>548</v>
      </c>
      <c r="H27" s="15"/>
    </row>
    <row r="28" spans="2:8" x14ac:dyDescent="0.35">
      <c r="B28" s="15" t="s">
        <v>1</v>
      </c>
      <c r="C28" s="15">
        <v>215.74</v>
      </c>
      <c r="D28" s="15">
        <v>1.1588023000000001</v>
      </c>
      <c r="E28" s="15">
        <v>1591599020.0651</v>
      </c>
      <c r="F28" s="15" t="s">
        <v>547</v>
      </c>
      <c r="G28" s="15" t="s">
        <v>546</v>
      </c>
      <c r="H28" s="15"/>
    </row>
    <row r="29" spans="2:8" x14ac:dyDescent="0.35">
      <c r="B29" s="15" t="s">
        <v>1</v>
      </c>
      <c r="C29" s="15">
        <v>215.75</v>
      </c>
      <c r="D29" s="15">
        <v>6.2663269999999993E-2</v>
      </c>
      <c r="E29" s="15">
        <v>1591599066.1421001</v>
      </c>
      <c r="F29" s="15" t="s">
        <v>545</v>
      </c>
      <c r="G29" s="15" t="s">
        <v>548</v>
      </c>
      <c r="H29" s="15"/>
    </row>
    <row r="30" spans="2:8" x14ac:dyDescent="0.35">
      <c r="B30" s="15" t="s">
        <v>1</v>
      </c>
      <c r="C30" s="15">
        <v>215.74</v>
      </c>
      <c r="D30" s="15">
        <v>1.8</v>
      </c>
      <c r="E30" s="15">
        <v>1591599072.8223</v>
      </c>
      <c r="F30" s="15" t="s">
        <v>547</v>
      </c>
      <c r="G30" s="15" t="s">
        <v>546</v>
      </c>
      <c r="H30" s="15"/>
    </row>
    <row r="31" spans="2:8" x14ac:dyDescent="0.35">
      <c r="B31" s="15" t="s">
        <v>1</v>
      </c>
      <c r="C31" s="15">
        <v>215.74</v>
      </c>
      <c r="D31" s="15">
        <v>2.57</v>
      </c>
      <c r="E31" s="15">
        <v>1591599072.8331001</v>
      </c>
      <c r="F31" s="15" t="s">
        <v>547</v>
      </c>
      <c r="G31" s="15" t="s">
        <v>546</v>
      </c>
      <c r="H31" s="15"/>
    </row>
    <row r="32" spans="2:8" x14ac:dyDescent="0.35">
      <c r="B32" s="15" t="s">
        <v>1</v>
      </c>
      <c r="C32" s="15">
        <v>215.73</v>
      </c>
      <c r="D32" s="15">
        <v>2.0430000000000001</v>
      </c>
      <c r="E32" s="15">
        <v>1591599072.8347001</v>
      </c>
      <c r="F32" s="15" t="s">
        <v>547</v>
      </c>
      <c r="G32" s="15" t="s">
        <v>546</v>
      </c>
      <c r="H32" s="15"/>
    </row>
    <row r="33" spans="2:8" x14ac:dyDescent="0.35">
      <c r="B33" s="15" t="s">
        <v>1</v>
      </c>
      <c r="C33" s="15">
        <v>215.73</v>
      </c>
      <c r="D33" s="15">
        <v>8</v>
      </c>
      <c r="E33" s="15">
        <v>1591599072.8366001</v>
      </c>
      <c r="F33" s="15" t="s">
        <v>547</v>
      </c>
      <c r="G33" s="15" t="s">
        <v>546</v>
      </c>
      <c r="H33" s="15"/>
    </row>
    <row r="34" spans="2:8" x14ac:dyDescent="0.35">
      <c r="B34" s="15" t="s">
        <v>1</v>
      </c>
      <c r="C34" s="15">
        <v>215.7</v>
      </c>
      <c r="D34" s="15">
        <v>15</v>
      </c>
      <c r="E34" s="15">
        <v>1591599072.8383</v>
      </c>
      <c r="F34" s="15" t="s">
        <v>547</v>
      </c>
      <c r="G34" s="15" t="s">
        <v>546</v>
      </c>
      <c r="H34" s="15"/>
    </row>
    <row r="35" spans="2:8" x14ac:dyDescent="0.35">
      <c r="B35" s="15" t="s">
        <v>1</v>
      </c>
      <c r="C35" s="15">
        <v>215.69</v>
      </c>
      <c r="D35" s="15">
        <v>19.208978269999999</v>
      </c>
      <c r="E35" s="15">
        <v>1591599072.8399999</v>
      </c>
      <c r="F35" s="15" t="s">
        <v>547</v>
      </c>
      <c r="G35" s="15" t="s">
        <v>546</v>
      </c>
      <c r="H35" s="15"/>
    </row>
    <row r="36" spans="2:8" x14ac:dyDescent="0.35">
      <c r="B36" s="15" t="s">
        <v>1</v>
      </c>
      <c r="C36" s="15">
        <v>215.68</v>
      </c>
      <c r="D36" s="15">
        <v>7.41039724</v>
      </c>
      <c r="E36" s="15">
        <v>1591599072.8418</v>
      </c>
      <c r="F36" s="15" t="s">
        <v>547</v>
      </c>
      <c r="G36" s="15" t="s">
        <v>546</v>
      </c>
      <c r="H36" s="15"/>
    </row>
    <row r="37" spans="2:8" x14ac:dyDescent="0.35">
      <c r="B37" s="15" t="s">
        <v>1</v>
      </c>
      <c r="C37" s="15">
        <v>215.67</v>
      </c>
      <c r="D37" s="15">
        <v>21.022739219999998</v>
      </c>
      <c r="E37" s="15">
        <v>1591599072.8531001</v>
      </c>
      <c r="F37" s="15" t="s">
        <v>547</v>
      </c>
      <c r="G37" s="15" t="s">
        <v>546</v>
      </c>
      <c r="H37" s="15"/>
    </row>
    <row r="38" spans="2:8" x14ac:dyDescent="0.35">
      <c r="B38" s="15" t="s">
        <v>1</v>
      </c>
      <c r="C38" s="15">
        <v>215.66</v>
      </c>
      <c r="D38" s="15">
        <v>2.9448852699999999</v>
      </c>
      <c r="E38" s="15">
        <v>1591599072.8552001</v>
      </c>
      <c r="F38" s="15" t="s">
        <v>547</v>
      </c>
      <c r="G38" s="15" t="s">
        <v>546</v>
      </c>
      <c r="H38" s="15"/>
    </row>
    <row r="39" spans="2:8" x14ac:dyDescent="0.35">
      <c r="B39" s="15" t="s">
        <v>1</v>
      </c>
      <c r="C39" s="15">
        <v>215.66</v>
      </c>
      <c r="D39" s="15">
        <v>4.9870337999999999</v>
      </c>
      <c r="E39" s="15">
        <v>1591599076.1269</v>
      </c>
      <c r="F39" s="15" t="s">
        <v>547</v>
      </c>
      <c r="G39" s="15" t="s">
        <v>546</v>
      </c>
      <c r="H39" s="15"/>
    </row>
    <row r="40" spans="2:8" x14ac:dyDescent="0.35">
      <c r="B40" s="15" t="s">
        <v>1</v>
      </c>
      <c r="C40" s="15">
        <v>215.66</v>
      </c>
      <c r="D40" s="15">
        <v>1.293267E-2</v>
      </c>
      <c r="E40" s="15">
        <v>1591599076.1289999</v>
      </c>
      <c r="F40" s="15" t="s">
        <v>547</v>
      </c>
      <c r="G40" s="15" t="s">
        <v>546</v>
      </c>
      <c r="H40" s="15"/>
    </row>
    <row r="41" spans="2:8" x14ac:dyDescent="0.35">
      <c r="B41" s="15" t="s">
        <v>1</v>
      </c>
      <c r="C41" s="15">
        <v>215.66</v>
      </c>
      <c r="D41" s="15">
        <v>3.3529999999999999E-5</v>
      </c>
      <c r="E41" s="15">
        <v>1591599076.1303</v>
      </c>
      <c r="F41" s="15" t="s">
        <v>547</v>
      </c>
      <c r="G41" s="15" t="s">
        <v>546</v>
      </c>
      <c r="H41" s="15"/>
    </row>
    <row r="42" spans="2:8" x14ac:dyDescent="0.35">
      <c r="B42" s="15" t="s">
        <v>1</v>
      </c>
      <c r="C42" s="15">
        <v>215.66</v>
      </c>
      <c r="D42" s="15">
        <v>0.44133093000000001</v>
      </c>
      <c r="E42" s="15">
        <v>1591599111.826</v>
      </c>
      <c r="F42" s="15" t="s">
        <v>547</v>
      </c>
      <c r="G42" s="15" t="s">
        <v>546</v>
      </c>
      <c r="H42" s="15"/>
    </row>
    <row r="43" spans="2:8" x14ac:dyDescent="0.35">
      <c r="B43" s="15" t="s">
        <v>1</v>
      </c>
      <c r="C43" s="15">
        <v>215.66</v>
      </c>
      <c r="D43" s="15">
        <v>1E-8</v>
      </c>
      <c r="E43" s="15">
        <v>1591599111.8296001</v>
      </c>
      <c r="F43" s="15" t="s">
        <v>547</v>
      </c>
      <c r="G43" s="15" t="s">
        <v>546</v>
      </c>
      <c r="H43" s="15"/>
    </row>
    <row r="44" spans="2:8" x14ac:dyDescent="0.35">
      <c r="B44" s="15" t="s">
        <v>1</v>
      </c>
      <c r="C44" s="15">
        <v>215.81</v>
      </c>
      <c r="D44" s="15">
        <v>0.38946294999999997</v>
      </c>
      <c r="E44" s="15">
        <v>1591599214.8922</v>
      </c>
      <c r="F44" s="15" t="s">
        <v>545</v>
      </c>
      <c r="G44" s="15" t="s">
        <v>546</v>
      </c>
      <c r="H44" s="15"/>
    </row>
    <row r="45" spans="2:8" x14ac:dyDescent="0.35">
      <c r="B45" s="15" t="s">
        <v>1</v>
      </c>
      <c r="C45" s="15">
        <v>215.81</v>
      </c>
      <c r="D45" s="15">
        <v>2.2738399999999999</v>
      </c>
      <c r="E45" s="15">
        <v>1591599250.4117999</v>
      </c>
      <c r="F45" s="15" t="s">
        <v>545</v>
      </c>
      <c r="G45" s="15" t="s">
        <v>548</v>
      </c>
      <c r="H45" s="15"/>
    </row>
    <row r="46" spans="2:8" x14ac:dyDescent="0.35">
      <c r="B46" s="15" t="s">
        <v>1</v>
      </c>
      <c r="C46" s="15">
        <v>215.84</v>
      </c>
      <c r="D46" s="15">
        <v>0.55600000000000005</v>
      </c>
      <c r="E46" s="15">
        <v>1591599262.4484</v>
      </c>
      <c r="F46" s="15" t="s">
        <v>547</v>
      </c>
      <c r="G46" s="15" t="s">
        <v>548</v>
      </c>
      <c r="H46" s="15"/>
    </row>
    <row r="47" spans="2:8" x14ac:dyDescent="0.35">
      <c r="B47" s="15" t="s">
        <v>1</v>
      </c>
      <c r="C47" s="15">
        <v>215.85</v>
      </c>
      <c r="D47" s="15">
        <v>4.5999999999999999E-2</v>
      </c>
      <c r="E47" s="15">
        <v>1591599305.6559999</v>
      </c>
      <c r="F47" s="15" t="s">
        <v>545</v>
      </c>
      <c r="G47" s="15" t="s">
        <v>548</v>
      </c>
      <c r="H47" s="15"/>
    </row>
    <row r="48" spans="2:8" x14ac:dyDescent="0.35">
      <c r="B48" s="15" t="s">
        <v>1</v>
      </c>
      <c r="C48" s="15">
        <v>215.84</v>
      </c>
      <c r="D48" s="15">
        <v>1.3102298000000001</v>
      </c>
      <c r="E48" s="15">
        <v>1591599314.8834</v>
      </c>
      <c r="F48" s="15" t="s">
        <v>547</v>
      </c>
      <c r="G48" s="15" t="s">
        <v>546</v>
      </c>
      <c r="H48" s="15"/>
    </row>
    <row r="49" spans="2:8" x14ac:dyDescent="0.35">
      <c r="B49" s="15" t="s">
        <v>1</v>
      </c>
      <c r="C49" s="15">
        <v>215.83</v>
      </c>
      <c r="D49" s="15">
        <v>9.8000000000000004E-2</v>
      </c>
      <c r="E49" s="15">
        <v>1591599368.2467999</v>
      </c>
      <c r="F49" s="15" t="s">
        <v>547</v>
      </c>
      <c r="G49" s="15" t="s">
        <v>548</v>
      </c>
      <c r="H49" s="15"/>
    </row>
    <row r="50" spans="2:8" x14ac:dyDescent="0.35">
      <c r="B50" s="15" t="s">
        <v>1</v>
      </c>
      <c r="C50" s="15">
        <v>215.86</v>
      </c>
      <c r="D50" s="15">
        <v>6.0199999999999997E-2</v>
      </c>
      <c r="E50" s="15">
        <v>1591599393.4109001</v>
      </c>
      <c r="F50" s="15" t="s">
        <v>547</v>
      </c>
      <c r="G50" s="15" t="s">
        <v>546</v>
      </c>
      <c r="H50" s="15"/>
    </row>
    <row r="51" spans="2:8" x14ac:dyDescent="0.35">
      <c r="B51" s="15" t="s">
        <v>1</v>
      </c>
      <c r="C51" s="15">
        <v>215.9</v>
      </c>
      <c r="D51" s="15">
        <v>0.46312999999999999</v>
      </c>
      <c r="E51" s="15">
        <v>1591599426.1566999</v>
      </c>
      <c r="F51" s="15" t="s">
        <v>545</v>
      </c>
      <c r="G51" s="15" t="s">
        <v>546</v>
      </c>
      <c r="H51" s="15"/>
    </row>
    <row r="52" spans="2:8" x14ac:dyDescent="0.35">
      <c r="B52" s="15" t="s">
        <v>1</v>
      </c>
      <c r="C52" s="15">
        <v>215.9</v>
      </c>
      <c r="D52" s="15">
        <v>0.44893068000000003</v>
      </c>
      <c r="E52" s="15">
        <v>1591599429.3090999</v>
      </c>
      <c r="F52" s="15" t="s">
        <v>545</v>
      </c>
      <c r="G52" s="15" t="s">
        <v>548</v>
      </c>
      <c r="H52" s="15"/>
    </row>
    <row r="53" spans="2:8" x14ac:dyDescent="0.35">
      <c r="B53" s="15" t="s">
        <v>1</v>
      </c>
      <c r="C53" s="15">
        <v>215.9</v>
      </c>
      <c r="D53" s="15">
        <v>0.24542221</v>
      </c>
      <c r="E53" s="15">
        <v>1591599444.6512001</v>
      </c>
      <c r="F53" s="15" t="s">
        <v>545</v>
      </c>
      <c r="G53" s="15" t="s">
        <v>548</v>
      </c>
      <c r="H53" s="15"/>
    </row>
    <row r="54" spans="2:8" x14ac:dyDescent="0.35">
      <c r="B54" s="15" t="s">
        <v>1</v>
      </c>
      <c r="C54" s="15">
        <v>215.9</v>
      </c>
      <c r="D54" s="15">
        <v>2.0350630000000001E-2</v>
      </c>
      <c r="E54" s="15">
        <v>1591599465.6194</v>
      </c>
      <c r="F54" s="15" t="s">
        <v>545</v>
      </c>
      <c r="G54" s="15" t="s">
        <v>546</v>
      </c>
      <c r="H54" s="15"/>
    </row>
    <row r="55" spans="2:8" x14ac:dyDescent="0.35">
      <c r="B55" s="15" t="s">
        <v>1</v>
      </c>
      <c r="C55" s="15">
        <v>215.9</v>
      </c>
      <c r="D55" s="15">
        <v>0.65</v>
      </c>
      <c r="E55" s="15">
        <v>1591599493.302</v>
      </c>
      <c r="F55" s="15" t="s">
        <v>545</v>
      </c>
      <c r="G55" s="15" t="s">
        <v>546</v>
      </c>
      <c r="H55" s="15"/>
    </row>
    <row r="56" spans="2:8" x14ac:dyDescent="0.35">
      <c r="B56" s="15" t="s">
        <v>1</v>
      </c>
      <c r="C56" s="15">
        <v>215.89</v>
      </c>
      <c r="D56" s="15">
        <v>40</v>
      </c>
      <c r="E56" s="15">
        <v>1591599704.4073999</v>
      </c>
      <c r="F56" s="15" t="s">
        <v>547</v>
      </c>
      <c r="G56" s="15" t="s">
        <v>546</v>
      </c>
      <c r="H56" s="15"/>
    </row>
    <row r="57" spans="2:8" x14ac:dyDescent="0.35">
      <c r="B57" s="15" t="s">
        <v>1</v>
      </c>
      <c r="C57" s="15">
        <v>215.81</v>
      </c>
      <c r="D57" s="15">
        <v>0.22090000000000001</v>
      </c>
      <c r="E57" s="15">
        <v>1591599722.2313001</v>
      </c>
      <c r="F57" s="15" t="s">
        <v>545</v>
      </c>
      <c r="G57" s="15" t="s">
        <v>548</v>
      </c>
      <c r="H57" s="15"/>
    </row>
    <row r="58" spans="2:8" x14ac:dyDescent="0.35">
      <c r="B58" s="15" t="s">
        <v>1</v>
      </c>
      <c r="C58" s="15">
        <v>215.8</v>
      </c>
      <c r="D58" s="15">
        <v>0.1</v>
      </c>
      <c r="E58" s="15">
        <v>1591599784.0727999</v>
      </c>
      <c r="F58" s="15" t="s">
        <v>545</v>
      </c>
      <c r="G58" s="15" t="s">
        <v>546</v>
      </c>
      <c r="H58" s="15"/>
    </row>
    <row r="59" spans="2:8" x14ac:dyDescent="0.35">
      <c r="B59" s="15" t="s">
        <v>1</v>
      </c>
      <c r="C59" s="15">
        <v>215.8</v>
      </c>
      <c r="D59" s="15">
        <v>1.5576156299999999</v>
      </c>
      <c r="E59" s="15">
        <v>1591599828.7588</v>
      </c>
      <c r="F59" s="15" t="s">
        <v>545</v>
      </c>
      <c r="G59" s="15" t="s">
        <v>546</v>
      </c>
      <c r="H59" s="15"/>
    </row>
    <row r="60" spans="2:8" x14ac:dyDescent="0.35">
      <c r="B60" s="15" t="s">
        <v>1</v>
      </c>
      <c r="C60" s="15">
        <v>215.79</v>
      </c>
      <c r="D60" s="15">
        <v>0.63077000000000005</v>
      </c>
      <c r="E60" s="15">
        <v>1591599834.4015999</v>
      </c>
      <c r="F60" s="15" t="s">
        <v>547</v>
      </c>
      <c r="G60" s="15" t="s">
        <v>548</v>
      </c>
      <c r="H60" s="15"/>
    </row>
    <row r="61" spans="2:8" x14ac:dyDescent="0.35">
      <c r="B61" s="15" t="s">
        <v>1</v>
      </c>
      <c r="C61" s="15">
        <v>215.8</v>
      </c>
      <c r="D61" s="15">
        <v>38.442384369999999</v>
      </c>
      <c r="E61" s="15">
        <v>1591599862.8122001</v>
      </c>
      <c r="F61" s="15" t="s">
        <v>545</v>
      </c>
      <c r="G61" s="15" t="s">
        <v>546</v>
      </c>
      <c r="H61" s="15"/>
    </row>
    <row r="62" spans="2:8" x14ac:dyDescent="0.35">
      <c r="B62" s="15" t="s">
        <v>1</v>
      </c>
      <c r="C62" s="15">
        <v>215.94</v>
      </c>
      <c r="D62" s="15">
        <v>8</v>
      </c>
      <c r="E62" s="15">
        <v>1591599978.2509999</v>
      </c>
      <c r="F62" s="15" t="s">
        <v>547</v>
      </c>
      <c r="G62" s="15" t="s">
        <v>548</v>
      </c>
      <c r="H62" s="15"/>
    </row>
    <row r="63" spans="2:8" x14ac:dyDescent="0.35">
      <c r="B63" s="15" t="s">
        <v>1</v>
      </c>
      <c r="C63" s="15">
        <v>215.94</v>
      </c>
      <c r="D63" s="15">
        <v>0.7</v>
      </c>
      <c r="E63" s="15">
        <v>1591599978.2533</v>
      </c>
      <c r="F63" s="15" t="s">
        <v>547</v>
      </c>
      <c r="G63" s="15" t="s">
        <v>548</v>
      </c>
      <c r="H63" s="15"/>
    </row>
    <row r="64" spans="2:8" x14ac:dyDescent="0.35">
      <c r="B64" s="15" t="s">
        <v>1</v>
      </c>
      <c r="C64" s="15">
        <v>215.95</v>
      </c>
      <c r="D64" s="15">
        <v>0.3594</v>
      </c>
      <c r="E64" s="15">
        <v>1591600022.4597001</v>
      </c>
      <c r="F64" s="15" t="s">
        <v>545</v>
      </c>
      <c r="G64" s="15" t="s">
        <v>548</v>
      </c>
      <c r="H64" s="15"/>
    </row>
    <row r="65" spans="2:8" x14ac:dyDescent="0.35">
      <c r="B65" s="15" t="s">
        <v>1</v>
      </c>
      <c r="C65" s="15">
        <v>215.95</v>
      </c>
      <c r="D65" s="15">
        <v>0.35573429000000001</v>
      </c>
      <c r="E65" s="15">
        <v>1591600026.1902001</v>
      </c>
      <c r="F65" s="15" t="s">
        <v>545</v>
      </c>
      <c r="G65" s="15" t="s">
        <v>548</v>
      </c>
      <c r="H65" s="15"/>
    </row>
    <row r="66" spans="2:8" x14ac:dyDescent="0.35">
      <c r="B66" s="15" t="s">
        <v>1</v>
      </c>
      <c r="C66" s="15">
        <v>215.95</v>
      </c>
      <c r="D66" s="15">
        <v>8.6316085400000002</v>
      </c>
      <c r="E66" s="15">
        <v>1591600029.4289999</v>
      </c>
      <c r="F66" s="15" t="s">
        <v>545</v>
      </c>
      <c r="G66" s="15" t="s">
        <v>546</v>
      </c>
      <c r="H66" s="15"/>
    </row>
    <row r="67" spans="2:8" x14ac:dyDescent="0.35">
      <c r="B67" s="15" t="s">
        <v>1</v>
      </c>
      <c r="C67" s="15">
        <v>215.95</v>
      </c>
      <c r="D67" s="15">
        <v>1.378851E-2</v>
      </c>
      <c r="E67" s="15">
        <v>1591600029.4377</v>
      </c>
      <c r="F67" s="15" t="s">
        <v>545</v>
      </c>
      <c r="G67" s="15" t="s">
        <v>546</v>
      </c>
      <c r="H67" s="15"/>
    </row>
    <row r="68" spans="2:8" x14ac:dyDescent="0.35">
      <c r="B68" s="15" t="s">
        <v>1</v>
      </c>
      <c r="C68" s="15">
        <v>215.95</v>
      </c>
      <c r="D68" s="15">
        <v>1.8660000000000001E-5</v>
      </c>
      <c r="E68" s="15">
        <v>1591600029.4398999</v>
      </c>
      <c r="F68" s="15" t="s">
        <v>545</v>
      </c>
      <c r="G68" s="15" t="s">
        <v>546</v>
      </c>
      <c r="H68" s="15"/>
    </row>
    <row r="69" spans="2:8" x14ac:dyDescent="0.35">
      <c r="B69" s="15" t="s">
        <v>1</v>
      </c>
      <c r="C69" s="15">
        <v>215.95</v>
      </c>
      <c r="D69" s="15">
        <v>1</v>
      </c>
      <c r="E69" s="15">
        <v>1591600029.4421</v>
      </c>
      <c r="F69" s="15" t="s">
        <v>545</v>
      </c>
      <c r="G69" s="15" t="s">
        <v>546</v>
      </c>
      <c r="H69" s="15"/>
    </row>
    <row r="70" spans="2:8" x14ac:dyDescent="0.35">
      <c r="B70" s="15" t="s">
        <v>1</v>
      </c>
      <c r="C70" s="15">
        <v>215.97</v>
      </c>
      <c r="D70" s="15">
        <v>18.709591360000001</v>
      </c>
      <c r="E70" s="15">
        <v>1591600043.9310999</v>
      </c>
      <c r="F70" s="15" t="s">
        <v>545</v>
      </c>
      <c r="G70" s="15" t="s">
        <v>546</v>
      </c>
      <c r="H70" s="15"/>
    </row>
    <row r="71" spans="2:8" x14ac:dyDescent="0.35">
      <c r="B71" s="15" t="s">
        <v>1</v>
      </c>
      <c r="C71" s="15">
        <v>216</v>
      </c>
      <c r="D71" s="15">
        <v>8</v>
      </c>
      <c r="E71" s="15">
        <v>1591600078.4261999</v>
      </c>
      <c r="F71" s="15" t="s">
        <v>547</v>
      </c>
      <c r="G71" s="15" t="s">
        <v>548</v>
      </c>
      <c r="H71" s="15"/>
    </row>
    <row r="72" spans="2:8" x14ac:dyDescent="0.35">
      <c r="B72" s="15" t="s">
        <v>1</v>
      </c>
      <c r="C72" s="15">
        <v>216</v>
      </c>
      <c r="D72" s="15">
        <v>1.3059265499999999</v>
      </c>
      <c r="E72" s="15">
        <v>1591600078.4335999</v>
      </c>
      <c r="F72" s="15" t="s">
        <v>547</v>
      </c>
      <c r="G72" s="15" t="s">
        <v>548</v>
      </c>
      <c r="H72" s="15"/>
    </row>
    <row r="73" spans="2:8" x14ac:dyDescent="0.35">
      <c r="B73" s="15" t="s">
        <v>1</v>
      </c>
      <c r="C73" s="15">
        <v>216</v>
      </c>
      <c r="D73" s="15">
        <v>3.3866E-3</v>
      </c>
      <c r="E73" s="15">
        <v>1591600078.4351001</v>
      </c>
      <c r="F73" s="15" t="s">
        <v>547</v>
      </c>
      <c r="G73" s="15" t="s">
        <v>548</v>
      </c>
      <c r="H73" s="15"/>
    </row>
    <row r="74" spans="2:8" x14ac:dyDescent="0.35">
      <c r="B74" s="15" t="s">
        <v>1</v>
      </c>
      <c r="C74" s="15">
        <v>216</v>
      </c>
      <c r="D74" s="15">
        <v>8.7900000000000005E-6</v>
      </c>
      <c r="E74" s="15">
        <v>1591600078.4366</v>
      </c>
      <c r="F74" s="15" t="s">
        <v>547</v>
      </c>
      <c r="G74" s="15" t="s">
        <v>548</v>
      </c>
      <c r="H74" s="15"/>
    </row>
    <row r="75" spans="2:8" x14ac:dyDescent="0.35">
      <c r="B75" s="15" t="s">
        <v>1</v>
      </c>
      <c r="C75" s="15">
        <v>216.01</v>
      </c>
      <c r="D75" s="15">
        <v>5.4473000000000001E-2</v>
      </c>
      <c r="E75" s="15">
        <v>1591600122.6898999</v>
      </c>
      <c r="F75" s="15" t="s">
        <v>545</v>
      </c>
      <c r="G75" s="15" t="s">
        <v>546</v>
      </c>
      <c r="H75" s="15"/>
    </row>
    <row r="76" spans="2:8" x14ac:dyDescent="0.35">
      <c r="B76" s="15" t="s">
        <v>1</v>
      </c>
      <c r="C76" s="15">
        <v>216.09</v>
      </c>
      <c r="D76" s="15">
        <v>2.698412E-2</v>
      </c>
      <c r="E76" s="15">
        <v>1591600132.2788</v>
      </c>
      <c r="F76" s="15" t="s">
        <v>545</v>
      </c>
      <c r="G76" s="15" t="s">
        <v>546</v>
      </c>
      <c r="H76" s="15"/>
    </row>
    <row r="77" spans="2:8" x14ac:dyDescent="0.35">
      <c r="B77" s="15" t="s">
        <v>1</v>
      </c>
      <c r="C77" s="15">
        <v>216.09</v>
      </c>
      <c r="D77" s="15">
        <v>4</v>
      </c>
      <c r="E77" s="15">
        <v>1591600135.0766001</v>
      </c>
      <c r="F77" s="15" t="s">
        <v>547</v>
      </c>
      <c r="G77" s="15" t="s">
        <v>548</v>
      </c>
      <c r="H77" s="15"/>
    </row>
    <row r="78" spans="2:8" x14ac:dyDescent="0.35">
      <c r="B78" s="15" t="s">
        <v>1</v>
      </c>
      <c r="C78" s="15">
        <v>216.09</v>
      </c>
      <c r="D78" s="15">
        <v>0.10128055</v>
      </c>
      <c r="E78" s="15">
        <v>1591600152.7191</v>
      </c>
      <c r="F78" s="15" t="s">
        <v>547</v>
      </c>
      <c r="G78" s="15" t="s">
        <v>548</v>
      </c>
      <c r="H78" s="15"/>
    </row>
    <row r="79" spans="2:8" x14ac:dyDescent="0.35">
      <c r="B79" s="15" t="s">
        <v>1</v>
      </c>
      <c r="C79" s="15">
        <v>216.09</v>
      </c>
      <c r="D79" s="15">
        <v>1.69613788</v>
      </c>
      <c r="E79" s="15">
        <v>1591600191.8657999</v>
      </c>
      <c r="F79" s="15" t="s">
        <v>547</v>
      </c>
      <c r="G79" s="15" t="s">
        <v>546</v>
      </c>
      <c r="H79" s="15"/>
    </row>
    <row r="80" spans="2:8" x14ac:dyDescent="0.35">
      <c r="B80" s="15" t="s">
        <v>1</v>
      </c>
      <c r="C80" s="15">
        <v>216.1</v>
      </c>
      <c r="D80" s="15">
        <v>1.36964182</v>
      </c>
      <c r="E80" s="15">
        <v>1591600192.6256001</v>
      </c>
      <c r="F80" s="15" t="s">
        <v>545</v>
      </c>
      <c r="G80" s="15" t="s">
        <v>546</v>
      </c>
      <c r="H80" s="15"/>
    </row>
    <row r="81" spans="2:8" x14ac:dyDescent="0.35">
      <c r="B81" s="15" t="s">
        <v>1</v>
      </c>
      <c r="C81" s="15">
        <v>216.1</v>
      </c>
      <c r="D81" s="15">
        <v>0.75030814999999995</v>
      </c>
      <c r="E81" s="15">
        <v>1591600192.6399</v>
      </c>
      <c r="F81" s="15" t="s">
        <v>545</v>
      </c>
      <c r="G81" s="15" t="s">
        <v>546</v>
      </c>
      <c r="H81" s="15"/>
    </row>
    <row r="82" spans="2:8" x14ac:dyDescent="0.35">
      <c r="B82" s="15" t="s">
        <v>1</v>
      </c>
      <c r="C82" s="15">
        <v>216.09</v>
      </c>
      <c r="D82" s="15">
        <v>3.2958533999999999</v>
      </c>
      <c r="E82" s="15">
        <v>1591600192.7365999</v>
      </c>
      <c r="F82" s="15" t="s">
        <v>547</v>
      </c>
      <c r="G82" s="15" t="s">
        <v>548</v>
      </c>
      <c r="H82" s="15"/>
    </row>
    <row r="83" spans="2:8" x14ac:dyDescent="0.35">
      <c r="B83" s="15" t="s">
        <v>1</v>
      </c>
      <c r="C83" s="15">
        <v>216.1</v>
      </c>
      <c r="D83" s="15">
        <v>0.40532056</v>
      </c>
      <c r="E83" s="15">
        <v>1591600192.7579</v>
      </c>
      <c r="F83" s="15" t="s">
        <v>545</v>
      </c>
      <c r="G83" s="15" t="s">
        <v>546</v>
      </c>
      <c r="H83" s="15"/>
    </row>
    <row r="84" spans="2:8" x14ac:dyDescent="0.35">
      <c r="B84" s="15" t="s">
        <v>1</v>
      </c>
      <c r="C84" s="15">
        <v>216.09</v>
      </c>
      <c r="D84" s="15">
        <v>0.74910880000000002</v>
      </c>
      <c r="E84" s="15">
        <v>1591600192.8649001</v>
      </c>
      <c r="F84" s="15" t="s">
        <v>547</v>
      </c>
      <c r="G84" s="15" t="s">
        <v>548</v>
      </c>
      <c r="H84" s="15"/>
    </row>
    <row r="85" spans="2:8" x14ac:dyDescent="0.35">
      <c r="B85" s="15" t="s">
        <v>1</v>
      </c>
      <c r="C85" s="15">
        <v>216.09</v>
      </c>
      <c r="D85" s="15">
        <v>4.1474499999999997E-2</v>
      </c>
      <c r="E85" s="15">
        <v>1591600192.9026</v>
      </c>
      <c r="F85" s="15" t="s">
        <v>547</v>
      </c>
      <c r="G85" s="15" t="s">
        <v>548</v>
      </c>
      <c r="H85" s="15"/>
    </row>
    <row r="86" spans="2:8" x14ac:dyDescent="0.35">
      <c r="B86" s="15" t="s">
        <v>1</v>
      </c>
      <c r="C86" s="15">
        <v>216.09</v>
      </c>
      <c r="D86" s="15">
        <v>0.36261809</v>
      </c>
      <c r="E86" s="15">
        <v>1591600192.9043</v>
      </c>
      <c r="F86" s="15" t="s">
        <v>547</v>
      </c>
      <c r="G86" s="15" t="s">
        <v>548</v>
      </c>
      <c r="H86" s="15"/>
    </row>
    <row r="87" spans="2:8" x14ac:dyDescent="0.35">
      <c r="B87" s="15" t="s">
        <v>1</v>
      </c>
      <c r="C87" s="15">
        <v>216.09</v>
      </c>
      <c r="D87" s="15">
        <v>5.7925999999999995E-4</v>
      </c>
      <c r="E87" s="15">
        <v>1591600192.9056001</v>
      </c>
      <c r="F87" s="15" t="s">
        <v>547</v>
      </c>
      <c r="G87" s="15" t="s">
        <v>548</v>
      </c>
      <c r="H87" s="15"/>
    </row>
    <row r="88" spans="2:8" x14ac:dyDescent="0.35">
      <c r="B88" s="15" t="s">
        <v>1</v>
      </c>
      <c r="C88" s="15">
        <v>216.09</v>
      </c>
      <c r="D88" s="15">
        <v>8.5000000000000001E-7</v>
      </c>
      <c r="E88" s="15">
        <v>1591600192.9073</v>
      </c>
      <c r="F88" s="15" t="s">
        <v>547</v>
      </c>
      <c r="G88" s="15" t="s">
        <v>548</v>
      </c>
      <c r="H88" s="15"/>
    </row>
    <row r="89" spans="2:8" x14ac:dyDescent="0.35">
      <c r="B89" s="15" t="s">
        <v>1</v>
      </c>
      <c r="C89" s="15">
        <v>216.1</v>
      </c>
      <c r="D89" s="15">
        <v>0.48657889999999998</v>
      </c>
      <c r="E89" s="15">
        <v>1591600220.4661</v>
      </c>
      <c r="F89" s="15" t="s">
        <v>545</v>
      </c>
      <c r="G89" s="15" t="s">
        <v>546</v>
      </c>
      <c r="H89" s="15"/>
    </row>
    <row r="90" spans="2:8" x14ac:dyDescent="0.35">
      <c r="B90" s="15" t="s">
        <v>1</v>
      </c>
      <c r="C90" s="15">
        <v>216.1</v>
      </c>
      <c r="D90" s="15">
        <v>9.1860189999999994E-2</v>
      </c>
      <c r="E90" s="15">
        <v>1591600252.4382999</v>
      </c>
      <c r="F90" s="15" t="s">
        <v>545</v>
      </c>
      <c r="G90" s="15" t="s">
        <v>548</v>
      </c>
      <c r="H90" s="15"/>
    </row>
    <row r="91" spans="2:8" x14ac:dyDescent="0.35">
      <c r="B91" s="15" t="s">
        <v>1</v>
      </c>
      <c r="C91" s="15">
        <v>216.1</v>
      </c>
      <c r="D91" s="15">
        <v>9.2309740000000001E-2</v>
      </c>
      <c r="E91" s="15">
        <v>1591600283.1794</v>
      </c>
      <c r="F91" s="15" t="s">
        <v>545</v>
      </c>
      <c r="G91" s="15" t="s">
        <v>548</v>
      </c>
      <c r="H91" s="15"/>
    </row>
    <row r="92" spans="2:8" x14ac:dyDescent="0.35">
      <c r="B92" s="15" t="s">
        <v>1</v>
      </c>
      <c r="C92" s="15">
        <v>216.1</v>
      </c>
      <c r="D92" s="15">
        <v>0.15337210000000001</v>
      </c>
      <c r="E92" s="15">
        <v>1591600296.2621</v>
      </c>
      <c r="F92" s="15" t="s">
        <v>545</v>
      </c>
      <c r="G92" s="15" t="s">
        <v>546</v>
      </c>
      <c r="H92" s="15"/>
    </row>
    <row r="93" spans="2:8" x14ac:dyDescent="0.35">
      <c r="B93" s="15" t="s">
        <v>1</v>
      </c>
      <c r="C93" s="15">
        <v>216.09</v>
      </c>
      <c r="D93" s="15">
        <v>4.3029999999999999E-2</v>
      </c>
      <c r="E93" s="15">
        <v>1591600391.796</v>
      </c>
      <c r="F93" s="15" t="s">
        <v>547</v>
      </c>
      <c r="G93" s="15" t="s">
        <v>548</v>
      </c>
      <c r="H93" s="15"/>
    </row>
    <row r="94" spans="2:8" x14ac:dyDescent="0.35">
      <c r="B94" s="15" t="s">
        <v>1</v>
      </c>
      <c r="C94" s="15">
        <v>216.09</v>
      </c>
      <c r="D94" s="15">
        <v>0.24</v>
      </c>
      <c r="E94" s="15">
        <v>1591600418.7611001</v>
      </c>
      <c r="F94" s="15" t="s">
        <v>547</v>
      </c>
      <c r="G94" s="15" t="s">
        <v>548</v>
      </c>
      <c r="H94" s="15"/>
    </row>
    <row r="95" spans="2:8" x14ac:dyDescent="0.35">
      <c r="B95" s="15" t="s">
        <v>1</v>
      </c>
      <c r="C95" s="15">
        <v>216.09</v>
      </c>
      <c r="D95" s="15">
        <v>5.0195481199999996</v>
      </c>
      <c r="E95" s="15">
        <v>1591600478.5638001</v>
      </c>
      <c r="F95" s="15" t="s">
        <v>547</v>
      </c>
      <c r="G95" s="15" t="s">
        <v>548</v>
      </c>
      <c r="H95" s="15"/>
    </row>
    <row r="96" spans="2:8" x14ac:dyDescent="0.35">
      <c r="B96" s="15" t="s">
        <v>1</v>
      </c>
      <c r="C96" s="15">
        <v>216.09</v>
      </c>
      <c r="D96" s="15">
        <v>12.982380879999999</v>
      </c>
      <c r="E96" s="15">
        <v>1591600478.5852001</v>
      </c>
      <c r="F96" s="15" t="s">
        <v>547</v>
      </c>
      <c r="G96" s="15" t="s">
        <v>548</v>
      </c>
      <c r="H96" s="15"/>
    </row>
    <row r="97" spans="2:8" x14ac:dyDescent="0.35">
      <c r="B97" s="15" t="s">
        <v>1</v>
      </c>
      <c r="C97" s="15">
        <v>216.08</v>
      </c>
      <c r="D97" s="15">
        <v>1.4098144800000001</v>
      </c>
      <c r="E97" s="15">
        <v>1591600573.2356</v>
      </c>
      <c r="F97" s="15" t="s">
        <v>547</v>
      </c>
      <c r="G97" s="15" t="s">
        <v>546</v>
      </c>
      <c r="H97" s="15"/>
    </row>
    <row r="98" spans="2:8" x14ac:dyDescent="0.35">
      <c r="B98" s="15" t="s">
        <v>1</v>
      </c>
      <c r="C98" s="15">
        <v>216.08</v>
      </c>
      <c r="D98" s="15">
        <v>3.6560099999999999E-3</v>
      </c>
      <c r="E98" s="15">
        <v>1591600573.6989999</v>
      </c>
      <c r="F98" s="15" t="s">
        <v>547</v>
      </c>
      <c r="G98" s="15" t="s">
        <v>546</v>
      </c>
      <c r="H98" s="15"/>
    </row>
    <row r="99" spans="2:8" x14ac:dyDescent="0.35">
      <c r="B99" s="15" t="s">
        <v>1</v>
      </c>
      <c r="C99" s="15">
        <v>216.08</v>
      </c>
      <c r="D99" s="15">
        <v>9.4900000000000006E-6</v>
      </c>
      <c r="E99" s="15">
        <v>1591600574.4472001</v>
      </c>
      <c r="F99" s="15" t="s">
        <v>547</v>
      </c>
      <c r="G99" s="15" t="s">
        <v>546</v>
      </c>
      <c r="H99" s="15"/>
    </row>
    <row r="100" spans="2:8" x14ac:dyDescent="0.35">
      <c r="B100" s="15" t="s">
        <v>1</v>
      </c>
      <c r="C100" s="15">
        <v>216.1</v>
      </c>
      <c r="D100" s="15">
        <v>1.1623623999999999</v>
      </c>
      <c r="E100" s="15">
        <v>1591600672.3248</v>
      </c>
      <c r="F100" s="15" t="s">
        <v>545</v>
      </c>
      <c r="G100" s="15" t="s">
        <v>548</v>
      </c>
      <c r="H100" s="15"/>
    </row>
    <row r="101" spans="2:8" x14ac:dyDescent="0.35">
      <c r="B101" s="15" t="s">
        <v>1</v>
      </c>
      <c r="C101" s="15">
        <v>216.1</v>
      </c>
      <c r="D101" s="15">
        <v>0.18599760000000001</v>
      </c>
      <c r="E101" s="15">
        <v>1591600672.3333001</v>
      </c>
      <c r="F101" s="15" t="s">
        <v>545</v>
      </c>
      <c r="G101" s="15" t="s">
        <v>548</v>
      </c>
      <c r="H101" s="15"/>
    </row>
    <row r="102" spans="2:8" x14ac:dyDescent="0.35">
      <c r="B102" s="15" t="s">
        <v>1</v>
      </c>
      <c r="C102" s="15">
        <v>216.09</v>
      </c>
      <c r="D102" s="15">
        <v>6.9174191199999999</v>
      </c>
      <c r="E102" s="15">
        <v>1591600680.6728001</v>
      </c>
      <c r="F102" s="15" t="s">
        <v>547</v>
      </c>
      <c r="G102" s="15" t="s">
        <v>548</v>
      </c>
      <c r="H102" s="15"/>
    </row>
    <row r="103" spans="2:8" x14ac:dyDescent="0.35">
      <c r="B103" s="15" t="s">
        <v>1</v>
      </c>
      <c r="C103" s="15">
        <v>216.08</v>
      </c>
      <c r="D103" s="15">
        <v>8.1580879999999995E-2</v>
      </c>
      <c r="E103" s="15">
        <v>1591600680.6851001</v>
      </c>
      <c r="F103" s="15" t="s">
        <v>547</v>
      </c>
      <c r="G103" s="15" t="s">
        <v>548</v>
      </c>
      <c r="H103" s="15"/>
    </row>
    <row r="104" spans="2:8" x14ac:dyDescent="0.35">
      <c r="B104" s="15" t="s">
        <v>1</v>
      </c>
      <c r="C104" s="15">
        <v>216.09</v>
      </c>
      <c r="D104" s="15">
        <v>3.66</v>
      </c>
      <c r="E104" s="15">
        <v>1591600688.2395</v>
      </c>
      <c r="F104" s="15" t="s">
        <v>545</v>
      </c>
      <c r="G104" s="15" t="s">
        <v>548</v>
      </c>
      <c r="H104" s="15"/>
    </row>
    <row r="105" spans="2:8" x14ac:dyDescent="0.35">
      <c r="B105" s="15" t="s">
        <v>1</v>
      </c>
      <c r="C105" s="15">
        <v>216.1</v>
      </c>
      <c r="D105" s="15">
        <v>3.9659843399999999</v>
      </c>
      <c r="E105" s="15">
        <v>1591600688.2471001</v>
      </c>
      <c r="F105" s="15" t="s">
        <v>545</v>
      </c>
      <c r="G105" s="15" t="s">
        <v>548</v>
      </c>
      <c r="H105" s="15"/>
    </row>
    <row r="106" spans="2:8" x14ac:dyDescent="0.35">
      <c r="B106" s="15" t="s">
        <v>1</v>
      </c>
      <c r="C106" s="15">
        <v>216.1</v>
      </c>
      <c r="D106" s="15">
        <v>1.0598156599999999</v>
      </c>
      <c r="E106" s="15">
        <v>1591600688.2497001</v>
      </c>
      <c r="F106" s="15" t="s">
        <v>545</v>
      </c>
      <c r="G106" s="15" t="s">
        <v>548</v>
      </c>
      <c r="H106" s="15"/>
    </row>
    <row r="107" spans="2:8" x14ac:dyDescent="0.35">
      <c r="B107" s="15" t="s">
        <v>1</v>
      </c>
      <c r="C107" s="15">
        <v>216.1</v>
      </c>
      <c r="D107" s="15">
        <v>58.940184340000002</v>
      </c>
      <c r="E107" s="15">
        <v>1591600692.4091001</v>
      </c>
      <c r="F107" s="15" t="s">
        <v>545</v>
      </c>
      <c r="G107" s="15" t="s">
        <v>546</v>
      </c>
      <c r="H107" s="15"/>
    </row>
    <row r="108" spans="2:8" x14ac:dyDescent="0.35">
      <c r="B108" s="15" t="s">
        <v>1</v>
      </c>
      <c r="C108" s="15">
        <v>216.19</v>
      </c>
      <c r="D108" s="15">
        <v>3.14</v>
      </c>
      <c r="E108" s="15">
        <v>1591600815.9031999</v>
      </c>
      <c r="F108" s="15" t="s">
        <v>547</v>
      </c>
      <c r="G108" s="15" t="s">
        <v>548</v>
      </c>
      <c r="H108" s="15"/>
    </row>
    <row r="109" spans="2:8" x14ac:dyDescent="0.35">
      <c r="B109" s="15" t="s">
        <v>1</v>
      </c>
      <c r="C109" s="15">
        <v>216.2</v>
      </c>
      <c r="D109" s="15">
        <v>0.22332653999999999</v>
      </c>
      <c r="E109" s="15">
        <v>1591600839.7298999</v>
      </c>
      <c r="F109" s="15" t="s">
        <v>545</v>
      </c>
      <c r="G109" s="15" t="s">
        <v>546</v>
      </c>
      <c r="H109" s="15"/>
    </row>
    <row r="110" spans="2:8" x14ac:dyDescent="0.35">
      <c r="B110" s="15" t="s">
        <v>1</v>
      </c>
      <c r="C110" s="15">
        <v>216.2</v>
      </c>
      <c r="D110" s="15">
        <v>0.27267345999999998</v>
      </c>
      <c r="E110" s="15">
        <v>1591600853.2270999</v>
      </c>
      <c r="F110" s="15" t="s">
        <v>545</v>
      </c>
      <c r="G110" s="15" t="s">
        <v>548</v>
      </c>
      <c r="H110" s="15"/>
    </row>
    <row r="111" spans="2:8" x14ac:dyDescent="0.35">
      <c r="B111" s="15" t="s">
        <v>1</v>
      </c>
      <c r="C111" s="15">
        <v>216.2</v>
      </c>
      <c r="D111" s="15">
        <v>1.42533534</v>
      </c>
      <c r="E111" s="15">
        <v>1591600853.2321</v>
      </c>
      <c r="F111" s="15" t="s">
        <v>545</v>
      </c>
      <c r="G111" s="15" t="s">
        <v>548</v>
      </c>
      <c r="H111" s="15"/>
    </row>
    <row r="112" spans="2:8" x14ac:dyDescent="0.35">
      <c r="B112" s="15" t="s">
        <v>1</v>
      </c>
      <c r="C112" s="15">
        <v>216.19</v>
      </c>
      <c r="D112" s="15">
        <v>0.99741113000000003</v>
      </c>
      <c r="E112" s="15">
        <v>1591600891.8538001</v>
      </c>
      <c r="F112" s="15" t="s">
        <v>547</v>
      </c>
      <c r="G112" s="15" t="s">
        <v>548</v>
      </c>
      <c r="H112" s="15"/>
    </row>
    <row r="113" spans="2:8" x14ac:dyDescent="0.35">
      <c r="B113" s="15" t="s">
        <v>1</v>
      </c>
      <c r="C113" s="15">
        <v>216.19</v>
      </c>
      <c r="D113" s="15">
        <v>2.58655E-3</v>
      </c>
      <c r="E113" s="15">
        <v>1591600891.8648</v>
      </c>
      <c r="F113" s="15" t="s">
        <v>547</v>
      </c>
      <c r="G113" s="15" t="s">
        <v>548</v>
      </c>
      <c r="H113" s="15"/>
    </row>
    <row r="114" spans="2:8" x14ac:dyDescent="0.35">
      <c r="B114" s="15" t="s">
        <v>1</v>
      </c>
      <c r="C114" s="15">
        <v>216.19</v>
      </c>
      <c r="D114" s="15">
        <v>2.3199999999999998E-6</v>
      </c>
      <c r="E114" s="15">
        <v>1591600891.8671</v>
      </c>
      <c r="F114" s="15" t="s">
        <v>547</v>
      </c>
      <c r="G114" s="15" t="s">
        <v>548</v>
      </c>
      <c r="H114" s="15"/>
    </row>
    <row r="115" spans="2:8" x14ac:dyDescent="0.35">
      <c r="B115" s="15" t="s">
        <v>1</v>
      </c>
      <c r="C115" s="15">
        <v>216.2</v>
      </c>
      <c r="D115" s="15">
        <v>19.21466466</v>
      </c>
      <c r="E115" s="15">
        <v>1591600909.0431001</v>
      </c>
      <c r="F115" s="15" t="s">
        <v>545</v>
      </c>
      <c r="G115" s="15" t="s">
        <v>548</v>
      </c>
      <c r="H115" s="15"/>
    </row>
    <row r="116" spans="2:8" x14ac:dyDescent="0.35">
      <c r="B116" s="15" t="s">
        <v>1</v>
      </c>
      <c r="C116" s="15">
        <v>216.23</v>
      </c>
      <c r="D116" s="15">
        <v>1.8</v>
      </c>
      <c r="E116" s="15">
        <v>1591600909.0664999</v>
      </c>
      <c r="F116" s="15" t="s">
        <v>545</v>
      </c>
      <c r="G116" s="15" t="s">
        <v>548</v>
      </c>
      <c r="H116" s="15"/>
    </row>
    <row r="117" spans="2:8" x14ac:dyDescent="0.35">
      <c r="B117" s="15" t="s">
        <v>1</v>
      </c>
      <c r="C117" s="15">
        <v>216.24</v>
      </c>
      <c r="D117" s="15">
        <v>2</v>
      </c>
      <c r="E117" s="15">
        <v>1591600909.069</v>
      </c>
      <c r="F117" s="15" t="s">
        <v>545</v>
      </c>
      <c r="G117" s="15" t="s">
        <v>548</v>
      </c>
      <c r="H117" s="15"/>
    </row>
    <row r="118" spans="2:8" x14ac:dyDescent="0.35">
      <c r="B118" s="15" t="s">
        <v>1</v>
      </c>
      <c r="C118" s="15">
        <v>216.29</v>
      </c>
      <c r="D118" s="15">
        <v>18.52</v>
      </c>
      <c r="E118" s="15">
        <v>1591600909.0715001</v>
      </c>
      <c r="F118" s="15" t="s">
        <v>545</v>
      </c>
      <c r="G118" s="15" t="s">
        <v>548</v>
      </c>
      <c r="H118" s="15"/>
    </row>
    <row r="119" spans="2:8" x14ac:dyDescent="0.35">
      <c r="B119" s="15" t="s">
        <v>1</v>
      </c>
      <c r="C119" s="15">
        <v>216.29</v>
      </c>
      <c r="D119" s="15">
        <v>7.5655154099999997</v>
      </c>
      <c r="E119" s="15">
        <v>1591600909.0734999</v>
      </c>
      <c r="F119" s="15" t="s">
        <v>545</v>
      </c>
      <c r="G119" s="15" t="s">
        <v>548</v>
      </c>
      <c r="H119" s="15"/>
    </row>
    <row r="120" spans="2:8" x14ac:dyDescent="0.35">
      <c r="B120" s="15" t="s">
        <v>1</v>
      </c>
      <c r="C120" s="15">
        <v>216.29</v>
      </c>
      <c r="D120" s="15">
        <v>16</v>
      </c>
      <c r="E120" s="15">
        <v>1591600909.0747001</v>
      </c>
      <c r="F120" s="15" t="s">
        <v>545</v>
      </c>
      <c r="G120" s="15" t="s">
        <v>548</v>
      </c>
      <c r="H120" s="15"/>
    </row>
    <row r="121" spans="2:8" x14ac:dyDescent="0.35">
      <c r="B121" s="15" t="s">
        <v>1</v>
      </c>
      <c r="C121" s="15">
        <v>216.3</v>
      </c>
      <c r="D121" s="15">
        <v>4.47311791</v>
      </c>
      <c r="E121" s="15">
        <v>1591600909.0768001</v>
      </c>
      <c r="F121" s="15" t="s">
        <v>545</v>
      </c>
      <c r="G121" s="15" t="s">
        <v>548</v>
      </c>
      <c r="H121" s="15"/>
    </row>
    <row r="122" spans="2:8" x14ac:dyDescent="0.35">
      <c r="B122" s="15" t="s">
        <v>1</v>
      </c>
      <c r="C122" s="15">
        <v>216.3</v>
      </c>
      <c r="D122" s="15">
        <v>5.59210093</v>
      </c>
      <c r="E122" s="15">
        <v>1591600909.0794001</v>
      </c>
      <c r="F122" s="15" t="s">
        <v>545</v>
      </c>
      <c r="G122" s="15" t="s">
        <v>548</v>
      </c>
      <c r="H122" s="15"/>
    </row>
    <row r="123" spans="2:8" x14ac:dyDescent="0.35">
      <c r="B123" s="15" t="s">
        <v>1</v>
      </c>
      <c r="C123" s="15">
        <v>216.3</v>
      </c>
      <c r="D123" s="15">
        <v>13.025052779999999</v>
      </c>
      <c r="E123" s="15">
        <v>1591600909.0811</v>
      </c>
      <c r="F123" s="15" t="s">
        <v>545</v>
      </c>
      <c r="G123" s="15" t="s">
        <v>548</v>
      </c>
      <c r="H123" s="15"/>
    </row>
    <row r="124" spans="2:8" x14ac:dyDescent="0.35">
      <c r="B124" s="15" t="s">
        <v>1</v>
      </c>
      <c r="C124" s="15">
        <v>216.3</v>
      </c>
      <c r="D124" s="15">
        <v>23.164947219999998</v>
      </c>
      <c r="E124" s="15">
        <v>1591600909.0846</v>
      </c>
      <c r="F124" s="15" t="s">
        <v>545</v>
      </c>
      <c r="G124" s="15" t="s">
        <v>548</v>
      </c>
      <c r="H124" s="15"/>
    </row>
    <row r="125" spans="2:8" x14ac:dyDescent="0.35">
      <c r="B125" s="15" t="s">
        <v>1</v>
      </c>
      <c r="C125" s="15">
        <v>216.35</v>
      </c>
      <c r="D125" s="15">
        <v>8.6446010900000001</v>
      </c>
      <c r="E125" s="15">
        <v>1591600909.0862</v>
      </c>
      <c r="F125" s="15" t="s">
        <v>545</v>
      </c>
      <c r="G125" s="15" t="s">
        <v>548</v>
      </c>
      <c r="H125" s="15"/>
    </row>
    <row r="126" spans="2:8" x14ac:dyDescent="0.35">
      <c r="B126" s="15" t="s">
        <v>1</v>
      </c>
      <c r="C126" s="15">
        <v>216.22</v>
      </c>
      <c r="D126" s="15">
        <v>0.39891146999999999</v>
      </c>
      <c r="E126" s="15">
        <v>1591600910.8141999</v>
      </c>
      <c r="F126" s="15" t="s">
        <v>547</v>
      </c>
      <c r="G126" s="15" t="s">
        <v>546</v>
      </c>
      <c r="H126" s="15"/>
    </row>
    <row r="127" spans="2:8" x14ac:dyDescent="0.35">
      <c r="B127" s="15" t="s">
        <v>1</v>
      </c>
      <c r="C127" s="15">
        <v>216.27</v>
      </c>
      <c r="D127" s="15">
        <v>0.10871436</v>
      </c>
      <c r="E127" s="15">
        <v>1591600919.2934999</v>
      </c>
      <c r="F127" s="15" t="s">
        <v>547</v>
      </c>
      <c r="G127" s="15" t="s">
        <v>548</v>
      </c>
      <c r="H127" s="15"/>
    </row>
    <row r="128" spans="2:8" x14ac:dyDescent="0.35">
      <c r="B128" s="15" t="s">
        <v>1</v>
      </c>
      <c r="C128" s="15">
        <v>216.32</v>
      </c>
      <c r="D128" s="15">
        <v>0.44</v>
      </c>
      <c r="E128" s="15">
        <v>1591600939.1447999</v>
      </c>
      <c r="F128" s="15" t="s">
        <v>547</v>
      </c>
      <c r="G128" s="15" t="s">
        <v>548</v>
      </c>
      <c r="H128" s="15"/>
    </row>
    <row r="129" spans="2:8" x14ac:dyDescent="0.35">
      <c r="B129" s="15" t="s">
        <v>1</v>
      </c>
      <c r="C129" s="15">
        <v>216.33</v>
      </c>
      <c r="D129" s="15">
        <v>1.99851</v>
      </c>
      <c r="E129" s="15">
        <v>1591600942.7019</v>
      </c>
      <c r="F129" s="15" t="s">
        <v>547</v>
      </c>
      <c r="G129" s="15" t="s">
        <v>546</v>
      </c>
      <c r="H129" s="15"/>
    </row>
    <row r="130" spans="2:8" x14ac:dyDescent="0.35">
      <c r="B130" s="15" t="s">
        <v>1</v>
      </c>
      <c r="C130" s="15">
        <v>216.28</v>
      </c>
      <c r="D130" s="15">
        <v>1.5514369299999999</v>
      </c>
      <c r="E130" s="15">
        <v>1591600968.3326001</v>
      </c>
      <c r="F130" s="15" t="s">
        <v>545</v>
      </c>
      <c r="G130" s="15" t="s">
        <v>548</v>
      </c>
      <c r="H130" s="15"/>
    </row>
    <row r="131" spans="2:8" x14ac:dyDescent="0.35">
      <c r="B131" s="15" t="s">
        <v>1</v>
      </c>
      <c r="C131" s="15">
        <v>216.28</v>
      </c>
      <c r="D131" s="15">
        <v>9.2207330000000004E-2</v>
      </c>
      <c r="E131" s="15">
        <v>1591600986.9272001</v>
      </c>
      <c r="F131" s="15" t="s">
        <v>545</v>
      </c>
      <c r="G131" s="15" t="s">
        <v>548</v>
      </c>
      <c r="H131" s="15"/>
    </row>
    <row r="132" spans="2:8" x14ac:dyDescent="0.35">
      <c r="B132" s="15" t="s">
        <v>1</v>
      </c>
      <c r="C132" s="15">
        <v>216.29</v>
      </c>
      <c r="D132" s="15">
        <v>0.67474847999999998</v>
      </c>
      <c r="E132" s="15">
        <v>1591600995.9554</v>
      </c>
      <c r="F132" s="15" t="s">
        <v>545</v>
      </c>
      <c r="G132" s="15" t="s">
        <v>548</v>
      </c>
      <c r="H132" s="15"/>
    </row>
    <row r="133" spans="2:8" x14ac:dyDescent="0.35">
      <c r="B133" s="15" t="s">
        <v>1</v>
      </c>
      <c r="C133" s="15">
        <v>216.36</v>
      </c>
      <c r="D133" s="15">
        <v>0.22937452</v>
      </c>
      <c r="E133" s="15">
        <v>1591601046.7262001</v>
      </c>
      <c r="F133" s="15" t="s">
        <v>545</v>
      </c>
      <c r="G133" s="15" t="s">
        <v>548</v>
      </c>
      <c r="H133" s="15"/>
    </row>
    <row r="134" spans="2:8" x14ac:dyDescent="0.35">
      <c r="B134" s="15" t="s">
        <v>1</v>
      </c>
      <c r="C134" s="15">
        <v>216.38</v>
      </c>
      <c r="D134" s="15">
        <v>1.97999769</v>
      </c>
      <c r="E134" s="15">
        <v>1591601075.6740999</v>
      </c>
      <c r="F134" s="15" t="s">
        <v>545</v>
      </c>
      <c r="G134" s="15" t="s">
        <v>548</v>
      </c>
      <c r="H134" s="15"/>
    </row>
    <row r="135" spans="2:8" x14ac:dyDescent="0.35">
      <c r="B135" s="15" t="s">
        <v>1</v>
      </c>
      <c r="C135" s="15">
        <v>216.38</v>
      </c>
      <c r="D135" s="15">
        <v>1.95151955</v>
      </c>
      <c r="E135" s="15">
        <v>1591601085.9244001</v>
      </c>
      <c r="F135" s="15" t="s">
        <v>545</v>
      </c>
      <c r="G135" s="15" t="s">
        <v>548</v>
      </c>
      <c r="H135" s="15"/>
    </row>
    <row r="136" spans="2:8" x14ac:dyDescent="0.35">
      <c r="B136" s="15" t="s">
        <v>1</v>
      </c>
      <c r="C136" s="15">
        <v>216.37</v>
      </c>
      <c r="D136" s="15">
        <v>38.001489999999997</v>
      </c>
      <c r="E136" s="15">
        <v>1591601103.1628001</v>
      </c>
      <c r="F136" s="15" t="s">
        <v>547</v>
      </c>
      <c r="G136" s="15" t="s">
        <v>546</v>
      </c>
      <c r="H136" s="15"/>
    </row>
    <row r="137" spans="2:8" x14ac:dyDescent="0.35">
      <c r="B137" s="15" t="s">
        <v>1</v>
      </c>
      <c r="C137" s="15">
        <v>216.37</v>
      </c>
      <c r="D137" s="15">
        <v>0.86</v>
      </c>
      <c r="E137" s="15">
        <v>1591601103.168</v>
      </c>
      <c r="F137" s="15" t="s">
        <v>547</v>
      </c>
      <c r="G137" s="15" t="s">
        <v>546</v>
      </c>
      <c r="H137" s="15"/>
    </row>
    <row r="138" spans="2:8" x14ac:dyDescent="0.35">
      <c r="B138" s="15" t="s">
        <v>1</v>
      </c>
      <c r="C138" s="15">
        <v>216.37</v>
      </c>
      <c r="D138" s="15">
        <v>0.27411028999999998</v>
      </c>
      <c r="E138" s="15">
        <v>1591601103.1696</v>
      </c>
      <c r="F138" s="15" t="s">
        <v>547</v>
      </c>
      <c r="G138" s="15" t="s">
        <v>546</v>
      </c>
      <c r="H138" s="15"/>
    </row>
    <row r="139" spans="2:8" x14ac:dyDescent="0.35">
      <c r="B139" s="15" t="s">
        <v>1</v>
      </c>
      <c r="C139" s="15">
        <v>216.36</v>
      </c>
      <c r="D139" s="15">
        <v>4.57</v>
      </c>
      <c r="E139" s="15">
        <v>1591601105.2469001</v>
      </c>
      <c r="F139" s="15" t="s">
        <v>547</v>
      </c>
      <c r="G139" s="15" t="s">
        <v>546</v>
      </c>
      <c r="H139" s="15"/>
    </row>
    <row r="140" spans="2:8" x14ac:dyDescent="0.35">
      <c r="B140" s="15" t="s">
        <v>1</v>
      </c>
      <c r="C140" s="15">
        <v>216.36</v>
      </c>
      <c r="D140" s="15">
        <v>5.1999999999999998E-3</v>
      </c>
      <c r="E140" s="15">
        <v>1591601105.2665999</v>
      </c>
      <c r="F140" s="15" t="s">
        <v>547</v>
      </c>
      <c r="G140" s="15" t="s">
        <v>546</v>
      </c>
      <c r="H140" s="15"/>
    </row>
    <row r="141" spans="2:8" x14ac:dyDescent="0.35">
      <c r="B141" s="15" t="s">
        <v>1</v>
      </c>
      <c r="C141" s="15">
        <v>216.11</v>
      </c>
      <c r="D141" s="15">
        <v>0.45175688000000003</v>
      </c>
      <c r="E141" s="15">
        <v>1591601111.6138</v>
      </c>
      <c r="F141" s="15" t="s">
        <v>545</v>
      </c>
      <c r="G141" s="15" t="s">
        <v>548</v>
      </c>
      <c r="H141" s="15"/>
    </row>
    <row r="142" spans="2:8" x14ac:dyDescent="0.35">
      <c r="B142" s="15" t="s">
        <v>1</v>
      </c>
      <c r="C142" s="15">
        <v>216.1</v>
      </c>
      <c r="D142" s="15">
        <v>0.114</v>
      </c>
      <c r="E142" s="15">
        <v>1591601144.0553999</v>
      </c>
      <c r="F142" s="15" t="s">
        <v>547</v>
      </c>
      <c r="G142" s="15" t="s">
        <v>548</v>
      </c>
      <c r="H142" s="15"/>
    </row>
    <row r="143" spans="2:8" x14ac:dyDescent="0.35">
      <c r="B143" s="15" t="s">
        <v>1</v>
      </c>
      <c r="C143" s="15">
        <v>215.99</v>
      </c>
      <c r="D143" s="15">
        <v>1.75355726</v>
      </c>
      <c r="E143" s="15">
        <v>1591601144.0885999</v>
      </c>
      <c r="F143" s="15" t="s">
        <v>547</v>
      </c>
      <c r="G143" s="15" t="s">
        <v>548</v>
      </c>
      <c r="H143" s="15"/>
    </row>
    <row r="144" spans="2:8" x14ac:dyDescent="0.35">
      <c r="B144" s="15" t="s">
        <v>1</v>
      </c>
      <c r="C144" s="15">
        <v>215.99</v>
      </c>
      <c r="D144" s="15">
        <v>4.4427399999999997E-3</v>
      </c>
      <c r="E144" s="15">
        <v>1591601144.0910001</v>
      </c>
      <c r="F144" s="15" t="s">
        <v>547</v>
      </c>
      <c r="G144" s="15" t="s">
        <v>548</v>
      </c>
      <c r="H144" s="15"/>
    </row>
    <row r="145" spans="2:8" x14ac:dyDescent="0.35">
      <c r="B145" s="15" t="s">
        <v>1</v>
      </c>
      <c r="C145" s="15">
        <v>216.01</v>
      </c>
      <c r="D145" s="15">
        <v>0.19130240000000001</v>
      </c>
      <c r="E145" s="15">
        <v>1591601167.0134001</v>
      </c>
      <c r="F145" s="15" t="s">
        <v>545</v>
      </c>
      <c r="G145" s="15" t="s">
        <v>548</v>
      </c>
      <c r="H145" s="15"/>
    </row>
    <row r="146" spans="2:8" x14ac:dyDescent="0.35">
      <c r="B146" s="15" t="s">
        <v>1</v>
      </c>
      <c r="C146" s="15">
        <v>215.94</v>
      </c>
      <c r="D146" s="15">
        <v>0.69091597999999999</v>
      </c>
      <c r="E146" s="15">
        <v>1591601214.7290001</v>
      </c>
      <c r="F146" s="15" t="s">
        <v>545</v>
      </c>
      <c r="G146" s="15" t="s">
        <v>548</v>
      </c>
      <c r="H146" s="15"/>
    </row>
    <row r="147" spans="2:8" x14ac:dyDescent="0.35">
      <c r="B147" s="15" t="s">
        <v>1</v>
      </c>
      <c r="C147" s="15">
        <v>215.93</v>
      </c>
      <c r="D147" s="15">
        <v>1.3755907000000001</v>
      </c>
      <c r="E147" s="15">
        <v>1591601217.1278999</v>
      </c>
      <c r="F147" s="15" t="s">
        <v>545</v>
      </c>
      <c r="G147" s="15" t="s">
        <v>546</v>
      </c>
      <c r="H147" s="15"/>
    </row>
    <row r="148" spans="2:8" x14ac:dyDescent="0.35">
      <c r="B148" s="15" t="s">
        <v>1</v>
      </c>
      <c r="C148" s="15">
        <v>215.95</v>
      </c>
      <c r="D148" s="15">
        <v>0.19048482</v>
      </c>
      <c r="E148" s="15">
        <v>1591601227.8269</v>
      </c>
      <c r="F148" s="15" t="s">
        <v>545</v>
      </c>
      <c r="G148" s="15" t="s">
        <v>548</v>
      </c>
      <c r="H148" s="15"/>
    </row>
    <row r="149" spans="2:8" x14ac:dyDescent="0.35">
      <c r="B149" s="15" t="s">
        <v>1</v>
      </c>
      <c r="C149" s="15">
        <v>215.89</v>
      </c>
      <c r="D149" s="15">
        <v>4.6199919999999998E-2</v>
      </c>
      <c r="E149" s="15">
        <v>1591601268.072</v>
      </c>
      <c r="F149" s="15" t="s">
        <v>545</v>
      </c>
      <c r="G149" s="15" t="s">
        <v>548</v>
      </c>
      <c r="H149" s="15"/>
    </row>
    <row r="150" spans="2:8" x14ac:dyDescent="0.35">
      <c r="B150" s="15" t="s">
        <v>1</v>
      </c>
      <c r="C150" s="15">
        <v>215.81</v>
      </c>
      <c r="D150" s="15">
        <v>0.99199999999999999</v>
      </c>
      <c r="E150" s="15">
        <v>1591601268.0869999</v>
      </c>
      <c r="F150" s="15" t="s">
        <v>547</v>
      </c>
      <c r="G150" s="15" t="s">
        <v>548</v>
      </c>
      <c r="H150" s="15"/>
    </row>
    <row r="151" spans="2:8" x14ac:dyDescent="0.35">
      <c r="B151" s="15" t="s">
        <v>1</v>
      </c>
      <c r="C151" s="15">
        <v>215.94</v>
      </c>
      <c r="D151" s="15">
        <v>1.165</v>
      </c>
      <c r="E151" s="15">
        <v>1591601277.211</v>
      </c>
      <c r="F151" s="15" t="s">
        <v>545</v>
      </c>
      <c r="G151" s="15" t="s">
        <v>548</v>
      </c>
      <c r="H151" s="15"/>
    </row>
    <row r="152" spans="2:8" x14ac:dyDescent="0.35">
      <c r="B152" s="15" t="s">
        <v>1</v>
      </c>
      <c r="C152" s="15">
        <v>215.94</v>
      </c>
      <c r="D152" s="15">
        <v>6.5288578299999998</v>
      </c>
      <c r="E152" s="15">
        <v>1591601280.78</v>
      </c>
      <c r="F152" s="15" t="s">
        <v>545</v>
      </c>
      <c r="G152" s="15" t="s">
        <v>548</v>
      </c>
      <c r="H152" s="15"/>
    </row>
    <row r="153" spans="2:8" x14ac:dyDescent="0.35">
      <c r="B153" s="15" t="s">
        <v>1</v>
      </c>
      <c r="C153" s="15">
        <v>215.97</v>
      </c>
      <c r="D153" s="15">
        <v>0.5</v>
      </c>
      <c r="E153" s="15">
        <v>1591601343.3013</v>
      </c>
      <c r="F153" s="15" t="s">
        <v>545</v>
      </c>
      <c r="G153" s="15" t="s">
        <v>548</v>
      </c>
      <c r="H153" s="15"/>
    </row>
    <row r="154" spans="2:8" x14ac:dyDescent="0.35">
      <c r="B154" s="15" t="s">
        <v>1</v>
      </c>
      <c r="C154" s="15">
        <v>215.99</v>
      </c>
      <c r="D154" s="15">
        <v>0.45613039999999999</v>
      </c>
      <c r="E154" s="15">
        <v>1591601406.5927999</v>
      </c>
      <c r="F154" s="15" t="s">
        <v>545</v>
      </c>
      <c r="G154" s="15" t="s">
        <v>546</v>
      </c>
      <c r="H154" s="15"/>
    </row>
    <row r="155" spans="2:8" x14ac:dyDescent="0.35">
      <c r="B155" s="15" t="s">
        <v>1</v>
      </c>
      <c r="C155" s="15">
        <v>215.99</v>
      </c>
      <c r="D155" s="15">
        <v>4.1993299999999998</v>
      </c>
      <c r="E155" s="15">
        <v>1591601407.0968001</v>
      </c>
      <c r="F155" s="15" t="s">
        <v>545</v>
      </c>
      <c r="G155" s="15" t="s">
        <v>546</v>
      </c>
      <c r="H155" s="15"/>
    </row>
    <row r="156" spans="2:8" x14ac:dyDescent="0.35">
      <c r="B156" s="15" t="s">
        <v>1</v>
      </c>
      <c r="C156" s="15">
        <v>215.99</v>
      </c>
      <c r="D156" s="15">
        <v>1.62742765</v>
      </c>
      <c r="E156" s="15">
        <v>1591601454.0016</v>
      </c>
      <c r="F156" s="15" t="s">
        <v>545</v>
      </c>
      <c r="G156" s="15" t="s">
        <v>546</v>
      </c>
      <c r="H156" s="15"/>
    </row>
    <row r="157" spans="2:8" x14ac:dyDescent="0.35">
      <c r="B157" s="15" t="s">
        <v>1</v>
      </c>
      <c r="C157" s="15">
        <v>215.99</v>
      </c>
      <c r="D157" s="15">
        <v>6.9769869999999998E-2</v>
      </c>
      <c r="E157" s="15">
        <v>1591601478.4333</v>
      </c>
      <c r="F157" s="15" t="s">
        <v>545</v>
      </c>
      <c r="G157" s="15" t="s">
        <v>546</v>
      </c>
      <c r="H157" s="15"/>
    </row>
    <row r="158" spans="2:8" x14ac:dyDescent="0.35">
      <c r="B158" s="15" t="s">
        <v>1</v>
      </c>
      <c r="C158" s="15">
        <v>215.95</v>
      </c>
      <c r="D158" s="15">
        <v>0.67332234999999996</v>
      </c>
      <c r="E158" s="15">
        <v>1591601524.1261001</v>
      </c>
      <c r="F158" s="15" t="s">
        <v>545</v>
      </c>
      <c r="G158" s="15" t="s">
        <v>546</v>
      </c>
      <c r="H158" s="15"/>
    </row>
    <row r="159" spans="2:8" x14ac:dyDescent="0.35">
      <c r="B159" s="15" t="s">
        <v>1</v>
      </c>
      <c r="C159" s="15">
        <v>215.95</v>
      </c>
      <c r="D159" s="15">
        <v>0.25</v>
      </c>
      <c r="E159" s="15">
        <v>1591601549.1615</v>
      </c>
      <c r="F159" s="15" t="s">
        <v>545</v>
      </c>
      <c r="G159" s="15" t="s">
        <v>548</v>
      </c>
      <c r="H159" s="15"/>
    </row>
    <row r="160" spans="2:8" x14ac:dyDescent="0.35">
      <c r="B160" s="15" t="s">
        <v>1</v>
      </c>
      <c r="C160" s="15">
        <v>215.93</v>
      </c>
      <c r="D160" s="15">
        <v>2.2000000000000002</v>
      </c>
      <c r="E160" s="15">
        <v>1591601554.5983</v>
      </c>
      <c r="F160" s="15" t="s">
        <v>545</v>
      </c>
      <c r="G160" s="15" t="s">
        <v>548</v>
      </c>
      <c r="H160" s="15"/>
    </row>
    <row r="161" spans="2:8" x14ac:dyDescent="0.35">
      <c r="B161" s="15" t="s">
        <v>1</v>
      </c>
      <c r="C161" s="15">
        <v>215.89</v>
      </c>
      <c r="D161" s="15">
        <v>0.43113945999999997</v>
      </c>
      <c r="E161" s="15">
        <v>1591601562.6327</v>
      </c>
      <c r="F161" s="15" t="s">
        <v>545</v>
      </c>
      <c r="G161" s="15" t="s">
        <v>546</v>
      </c>
      <c r="H161" s="15"/>
    </row>
    <row r="162" spans="2:8" x14ac:dyDescent="0.35">
      <c r="B162" s="15" t="s">
        <v>1</v>
      </c>
      <c r="C162" s="15">
        <v>215.74</v>
      </c>
      <c r="D162" s="15">
        <v>0.02</v>
      </c>
      <c r="E162" s="15">
        <v>1591601598.0824001</v>
      </c>
      <c r="F162" s="15" t="s">
        <v>547</v>
      </c>
      <c r="G162" s="15" t="s">
        <v>548</v>
      </c>
      <c r="H162" s="15"/>
    </row>
    <row r="163" spans="2:8" x14ac:dyDescent="0.35">
      <c r="B163" s="15" t="s">
        <v>1</v>
      </c>
      <c r="C163" s="15">
        <v>215.72</v>
      </c>
      <c r="D163" s="15">
        <v>0.81233069000000002</v>
      </c>
      <c r="E163" s="15">
        <v>1591601667.1747999</v>
      </c>
      <c r="F163" s="15" t="s">
        <v>545</v>
      </c>
      <c r="G163" s="15" t="s">
        <v>546</v>
      </c>
      <c r="H163" s="15"/>
    </row>
    <row r="164" spans="2:8" x14ac:dyDescent="0.35">
      <c r="B164" s="15" t="s">
        <v>1</v>
      </c>
      <c r="C164" s="15">
        <v>215.68</v>
      </c>
      <c r="D164" s="15">
        <v>0.5</v>
      </c>
      <c r="E164" s="15">
        <v>1591601682.3380001</v>
      </c>
      <c r="F164" s="15" t="s">
        <v>545</v>
      </c>
      <c r="G164" s="15" t="s">
        <v>546</v>
      </c>
      <c r="H164" s="15"/>
    </row>
    <row r="165" spans="2:8" x14ac:dyDescent="0.35">
      <c r="B165" s="15" t="s">
        <v>1</v>
      </c>
      <c r="C165" s="15">
        <v>215.67</v>
      </c>
      <c r="D165" s="15">
        <v>1.0235776599999999</v>
      </c>
      <c r="E165" s="15">
        <v>1591601726.9942999</v>
      </c>
      <c r="F165" s="15" t="s">
        <v>545</v>
      </c>
      <c r="G165" s="15" t="s">
        <v>546</v>
      </c>
      <c r="H165" s="15"/>
    </row>
    <row r="166" spans="2:8" x14ac:dyDescent="0.35">
      <c r="B166" s="15" t="s">
        <v>1</v>
      </c>
      <c r="C166" s="15">
        <v>215.78</v>
      </c>
      <c r="D166" s="15">
        <v>2.7690000000000001</v>
      </c>
      <c r="E166" s="15">
        <v>1591601742.8712001</v>
      </c>
      <c r="F166" s="15" t="s">
        <v>547</v>
      </c>
      <c r="G166" s="15" t="s">
        <v>548</v>
      </c>
      <c r="H166" s="15"/>
    </row>
    <row r="167" spans="2:8" x14ac:dyDescent="0.35">
      <c r="B167" s="15" t="s">
        <v>1</v>
      </c>
      <c r="C167" s="15">
        <v>215.72</v>
      </c>
      <c r="D167" s="15">
        <v>2.0410499999999998</v>
      </c>
      <c r="E167" s="15">
        <v>1591601817.3232</v>
      </c>
      <c r="F167" s="15" t="s">
        <v>547</v>
      </c>
      <c r="G167" s="15" t="s">
        <v>548</v>
      </c>
      <c r="H167" s="15"/>
    </row>
    <row r="168" spans="2:8" x14ac:dyDescent="0.35">
      <c r="B168" s="15" t="s">
        <v>1</v>
      </c>
      <c r="C168" s="15">
        <v>215.71</v>
      </c>
      <c r="D168" s="15">
        <v>2.0410499999999998</v>
      </c>
      <c r="E168" s="15">
        <v>1591601817.3368001</v>
      </c>
      <c r="F168" s="15" t="s">
        <v>547</v>
      </c>
      <c r="G168" s="15" t="s">
        <v>548</v>
      </c>
      <c r="H168" s="15"/>
    </row>
    <row r="169" spans="2:8" x14ac:dyDescent="0.35">
      <c r="B169" s="15" t="s">
        <v>1</v>
      </c>
      <c r="C169" s="15">
        <v>215.71</v>
      </c>
      <c r="D169" s="15">
        <v>3.5594993599999998</v>
      </c>
      <c r="E169" s="15">
        <v>1591601817.3388</v>
      </c>
      <c r="F169" s="15" t="s">
        <v>547</v>
      </c>
      <c r="G169" s="15" t="s">
        <v>548</v>
      </c>
      <c r="H169" s="15"/>
    </row>
    <row r="170" spans="2:8" x14ac:dyDescent="0.35">
      <c r="B170" s="15" t="s">
        <v>1</v>
      </c>
      <c r="C170" s="15">
        <v>215.8</v>
      </c>
      <c r="D170" s="15">
        <v>0.22034213</v>
      </c>
      <c r="E170" s="15">
        <v>1591601840.3733001</v>
      </c>
      <c r="F170" s="15" t="s">
        <v>545</v>
      </c>
      <c r="G170" s="15" t="s">
        <v>548</v>
      </c>
      <c r="H170" s="15"/>
    </row>
    <row r="171" spans="2:8" x14ac:dyDescent="0.35">
      <c r="B171" s="15" t="s">
        <v>1</v>
      </c>
      <c r="C171" s="15">
        <v>215.8</v>
      </c>
      <c r="D171" s="15">
        <v>1.0234684599999999</v>
      </c>
      <c r="E171" s="15">
        <v>1591601849.2690001</v>
      </c>
      <c r="F171" s="15" t="s">
        <v>545</v>
      </c>
      <c r="G171" s="15" t="s">
        <v>546</v>
      </c>
      <c r="H171" s="15"/>
    </row>
    <row r="172" spans="2:8" x14ac:dyDescent="0.35">
      <c r="B172" s="15" t="s">
        <v>1</v>
      </c>
      <c r="C172" s="15">
        <v>215.74</v>
      </c>
      <c r="D172" s="15">
        <v>1.3798680000000001</v>
      </c>
      <c r="E172" s="15">
        <v>1591601853.5732</v>
      </c>
      <c r="F172" s="15" t="s">
        <v>547</v>
      </c>
      <c r="G172" s="15" t="s">
        <v>548</v>
      </c>
      <c r="H172" s="15"/>
    </row>
    <row r="173" spans="2:8" x14ac:dyDescent="0.35">
      <c r="B173" s="15" t="s">
        <v>1</v>
      </c>
      <c r="C173" s="15">
        <v>215.77</v>
      </c>
      <c r="D173" s="15">
        <v>3.4357444899999998</v>
      </c>
      <c r="E173" s="15">
        <v>1591601859.3694</v>
      </c>
      <c r="F173" s="15" t="s">
        <v>545</v>
      </c>
      <c r="G173" s="15" t="s">
        <v>546</v>
      </c>
      <c r="H173" s="15"/>
    </row>
    <row r="174" spans="2:8" x14ac:dyDescent="0.35">
      <c r="B174" s="15" t="s">
        <v>1</v>
      </c>
      <c r="C174" s="15">
        <v>215.72</v>
      </c>
      <c r="D174" s="15">
        <v>1.0402804800000001</v>
      </c>
      <c r="E174" s="15">
        <v>1591601864.6489999</v>
      </c>
      <c r="F174" s="15" t="s">
        <v>547</v>
      </c>
      <c r="G174" s="15" t="s">
        <v>548</v>
      </c>
      <c r="H174" s="15"/>
    </row>
    <row r="175" spans="2:8" x14ac:dyDescent="0.35">
      <c r="B175" s="15" t="s">
        <v>1</v>
      </c>
      <c r="C175" s="15">
        <v>215.77</v>
      </c>
      <c r="D175" s="15">
        <v>2.29315297</v>
      </c>
      <c r="E175" s="15">
        <v>1591601881.237</v>
      </c>
      <c r="F175" s="15" t="s">
        <v>545</v>
      </c>
      <c r="G175" s="15" t="s">
        <v>548</v>
      </c>
      <c r="H175" s="15"/>
    </row>
    <row r="176" spans="2:8" x14ac:dyDescent="0.35">
      <c r="B176" s="15" t="s">
        <v>1</v>
      </c>
      <c r="C176" s="15">
        <v>215.64</v>
      </c>
      <c r="D176" s="15">
        <v>2.5530000000000001E-2</v>
      </c>
      <c r="E176" s="15">
        <v>1591601947.3278999</v>
      </c>
      <c r="F176" s="15" t="s">
        <v>547</v>
      </c>
      <c r="G176" s="15" t="s">
        <v>548</v>
      </c>
      <c r="H176" s="15"/>
    </row>
    <row r="177" spans="2:8" x14ac:dyDescent="0.35">
      <c r="B177" s="15" t="s">
        <v>1</v>
      </c>
      <c r="C177" s="15">
        <v>215.57</v>
      </c>
      <c r="D177" s="15">
        <v>0.96576899000000005</v>
      </c>
      <c r="E177" s="15">
        <v>1591601947.3299</v>
      </c>
      <c r="F177" s="15" t="s">
        <v>547</v>
      </c>
      <c r="G177" s="15" t="s">
        <v>548</v>
      </c>
      <c r="H177" s="15"/>
    </row>
    <row r="178" spans="2:8" x14ac:dyDescent="0.35">
      <c r="B178" s="15" t="s">
        <v>1</v>
      </c>
      <c r="C178" s="15">
        <v>215.56</v>
      </c>
      <c r="D178" s="15">
        <v>0.35084074999999998</v>
      </c>
      <c r="E178" s="15">
        <v>1591601947.3315001</v>
      </c>
      <c r="F178" s="15" t="s">
        <v>547</v>
      </c>
      <c r="G178" s="15" t="s">
        <v>548</v>
      </c>
      <c r="H178" s="15"/>
    </row>
    <row r="179" spans="2:8" x14ac:dyDescent="0.35">
      <c r="B179" s="15" t="s">
        <v>1</v>
      </c>
      <c r="C179" s="15">
        <v>215.64</v>
      </c>
      <c r="D179" s="15">
        <v>0.11230688</v>
      </c>
      <c r="E179" s="15">
        <v>1591601950.5153</v>
      </c>
      <c r="F179" s="15" t="s">
        <v>545</v>
      </c>
      <c r="G179" s="15" t="s">
        <v>548</v>
      </c>
      <c r="H179" s="15"/>
    </row>
    <row r="180" spans="2:8" x14ac:dyDescent="0.35">
      <c r="B180" s="15" t="s">
        <v>1</v>
      </c>
      <c r="C180" s="15">
        <v>215.58</v>
      </c>
      <c r="D180" s="15">
        <v>0.8931306</v>
      </c>
      <c r="E180" s="15">
        <v>1591601974.6928</v>
      </c>
      <c r="F180" s="15" t="s">
        <v>545</v>
      </c>
      <c r="G180" s="15" t="s">
        <v>546</v>
      </c>
      <c r="H180" s="15"/>
    </row>
    <row r="181" spans="2:8" x14ac:dyDescent="0.35">
      <c r="B181" s="15" t="s">
        <v>1</v>
      </c>
      <c r="C181" s="15">
        <v>215.53</v>
      </c>
      <c r="D181" s="15">
        <v>1</v>
      </c>
      <c r="E181" s="15">
        <v>1591601988.2888999</v>
      </c>
      <c r="F181" s="15" t="s">
        <v>547</v>
      </c>
      <c r="G181" s="15" t="s">
        <v>548</v>
      </c>
      <c r="H181" s="15"/>
    </row>
    <row r="182" spans="2:8" x14ac:dyDescent="0.35">
      <c r="B182" s="15" t="s">
        <v>1</v>
      </c>
      <c r="C182" s="15">
        <v>215.53</v>
      </c>
      <c r="D182" s="15">
        <v>0.43031999999999998</v>
      </c>
      <c r="E182" s="15">
        <v>1591602006.7428</v>
      </c>
      <c r="F182" s="15" t="s">
        <v>545</v>
      </c>
      <c r="G182" s="15" t="s">
        <v>548</v>
      </c>
      <c r="H182" s="15"/>
    </row>
    <row r="183" spans="2:8" x14ac:dyDescent="0.35">
      <c r="B183" s="15" t="s">
        <v>1</v>
      </c>
      <c r="C183" s="15">
        <v>215.53</v>
      </c>
      <c r="D183" s="15">
        <v>2.7069999999999999</v>
      </c>
      <c r="E183" s="15">
        <v>1591602008.4037001</v>
      </c>
      <c r="F183" s="15" t="s">
        <v>545</v>
      </c>
      <c r="G183" s="15" t="s">
        <v>546</v>
      </c>
      <c r="H183" s="15"/>
    </row>
    <row r="184" spans="2:8" x14ac:dyDescent="0.35">
      <c r="B184" s="15" t="s">
        <v>1</v>
      </c>
      <c r="C184" s="15">
        <v>215.51</v>
      </c>
      <c r="D184" s="15">
        <v>0.5</v>
      </c>
      <c r="E184" s="15">
        <v>1591602030.6926999</v>
      </c>
      <c r="F184" s="15" t="s">
        <v>547</v>
      </c>
      <c r="G184" s="15" t="s">
        <v>548</v>
      </c>
      <c r="H184" s="15"/>
    </row>
    <row r="185" spans="2:8" x14ac:dyDescent="0.35">
      <c r="B185" s="15" t="s">
        <v>1</v>
      </c>
      <c r="C185" s="15">
        <v>215.52</v>
      </c>
      <c r="D185" s="15">
        <v>0.38707000000000003</v>
      </c>
      <c r="E185" s="15">
        <v>1591602045.0267</v>
      </c>
      <c r="F185" s="15" t="s">
        <v>547</v>
      </c>
      <c r="G185" s="15" t="s">
        <v>546</v>
      </c>
      <c r="H185" s="15"/>
    </row>
    <row r="186" spans="2:8" x14ac:dyDescent="0.35">
      <c r="B186" s="15" t="s">
        <v>1</v>
      </c>
      <c r="C186" s="15">
        <v>215.51</v>
      </c>
      <c r="D186" s="15">
        <v>2.61293</v>
      </c>
      <c r="E186" s="15">
        <v>1591602045.0302999</v>
      </c>
      <c r="F186" s="15" t="s">
        <v>547</v>
      </c>
      <c r="G186" s="15" t="s">
        <v>546</v>
      </c>
      <c r="H186" s="15"/>
    </row>
    <row r="187" spans="2:8" x14ac:dyDescent="0.35">
      <c r="B187" s="15" t="s">
        <v>1</v>
      </c>
      <c r="C187" s="15">
        <v>215.51</v>
      </c>
      <c r="D187" s="15">
        <v>0.15188213</v>
      </c>
      <c r="E187" s="15">
        <v>1591602049.2979</v>
      </c>
      <c r="F187" s="15" t="s">
        <v>547</v>
      </c>
      <c r="G187" s="15" t="s">
        <v>548</v>
      </c>
      <c r="H187" s="15"/>
    </row>
    <row r="188" spans="2:8" x14ac:dyDescent="0.35">
      <c r="B188" s="15" t="s">
        <v>1</v>
      </c>
      <c r="C188" s="15">
        <v>215.51</v>
      </c>
      <c r="D188" s="15">
        <v>3.8787000000000001E-4</v>
      </c>
      <c r="E188" s="15">
        <v>1591602049.3152001</v>
      </c>
      <c r="F188" s="15" t="s">
        <v>547</v>
      </c>
      <c r="G188" s="15" t="s">
        <v>548</v>
      </c>
      <c r="H188" s="15"/>
    </row>
    <row r="189" spans="2:8" x14ac:dyDescent="0.35">
      <c r="B189" s="15" t="s">
        <v>1</v>
      </c>
      <c r="C189" s="15">
        <v>215.51</v>
      </c>
      <c r="D189" s="15">
        <v>8.2446389999999994E-2</v>
      </c>
      <c r="E189" s="15">
        <v>1591602068.7507999</v>
      </c>
      <c r="F189" s="15" t="s">
        <v>545</v>
      </c>
      <c r="G189" s="15" t="s">
        <v>548</v>
      </c>
      <c r="H189" s="15"/>
    </row>
    <row r="190" spans="2:8" x14ac:dyDescent="0.35">
      <c r="B190" s="15" t="s">
        <v>1</v>
      </c>
      <c r="C190" s="15">
        <v>215.51</v>
      </c>
      <c r="D190" s="15">
        <v>0.02</v>
      </c>
      <c r="E190" s="15">
        <v>1591602071.1515999</v>
      </c>
      <c r="F190" s="15" t="s">
        <v>545</v>
      </c>
      <c r="G190" s="15" t="s">
        <v>548</v>
      </c>
      <c r="H190" s="15"/>
    </row>
    <row r="191" spans="2:8" x14ac:dyDescent="0.35">
      <c r="B191" s="15" t="s">
        <v>1</v>
      </c>
      <c r="C191" s="15">
        <v>215.51</v>
      </c>
      <c r="D191" s="15">
        <v>0.76523638999999999</v>
      </c>
      <c r="E191" s="15">
        <v>1591602096.4449</v>
      </c>
      <c r="F191" s="15" t="s">
        <v>545</v>
      </c>
      <c r="G191" s="15" t="s">
        <v>546</v>
      </c>
      <c r="H191" s="15"/>
    </row>
    <row r="192" spans="2:8" x14ac:dyDescent="0.35">
      <c r="B192" s="15" t="s">
        <v>1</v>
      </c>
      <c r="C192" s="15">
        <v>215.51</v>
      </c>
      <c r="D192" s="15">
        <v>0.21235763999999999</v>
      </c>
      <c r="E192" s="15">
        <v>1591602097.1161001</v>
      </c>
      <c r="F192" s="15" t="s">
        <v>545</v>
      </c>
      <c r="G192" s="15" t="s">
        <v>546</v>
      </c>
      <c r="H192" s="15"/>
    </row>
    <row r="193" spans="2:8" x14ac:dyDescent="0.35">
      <c r="B193" s="15" t="s">
        <v>1</v>
      </c>
      <c r="C193" s="15">
        <v>215.48</v>
      </c>
      <c r="D193" s="15">
        <v>0.41997045999999999</v>
      </c>
      <c r="E193" s="15">
        <v>1591602111.0157001</v>
      </c>
      <c r="F193" s="15" t="s">
        <v>547</v>
      </c>
      <c r="G193" s="15" t="s">
        <v>546</v>
      </c>
      <c r="H193" s="15"/>
    </row>
    <row r="194" spans="2:8" x14ac:dyDescent="0.35">
      <c r="B194" s="15" t="s">
        <v>1</v>
      </c>
      <c r="C194" s="15">
        <v>215.47</v>
      </c>
      <c r="D194" s="15">
        <v>1.8</v>
      </c>
      <c r="E194" s="15">
        <v>1591602111.0292001</v>
      </c>
      <c r="F194" s="15" t="s">
        <v>547</v>
      </c>
      <c r="G194" s="15" t="s">
        <v>546</v>
      </c>
      <c r="H194" s="15"/>
    </row>
    <row r="195" spans="2:8" x14ac:dyDescent="0.35">
      <c r="B195" s="15" t="s">
        <v>1</v>
      </c>
      <c r="C195" s="15">
        <v>215.43</v>
      </c>
      <c r="D195" s="15">
        <v>91</v>
      </c>
      <c r="E195" s="15">
        <v>1591602111.0321</v>
      </c>
      <c r="F195" s="15" t="s">
        <v>547</v>
      </c>
      <c r="G195" s="15" t="s">
        <v>546</v>
      </c>
      <c r="H195" s="15"/>
    </row>
    <row r="196" spans="2:8" x14ac:dyDescent="0.35">
      <c r="B196" s="15" t="s">
        <v>1</v>
      </c>
      <c r="C196" s="15">
        <v>215.42</v>
      </c>
      <c r="D196" s="15">
        <v>2.07761</v>
      </c>
      <c r="E196" s="15">
        <v>1591602111.0353</v>
      </c>
      <c r="F196" s="15" t="s">
        <v>547</v>
      </c>
      <c r="G196" s="15" t="s">
        <v>546</v>
      </c>
      <c r="H196" s="15"/>
    </row>
    <row r="197" spans="2:8" x14ac:dyDescent="0.35">
      <c r="B197" s="15" t="s">
        <v>1</v>
      </c>
      <c r="C197" s="15">
        <v>215.41</v>
      </c>
      <c r="D197" s="15">
        <v>4.7024195400000002</v>
      </c>
      <c r="E197" s="15">
        <v>1591602111.0369999</v>
      </c>
      <c r="F197" s="15" t="s">
        <v>547</v>
      </c>
      <c r="G197" s="15" t="s">
        <v>546</v>
      </c>
      <c r="H197" s="15"/>
    </row>
    <row r="198" spans="2:8" x14ac:dyDescent="0.35">
      <c r="B198" s="15" t="s">
        <v>1</v>
      </c>
      <c r="C198" s="15">
        <v>215.41</v>
      </c>
      <c r="D198" s="15">
        <v>1.22009919</v>
      </c>
      <c r="E198" s="15">
        <v>1591602111.0437</v>
      </c>
      <c r="F198" s="15" t="s">
        <v>547</v>
      </c>
      <c r="G198" s="15" t="s">
        <v>548</v>
      </c>
      <c r="H198" s="15"/>
    </row>
    <row r="199" spans="2:8" x14ac:dyDescent="0.35">
      <c r="B199" s="15" t="s">
        <v>1</v>
      </c>
      <c r="C199" s="15">
        <v>215.4</v>
      </c>
      <c r="D199" s="15">
        <v>4.77990081</v>
      </c>
      <c r="E199" s="15">
        <v>1591602111.0518</v>
      </c>
      <c r="F199" s="15" t="s">
        <v>547</v>
      </c>
      <c r="G199" s="15" t="s">
        <v>548</v>
      </c>
      <c r="H199" s="15"/>
    </row>
    <row r="200" spans="2:8" x14ac:dyDescent="0.35">
      <c r="B200" s="15" t="s">
        <v>1</v>
      </c>
      <c r="C200" s="15">
        <v>215.44</v>
      </c>
      <c r="D200" s="15">
        <v>0.21823919999999999</v>
      </c>
      <c r="E200" s="15">
        <v>1591602124.6334</v>
      </c>
      <c r="F200" s="15" t="s">
        <v>545</v>
      </c>
      <c r="G200" s="15" t="s">
        <v>548</v>
      </c>
      <c r="H200" s="15"/>
    </row>
    <row r="201" spans="2:8" x14ac:dyDescent="0.35">
      <c r="B201" s="15" t="s">
        <v>1</v>
      </c>
      <c r="C201" s="15">
        <v>215.44</v>
      </c>
      <c r="D201" s="15">
        <v>9.2562450000000004E-2</v>
      </c>
      <c r="E201" s="15">
        <v>1591602139.0692</v>
      </c>
      <c r="F201" s="15" t="s">
        <v>545</v>
      </c>
      <c r="G201" s="15" t="s">
        <v>548</v>
      </c>
      <c r="H201" s="15"/>
    </row>
    <row r="202" spans="2:8" x14ac:dyDescent="0.35">
      <c r="B202" s="15" t="s">
        <v>1</v>
      </c>
      <c r="C202" s="15">
        <v>215.45</v>
      </c>
      <c r="D202" s="15">
        <v>4</v>
      </c>
      <c r="E202" s="15">
        <v>1591602150.6328001</v>
      </c>
      <c r="F202" s="15" t="s">
        <v>545</v>
      </c>
      <c r="G202" s="15" t="s">
        <v>546</v>
      </c>
      <c r="H202" s="15"/>
    </row>
    <row r="203" spans="2:8" x14ac:dyDescent="0.35">
      <c r="B203" s="15" t="s">
        <v>1</v>
      </c>
      <c r="C203" s="15">
        <v>215.45</v>
      </c>
      <c r="D203" s="15">
        <v>0.221</v>
      </c>
      <c r="E203" s="15">
        <v>1591602172.1717</v>
      </c>
      <c r="F203" s="15" t="s">
        <v>545</v>
      </c>
      <c r="G203" s="15" t="s">
        <v>546</v>
      </c>
      <c r="H203" s="15"/>
    </row>
    <row r="204" spans="2:8" x14ac:dyDescent="0.35">
      <c r="B204" s="15" t="s">
        <v>1</v>
      </c>
      <c r="C204" s="15">
        <v>215.45</v>
      </c>
      <c r="D204" s="15">
        <v>0.20094880000000001</v>
      </c>
      <c r="E204" s="15">
        <v>1591602190.22</v>
      </c>
      <c r="F204" s="15" t="s">
        <v>545</v>
      </c>
      <c r="G204" s="15" t="s">
        <v>548</v>
      </c>
      <c r="H204" s="15"/>
    </row>
    <row r="205" spans="2:8" x14ac:dyDescent="0.35">
      <c r="B205" s="15" t="s">
        <v>1</v>
      </c>
      <c r="C205" s="15">
        <v>215.44</v>
      </c>
      <c r="D205" s="15">
        <v>7</v>
      </c>
      <c r="E205" s="15">
        <v>1591602199.1744001</v>
      </c>
      <c r="F205" s="15" t="s">
        <v>547</v>
      </c>
      <c r="G205" s="15" t="s">
        <v>548</v>
      </c>
      <c r="H205" s="15"/>
    </row>
    <row r="206" spans="2:8" x14ac:dyDescent="0.35">
      <c r="B206" s="15" t="s">
        <v>1</v>
      </c>
      <c r="C206" s="15">
        <v>215.45</v>
      </c>
      <c r="D206" s="15">
        <v>2.3050000000000002</v>
      </c>
      <c r="E206" s="15">
        <v>1591602221.1728001</v>
      </c>
      <c r="F206" s="15" t="s">
        <v>545</v>
      </c>
      <c r="G206" s="15" t="s">
        <v>546</v>
      </c>
      <c r="H206" s="15"/>
    </row>
    <row r="207" spans="2:8" x14ac:dyDescent="0.35">
      <c r="B207" s="15" t="s">
        <v>1</v>
      </c>
      <c r="C207" s="15">
        <v>215.45</v>
      </c>
      <c r="D207" s="15">
        <v>0.44700000000000001</v>
      </c>
      <c r="E207" s="15">
        <v>1591602221.5372</v>
      </c>
      <c r="F207" s="15" t="s">
        <v>545</v>
      </c>
      <c r="G207" s="15" t="s">
        <v>546</v>
      </c>
      <c r="H207" s="15"/>
    </row>
    <row r="208" spans="2:8" x14ac:dyDescent="0.35">
      <c r="B208" s="15" t="s">
        <v>1</v>
      </c>
      <c r="C208" s="15">
        <v>215.44</v>
      </c>
      <c r="D208" s="15">
        <v>1.23</v>
      </c>
      <c r="E208" s="15">
        <v>1591602222.2746</v>
      </c>
      <c r="F208" s="15" t="s">
        <v>547</v>
      </c>
      <c r="G208" s="15" t="s">
        <v>546</v>
      </c>
      <c r="H208" s="15"/>
    </row>
    <row r="209" spans="2:8" x14ac:dyDescent="0.35">
      <c r="B209" s="15" t="s">
        <v>1</v>
      </c>
      <c r="C209" s="15">
        <v>215.44</v>
      </c>
      <c r="D209" s="15">
        <v>18.396035940000001</v>
      </c>
      <c r="E209" s="15">
        <v>1591602222.2779</v>
      </c>
      <c r="F209" s="15" t="s">
        <v>547</v>
      </c>
      <c r="G209" s="15" t="s">
        <v>546</v>
      </c>
      <c r="H209" s="15"/>
    </row>
    <row r="210" spans="2:8" x14ac:dyDescent="0.35">
      <c r="B210" s="15" t="s">
        <v>1</v>
      </c>
      <c r="C210" s="15">
        <v>215.44</v>
      </c>
      <c r="D210" s="15">
        <v>11.590291690000001</v>
      </c>
      <c r="E210" s="15">
        <v>1591602222.2806001</v>
      </c>
      <c r="F210" s="15" t="s">
        <v>547</v>
      </c>
      <c r="G210" s="15" t="s">
        <v>546</v>
      </c>
      <c r="H210" s="15"/>
    </row>
    <row r="211" spans="2:8" x14ac:dyDescent="0.35">
      <c r="B211" s="15" t="s">
        <v>1</v>
      </c>
      <c r="C211" s="15">
        <v>215.44</v>
      </c>
      <c r="D211" s="15">
        <v>11.59022895</v>
      </c>
      <c r="E211" s="15">
        <v>1591602222.2832999</v>
      </c>
      <c r="F211" s="15" t="s">
        <v>547</v>
      </c>
      <c r="G211" s="15" t="s">
        <v>546</v>
      </c>
      <c r="H211" s="15"/>
    </row>
    <row r="212" spans="2:8" x14ac:dyDescent="0.35">
      <c r="B212" s="15" t="s">
        <v>1</v>
      </c>
      <c r="C212" s="15">
        <v>215.44</v>
      </c>
      <c r="D212" s="15">
        <v>15</v>
      </c>
      <c r="E212" s="15">
        <v>1591602222.2850001</v>
      </c>
      <c r="F212" s="15" t="s">
        <v>547</v>
      </c>
      <c r="G212" s="15" t="s">
        <v>546</v>
      </c>
      <c r="H212" s="15"/>
    </row>
    <row r="213" spans="2:8" x14ac:dyDescent="0.35">
      <c r="B213" s="15" t="s">
        <v>1</v>
      </c>
      <c r="C213" s="15">
        <v>215.44</v>
      </c>
      <c r="D213" s="15">
        <v>5.9183828099999998</v>
      </c>
      <c r="E213" s="15">
        <v>1591602222.2867999</v>
      </c>
      <c r="F213" s="15" t="s">
        <v>547</v>
      </c>
      <c r="G213" s="15" t="s">
        <v>546</v>
      </c>
      <c r="H213" s="15"/>
    </row>
    <row r="214" spans="2:8" x14ac:dyDescent="0.35">
      <c r="B214" s="15" t="s">
        <v>1</v>
      </c>
      <c r="C214" s="15">
        <v>215.44</v>
      </c>
      <c r="D214" s="15">
        <v>36.275060609999997</v>
      </c>
      <c r="E214" s="15">
        <v>1591602222.2895</v>
      </c>
      <c r="F214" s="15" t="s">
        <v>547</v>
      </c>
      <c r="G214" s="15" t="s">
        <v>546</v>
      </c>
      <c r="H214" s="15"/>
    </row>
    <row r="215" spans="2:8" x14ac:dyDescent="0.35">
      <c r="B215" s="15" t="s">
        <v>1</v>
      </c>
      <c r="C215" s="15">
        <v>215.45</v>
      </c>
      <c r="D215" s="15">
        <v>0.5</v>
      </c>
      <c r="E215" s="15">
        <v>1591602245.8234</v>
      </c>
      <c r="F215" s="15" t="s">
        <v>545</v>
      </c>
      <c r="G215" s="15" t="s">
        <v>546</v>
      </c>
      <c r="H215" s="15"/>
    </row>
    <row r="216" spans="2:8" x14ac:dyDescent="0.35">
      <c r="B216" s="15" t="s">
        <v>1</v>
      </c>
      <c r="C216" s="15">
        <v>215.45</v>
      </c>
      <c r="D216" s="15">
        <v>3.8846404200000002</v>
      </c>
      <c r="E216" s="15">
        <v>1591602276.4389</v>
      </c>
      <c r="F216" s="15" t="s">
        <v>545</v>
      </c>
      <c r="G216" s="15" t="s">
        <v>546</v>
      </c>
      <c r="H216" s="15"/>
    </row>
    <row r="217" spans="2:8" x14ac:dyDescent="0.35">
      <c r="B217" s="15" t="s">
        <v>1</v>
      </c>
      <c r="C217" s="15">
        <v>215.44</v>
      </c>
      <c r="D217" s="15">
        <v>1.00806452</v>
      </c>
      <c r="E217" s="15">
        <v>1591602288.8708999</v>
      </c>
      <c r="F217" s="15" t="s">
        <v>547</v>
      </c>
      <c r="G217" s="15" t="s">
        <v>546</v>
      </c>
      <c r="H217" s="15"/>
    </row>
    <row r="218" spans="2:8" x14ac:dyDescent="0.35">
      <c r="B218" s="15" t="s">
        <v>1</v>
      </c>
      <c r="C218" s="15">
        <v>215.44</v>
      </c>
      <c r="D218" s="15">
        <v>12.625</v>
      </c>
      <c r="E218" s="15">
        <v>1591602288.8873</v>
      </c>
      <c r="F218" s="15" t="s">
        <v>547</v>
      </c>
      <c r="G218" s="15" t="s">
        <v>546</v>
      </c>
      <c r="H218" s="15"/>
    </row>
    <row r="219" spans="2:8" x14ac:dyDescent="0.35">
      <c r="B219" s="15" t="s">
        <v>1</v>
      </c>
      <c r="C219" s="15">
        <v>215.44</v>
      </c>
      <c r="D219" s="15">
        <v>5.9208100000000004</v>
      </c>
      <c r="E219" s="15">
        <v>1591602288.8891001</v>
      </c>
      <c r="F219" s="15" t="s">
        <v>547</v>
      </c>
      <c r="G219" s="15" t="s">
        <v>546</v>
      </c>
      <c r="H219" s="15"/>
    </row>
    <row r="220" spans="2:8" x14ac:dyDescent="0.35">
      <c r="B220" s="15" t="s">
        <v>1</v>
      </c>
      <c r="C220" s="15">
        <v>215.44</v>
      </c>
      <c r="D220" s="15">
        <v>5.7264736999999997</v>
      </c>
      <c r="E220" s="15">
        <v>1591602288.8907001</v>
      </c>
      <c r="F220" s="15" t="s">
        <v>547</v>
      </c>
      <c r="G220" s="15" t="s">
        <v>546</v>
      </c>
      <c r="H220" s="15"/>
    </row>
    <row r="221" spans="2:8" x14ac:dyDescent="0.35">
      <c r="B221" s="15" t="s">
        <v>1</v>
      </c>
      <c r="C221" s="15">
        <v>215.44</v>
      </c>
      <c r="D221" s="15">
        <v>1.4850220000000001E-2</v>
      </c>
      <c r="E221" s="15">
        <v>1591602288.8943</v>
      </c>
      <c r="F221" s="15" t="s">
        <v>547</v>
      </c>
      <c r="G221" s="15" t="s">
        <v>546</v>
      </c>
      <c r="H221" s="15"/>
    </row>
    <row r="222" spans="2:8" x14ac:dyDescent="0.35">
      <c r="B222" s="15" t="s">
        <v>1</v>
      </c>
      <c r="C222" s="15">
        <v>215.44</v>
      </c>
      <c r="D222" s="15">
        <v>3.1560000000000003E-5</v>
      </c>
      <c r="E222" s="15">
        <v>1591602288.8971</v>
      </c>
      <c r="F222" s="15" t="s">
        <v>547</v>
      </c>
      <c r="G222" s="15" t="s">
        <v>546</v>
      </c>
      <c r="H222" s="15"/>
    </row>
    <row r="223" spans="2:8" x14ac:dyDescent="0.35">
      <c r="B223" s="15" t="s">
        <v>1</v>
      </c>
      <c r="C223" s="15">
        <v>215.44</v>
      </c>
      <c r="D223" s="15">
        <v>1.9750000000000001</v>
      </c>
      <c r="E223" s="15">
        <v>1591602307.6926</v>
      </c>
      <c r="F223" s="15" t="s">
        <v>547</v>
      </c>
      <c r="G223" s="15" t="s">
        <v>548</v>
      </c>
      <c r="H223" s="15"/>
    </row>
    <row r="224" spans="2:8" x14ac:dyDescent="0.35">
      <c r="B224" s="15" t="s">
        <v>1</v>
      </c>
      <c r="C224" s="15">
        <v>215.45</v>
      </c>
      <c r="D224" s="15">
        <v>0.91495725000000006</v>
      </c>
      <c r="E224" s="15">
        <v>1591602320.4238</v>
      </c>
      <c r="F224" s="15" t="s">
        <v>545</v>
      </c>
      <c r="G224" s="15" t="s">
        <v>546</v>
      </c>
      <c r="H224" s="15"/>
    </row>
    <row r="225" spans="2:8" x14ac:dyDescent="0.35">
      <c r="B225" s="15" t="s">
        <v>1</v>
      </c>
      <c r="C225" s="15">
        <v>215.45</v>
      </c>
      <c r="D225" s="15">
        <v>0.74199999999999999</v>
      </c>
      <c r="E225" s="15">
        <v>1591602325.4284999</v>
      </c>
      <c r="F225" s="15" t="s">
        <v>545</v>
      </c>
      <c r="G225" s="15" t="s">
        <v>546</v>
      </c>
      <c r="H225" s="15"/>
    </row>
    <row r="226" spans="2:8" x14ac:dyDescent="0.35">
      <c r="B226" s="15" t="s">
        <v>1</v>
      </c>
      <c r="C226" s="15">
        <v>215.45</v>
      </c>
      <c r="D226" s="15">
        <v>0.78445352999999995</v>
      </c>
      <c r="E226" s="15">
        <v>1591602326.7291999</v>
      </c>
      <c r="F226" s="15" t="s">
        <v>545</v>
      </c>
      <c r="G226" s="15" t="s">
        <v>548</v>
      </c>
      <c r="H226" s="15"/>
    </row>
    <row r="227" spans="2:8" x14ac:dyDescent="0.35">
      <c r="B227" s="15" t="s">
        <v>1</v>
      </c>
      <c r="C227" s="15">
        <v>215.45</v>
      </c>
      <c r="D227" s="15">
        <v>2.8155464700000001</v>
      </c>
      <c r="E227" s="15">
        <v>1591602326.7346001</v>
      </c>
      <c r="F227" s="15" t="s">
        <v>545</v>
      </c>
      <c r="G227" s="15" t="s">
        <v>548</v>
      </c>
      <c r="H227" s="15"/>
    </row>
    <row r="228" spans="2:8" x14ac:dyDescent="0.35">
      <c r="B228" s="15" t="s">
        <v>1</v>
      </c>
      <c r="C228" s="15">
        <v>215.45</v>
      </c>
      <c r="D228" s="15">
        <v>2.1844535299999999</v>
      </c>
      <c r="E228" s="15">
        <v>1591602340.3829</v>
      </c>
      <c r="F228" s="15" t="s">
        <v>545</v>
      </c>
      <c r="G228" s="15" t="s">
        <v>548</v>
      </c>
      <c r="H228" s="15"/>
    </row>
    <row r="229" spans="2:8" x14ac:dyDescent="0.35">
      <c r="B229" s="15" t="s">
        <v>1</v>
      </c>
      <c r="C229" s="15">
        <v>215.45</v>
      </c>
      <c r="D229" s="15">
        <v>0.61554646999999996</v>
      </c>
      <c r="E229" s="15">
        <v>1591602340.4006</v>
      </c>
      <c r="F229" s="15" t="s">
        <v>545</v>
      </c>
      <c r="G229" s="15" t="s">
        <v>548</v>
      </c>
      <c r="H229" s="15"/>
    </row>
    <row r="230" spans="2:8" x14ac:dyDescent="0.35">
      <c r="B230" s="15" t="s">
        <v>1</v>
      </c>
      <c r="C230" s="15">
        <v>215.45</v>
      </c>
      <c r="D230" s="15">
        <v>4.4753349999999997E-2</v>
      </c>
      <c r="E230" s="15">
        <v>1591602428.8246</v>
      </c>
      <c r="F230" s="15" t="s">
        <v>545</v>
      </c>
      <c r="G230" s="15" t="s">
        <v>548</v>
      </c>
      <c r="H230" s="15"/>
    </row>
    <row r="231" spans="2:8" x14ac:dyDescent="0.35">
      <c r="B231" s="15" t="s">
        <v>1</v>
      </c>
      <c r="C231" s="15">
        <v>215.45</v>
      </c>
      <c r="D231" s="15">
        <v>0.81039777999999996</v>
      </c>
      <c r="E231" s="15">
        <v>1591602431.8793001</v>
      </c>
      <c r="F231" s="15" t="s">
        <v>545</v>
      </c>
      <c r="G231" s="15" t="s">
        <v>546</v>
      </c>
      <c r="H231" s="15"/>
    </row>
    <row r="232" spans="2:8" x14ac:dyDescent="0.35">
      <c r="B232" s="15" t="s">
        <v>1</v>
      </c>
      <c r="C232" s="15">
        <v>215.44</v>
      </c>
      <c r="D232" s="15">
        <v>5.9203468399999997</v>
      </c>
      <c r="E232" s="15">
        <v>1591602447.7618001</v>
      </c>
      <c r="F232" s="15" t="s">
        <v>547</v>
      </c>
      <c r="G232" s="15" t="s">
        <v>548</v>
      </c>
      <c r="H232" s="15"/>
    </row>
    <row r="233" spans="2:8" x14ac:dyDescent="0.35">
      <c r="B233" s="15" t="s">
        <v>1</v>
      </c>
      <c r="C233" s="15">
        <v>215.44</v>
      </c>
      <c r="D233" s="15">
        <v>0.48311823999999998</v>
      </c>
      <c r="E233" s="15">
        <v>1591602447.7793</v>
      </c>
      <c r="F233" s="15" t="s">
        <v>547</v>
      </c>
      <c r="G233" s="15" t="s">
        <v>548</v>
      </c>
      <c r="H233" s="15"/>
    </row>
    <row r="234" spans="2:8" x14ac:dyDescent="0.35">
      <c r="B234" s="15" t="s">
        <v>1</v>
      </c>
      <c r="C234" s="15">
        <v>215.45</v>
      </c>
      <c r="D234" s="15">
        <v>3.5293024000000002</v>
      </c>
      <c r="E234" s="15">
        <v>1591602477.0058</v>
      </c>
      <c r="F234" s="15" t="s">
        <v>545</v>
      </c>
      <c r="G234" s="15" t="s">
        <v>546</v>
      </c>
      <c r="H234" s="15"/>
    </row>
    <row r="235" spans="2:8" x14ac:dyDescent="0.35">
      <c r="B235" s="15" t="s">
        <v>1</v>
      </c>
      <c r="C235" s="15">
        <v>215.52</v>
      </c>
      <c r="D235" s="15">
        <v>8.2165410899999998</v>
      </c>
      <c r="E235" s="15">
        <v>1591602482.8515999</v>
      </c>
      <c r="F235" s="15" t="s">
        <v>545</v>
      </c>
      <c r="G235" s="15" t="s">
        <v>546</v>
      </c>
      <c r="H235" s="15"/>
    </row>
    <row r="236" spans="2:8" x14ac:dyDescent="0.35">
      <c r="B236" s="15" t="s">
        <v>1</v>
      </c>
      <c r="C236" s="15">
        <v>215.52</v>
      </c>
      <c r="D236" s="15">
        <v>2E-8</v>
      </c>
      <c r="E236" s="15">
        <v>1591602482.8848</v>
      </c>
      <c r="F236" s="15" t="s">
        <v>545</v>
      </c>
      <c r="G236" s="15" t="s">
        <v>546</v>
      </c>
      <c r="H236" s="15"/>
    </row>
    <row r="237" spans="2:8" x14ac:dyDescent="0.35">
      <c r="B237" s="15" t="s">
        <v>1</v>
      </c>
      <c r="C237" s="15">
        <v>215.65</v>
      </c>
      <c r="D237" s="15">
        <v>0.5</v>
      </c>
      <c r="E237" s="15">
        <v>1591602488.1716001</v>
      </c>
      <c r="F237" s="15" t="s">
        <v>545</v>
      </c>
      <c r="G237" s="15" t="s">
        <v>546</v>
      </c>
      <c r="H237" s="15"/>
    </row>
    <row r="238" spans="2:8" x14ac:dyDescent="0.35">
      <c r="B238" s="15" t="s">
        <v>1</v>
      </c>
      <c r="C238" s="15">
        <v>215.75</v>
      </c>
      <c r="D238" s="15">
        <v>1.81402855</v>
      </c>
      <c r="E238" s="15">
        <v>1591602488.1835999</v>
      </c>
      <c r="F238" s="15" t="s">
        <v>545</v>
      </c>
      <c r="G238" s="15" t="s">
        <v>546</v>
      </c>
      <c r="H238" s="15"/>
    </row>
    <row r="239" spans="2:8" x14ac:dyDescent="0.35">
      <c r="B239" s="15" t="s">
        <v>1</v>
      </c>
      <c r="C239" s="15">
        <v>215.68</v>
      </c>
      <c r="D239" s="15">
        <v>0.02</v>
      </c>
      <c r="E239" s="15">
        <v>1591602494.5346</v>
      </c>
      <c r="F239" s="15" t="s">
        <v>547</v>
      </c>
      <c r="G239" s="15" t="s">
        <v>548</v>
      </c>
      <c r="H239" s="15"/>
    </row>
    <row r="240" spans="2:8" x14ac:dyDescent="0.35">
      <c r="B240" s="15" t="s">
        <v>1</v>
      </c>
      <c r="C240" s="15">
        <v>215.68</v>
      </c>
      <c r="D240" s="15">
        <v>4.6160686100000001</v>
      </c>
      <c r="E240" s="15">
        <v>1591602499.6931</v>
      </c>
      <c r="F240" s="15" t="s">
        <v>547</v>
      </c>
      <c r="G240" s="15" t="s">
        <v>548</v>
      </c>
      <c r="H240" s="15"/>
    </row>
    <row r="241" spans="2:8" x14ac:dyDescent="0.35">
      <c r="B241" s="15" t="s">
        <v>1</v>
      </c>
      <c r="C241" s="15">
        <v>215.67</v>
      </c>
      <c r="D241" s="15">
        <v>4.63596115</v>
      </c>
      <c r="E241" s="15">
        <v>1591602499.6970999</v>
      </c>
      <c r="F241" s="15" t="s">
        <v>547</v>
      </c>
      <c r="G241" s="15" t="s">
        <v>548</v>
      </c>
      <c r="H241" s="15"/>
    </row>
    <row r="242" spans="2:8" x14ac:dyDescent="0.35">
      <c r="B242" s="15" t="s">
        <v>1</v>
      </c>
      <c r="C242" s="15">
        <v>215.66</v>
      </c>
      <c r="D242" s="15">
        <v>0.74797024000000001</v>
      </c>
      <c r="E242" s="15">
        <v>1591602499.6989999</v>
      </c>
      <c r="F242" s="15" t="s">
        <v>547</v>
      </c>
      <c r="G242" s="15" t="s">
        <v>548</v>
      </c>
      <c r="H242" s="15"/>
    </row>
    <row r="243" spans="2:8" x14ac:dyDescent="0.35">
      <c r="B243" s="15" t="s">
        <v>1</v>
      </c>
      <c r="C243" s="15">
        <v>215.63</v>
      </c>
      <c r="D243" s="15">
        <v>1.97909172</v>
      </c>
      <c r="E243" s="15">
        <v>1591602526.1965001</v>
      </c>
      <c r="F243" s="15" t="s">
        <v>545</v>
      </c>
      <c r="G243" s="15" t="s">
        <v>548</v>
      </c>
      <c r="H243" s="15"/>
    </row>
    <row r="244" spans="2:8" x14ac:dyDescent="0.35">
      <c r="B244" s="15" t="s">
        <v>1</v>
      </c>
      <c r="C244" s="15">
        <v>215.55</v>
      </c>
      <c r="D244" s="15">
        <v>2</v>
      </c>
      <c r="E244" s="15">
        <v>1591602622.2688999</v>
      </c>
      <c r="F244" s="15" t="s">
        <v>545</v>
      </c>
      <c r="G244" s="15" t="s">
        <v>548</v>
      </c>
      <c r="H244" s="15"/>
    </row>
    <row r="245" spans="2:8" x14ac:dyDescent="0.35">
      <c r="B245" s="15" t="s">
        <v>1</v>
      </c>
      <c r="C245" s="15">
        <v>215.5</v>
      </c>
      <c r="D245" s="15">
        <v>0.46403709999999998</v>
      </c>
      <c r="E245" s="15">
        <v>1591602707.4798</v>
      </c>
      <c r="F245" s="15" t="s">
        <v>547</v>
      </c>
      <c r="G245" s="15" t="s">
        <v>548</v>
      </c>
      <c r="H245" s="15"/>
    </row>
    <row r="246" spans="2:8" x14ac:dyDescent="0.35">
      <c r="B246" s="15" t="s">
        <v>1</v>
      </c>
      <c r="C246" s="15">
        <v>215.47</v>
      </c>
      <c r="D246" s="15">
        <v>0.47596290000000002</v>
      </c>
      <c r="E246" s="15">
        <v>1591602707.4849999</v>
      </c>
      <c r="F246" s="15" t="s">
        <v>547</v>
      </c>
      <c r="G246" s="15" t="s">
        <v>548</v>
      </c>
      <c r="H246" s="15"/>
    </row>
    <row r="247" spans="2:8" x14ac:dyDescent="0.35">
      <c r="B247" s="15" t="s">
        <v>1</v>
      </c>
      <c r="C247" s="15">
        <v>215.47</v>
      </c>
      <c r="D247" s="15">
        <v>15.7122905</v>
      </c>
      <c r="E247" s="15">
        <v>1591602714.1996</v>
      </c>
      <c r="F247" s="15" t="s">
        <v>547</v>
      </c>
      <c r="G247" s="15" t="s">
        <v>548</v>
      </c>
      <c r="H247" s="15"/>
    </row>
    <row r="248" spans="2:8" x14ac:dyDescent="0.35">
      <c r="B248" s="15" t="s">
        <v>1</v>
      </c>
      <c r="C248" s="15">
        <v>215.47</v>
      </c>
      <c r="D248" s="15">
        <v>3.761921E-2</v>
      </c>
      <c r="E248" s="15">
        <v>1591602714.2189</v>
      </c>
      <c r="F248" s="15" t="s">
        <v>547</v>
      </c>
      <c r="G248" s="15" t="s">
        <v>548</v>
      </c>
      <c r="H248" s="15"/>
    </row>
    <row r="249" spans="2:8" x14ac:dyDescent="0.35">
      <c r="B249" s="15" t="s">
        <v>1</v>
      </c>
      <c r="C249" s="15">
        <v>215.47</v>
      </c>
      <c r="D249" s="15">
        <v>9.0069999999999997E-5</v>
      </c>
      <c r="E249" s="15">
        <v>1591602714.2214999</v>
      </c>
      <c r="F249" s="15" t="s">
        <v>547</v>
      </c>
      <c r="G249" s="15" t="s">
        <v>548</v>
      </c>
      <c r="H249" s="15"/>
    </row>
    <row r="250" spans="2:8" x14ac:dyDescent="0.35">
      <c r="B250" s="15" t="s">
        <v>1</v>
      </c>
      <c r="C250" s="15">
        <v>215.47</v>
      </c>
      <c r="D250" s="15">
        <v>2.2000000000000001E-7</v>
      </c>
      <c r="E250" s="15">
        <v>1591602714.2242</v>
      </c>
      <c r="F250" s="15" t="s">
        <v>547</v>
      </c>
      <c r="G250" s="15" t="s">
        <v>548</v>
      </c>
      <c r="H250" s="15"/>
    </row>
    <row r="251" spans="2:8" x14ac:dyDescent="0.35">
      <c r="B251" s="15" t="s">
        <v>1</v>
      </c>
      <c r="C251" s="15">
        <v>215.49</v>
      </c>
      <c r="D251" s="15">
        <v>0.26616799000000002</v>
      </c>
      <c r="E251" s="15">
        <v>1591602725.1266999</v>
      </c>
      <c r="F251" s="15" t="s">
        <v>545</v>
      </c>
      <c r="G251" s="15" t="s">
        <v>548</v>
      </c>
      <c r="H251" s="15"/>
    </row>
    <row r="252" spans="2:8" x14ac:dyDescent="0.35">
      <c r="B252" s="15" t="s">
        <v>1</v>
      </c>
      <c r="C252" s="15">
        <v>215.46</v>
      </c>
      <c r="D252" s="15">
        <v>0.02</v>
      </c>
      <c r="E252" s="15">
        <v>1591602764.3814001</v>
      </c>
      <c r="F252" s="15" t="s">
        <v>545</v>
      </c>
      <c r="G252" s="15" t="s">
        <v>548</v>
      </c>
      <c r="H252" s="15"/>
    </row>
    <row r="253" spans="2:8" x14ac:dyDescent="0.35">
      <c r="B253" s="15" t="s">
        <v>1</v>
      </c>
      <c r="C253" s="15">
        <v>215.45</v>
      </c>
      <c r="D253" s="15">
        <v>9.9740674200000008</v>
      </c>
      <c r="E253" s="15">
        <v>1591602806.2521</v>
      </c>
      <c r="F253" s="15" t="s">
        <v>547</v>
      </c>
      <c r="G253" s="15" t="s">
        <v>548</v>
      </c>
      <c r="H253" s="15"/>
    </row>
    <row r="254" spans="2:8" x14ac:dyDescent="0.35">
      <c r="B254" s="15" t="s">
        <v>1</v>
      </c>
      <c r="C254" s="15">
        <v>215.45</v>
      </c>
      <c r="D254" s="15">
        <v>2.5865329999999999E-2</v>
      </c>
      <c r="E254" s="15">
        <v>1591602806.2613001</v>
      </c>
      <c r="F254" s="15" t="s">
        <v>547</v>
      </c>
      <c r="G254" s="15" t="s">
        <v>548</v>
      </c>
      <c r="H254" s="15"/>
    </row>
    <row r="255" spans="2:8" x14ac:dyDescent="0.35">
      <c r="B255" s="15" t="s">
        <v>1</v>
      </c>
      <c r="C255" s="15">
        <v>215.45</v>
      </c>
      <c r="D255" s="15">
        <v>6.7080000000000001E-5</v>
      </c>
      <c r="E255" s="15">
        <v>1591602806.2646</v>
      </c>
      <c r="F255" s="15" t="s">
        <v>547</v>
      </c>
      <c r="G255" s="15" t="s">
        <v>548</v>
      </c>
      <c r="H255" s="15"/>
    </row>
    <row r="256" spans="2:8" x14ac:dyDescent="0.35">
      <c r="B256" s="15" t="s">
        <v>1</v>
      </c>
      <c r="C256" s="15">
        <v>215.45</v>
      </c>
      <c r="D256" s="15">
        <v>1.6999999999999999E-7</v>
      </c>
      <c r="E256" s="15">
        <v>1591602806.2669001</v>
      </c>
      <c r="F256" s="15" t="s">
        <v>547</v>
      </c>
      <c r="G256" s="15" t="s">
        <v>548</v>
      </c>
      <c r="H256" s="15"/>
    </row>
    <row r="257" spans="2:8" x14ac:dyDescent="0.35">
      <c r="B257" s="15" t="s">
        <v>1</v>
      </c>
      <c r="C257" s="15">
        <v>215.46</v>
      </c>
      <c r="D257" s="15">
        <v>0.02</v>
      </c>
      <c r="E257" s="15">
        <v>1591602833.2620001</v>
      </c>
      <c r="F257" s="15" t="s">
        <v>545</v>
      </c>
      <c r="G257" s="15" t="s">
        <v>548</v>
      </c>
      <c r="H257" s="15"/>
    </row>
    <row r="258" spans="2:8" x14ac:dyDescent="0.35">
      <c r="B258" s="15" t="s">
        <v>1</v>
      </c>
      <c r="C258" s="15">
        <v>215.46</v>
      </c>
      <c r="D258" s="15">
        <v>4.6370000000000001E-2</v>
      </c>
      <c r="E258" s="15">
        <v>1591602872.1977999</v>
      </c>
      <c r="F258" s="15" t="s">
        <v>545</v>
      </c>
      <c r="G258" s="15" t="s">
        <v>548</v>
      </c>
      <c r="H258" s="15"/>
    </row>
    <row r="259" spans="2:8" x14ac:dyDescent="0.35">
      <c r="B259" s="15" t="s">
        <v>1</v>
      </c>
      <c r="C259" s="15">
        <v>215.46</v>
      </c>
      <c r="D259" s="15">
        <v>4.6370000000000001E-2</v>
      </c>
      <c r="E259" s="15">
        <v>1591602878.7774999</v>
      </c>
      <c r="F259" s="15" t="s">
        <v>545</v>
      </c>
      <c r="G259" s="15" t="s">
        <v>548</v>
      </c>
      <c r="H259" s="15"/>
    </row>
    <row r="260" spans="2:8" x14ac:dyDescent="0.35">
      <c r="B260" s="15" t="s">
        <v>1</v>
      </c>
      <c r="C260" s="15">
        <v>215.46</v>
      </c>
      <c r="D260" s="15">
        <v>4.5084927099999996</v>
      </c>
      <c r="E260" s="15">
        <v>1591602916.0538001</v>
      </c>
      <c r="F260" s="15" t="s">
        <v>545</v>
      </c>
      <c r="G260" s="15" t="s">
        <v>546</v>
      </c>
      <c r="H260" s="15"/>
    </row>
    <row r="261" spans="2:8" x14ac:dyDescent="0.35">
      <c r="B261" s="15" t="s">
        <v>1</v>
      </c>
      <c r="C261" s="15">
        <v>215.49</v>
      </c>
      <c r="D261" s="15">
        <v>10</v>
      </c>
      <c r="E261" s="15">
        <v>1591602917.5427999</v>
      </c>
      <c r="F261" s="15" t="s">
        <v>545</v>
      </c>
      <c r="G261" s="15" t="s">
        <v>546</v>
      </c>
      <c r="H261" s="15"/>
    </row>
    <row r="262" spans="2:8" x14ac:dyDescent="0.35">
      <c r="B262" s="15" t="s">
        <v>1</v>
      </c>
      <c r="C262" s="15">
        <v>215.56</v>
      </c>
      <c r="D262" s="15">
        <v>0.02</v>
      </c>
      <c r="E262" s="15">
        <v>1591602935.5007999</v>
      </c>
      <c r="F262" s="15" t="s">
        <v>545</v>
      </c>
      <c r="G262" s="15" t="s">
        <v>548</v>
      </c>
      <c r="H262" s="15"/>
    </row>
    <row r="263" spans="2:8" x14ac:dyDescent="0.35">
      <c r="B263" s="15" t="s">
        <v>1</v>
      </c>
      <c r="C263" s="15">
        <v>215.56</v>
      </c>
      <c r="D263" s="15">
        <v>0.23022579000000001</v>
      </c>
      <c r="E263" s="15">
        <v>1591602939.9177999</v>
      </c>
      <c r="F263" s="15" t="s">
        <v>545</v>
      </c>
      <c r="G263" s="15" t="s">
        <v>548</v>
      </c>
      <c r="H263" s="15"/>
    </row>
    <row r="264" spans="2:8" x14ac:dyDescent="0.35">
      <c r="B264" s="15" t="s">
        <v>1</v>
      </c>
      <c r="C264" s="15">
        <v>215.54</v>
      </c>
      <c r="D264" s="15">
        <v>0.13564065</v>
      </c>
      <c r="E264" s="15">
        <v>1591602965.2174001</v>
      </c>
      <c r="F264" s="15" t="s">
        <v>545</v>
      </c>
      <c r="G264" s="15" t="s">
        <v>548</v>
      </c>
      <c r="H264" s="15"/>
    </row>
    <row r="265" spans="2:8" x14ac:dyDescent="0.35">
      <c r="B265" s="15" t="s">
        <v>1</v>
      </c>
      <c r="C265" s="15">
        <v>215.6</v>
      </c>
      <c r="D265" s="15">
        <v>4.6129999999999997E-2</v>
      </c>
      <c r="E265" s="15">
        <v>1591603027.4354</v>
      </c>
      <c r="F265" s="15" t="s">
        <v>547</v>
      </c>
      <c r="G265" s="15" t="s">
        <v>548</v>
      </c>
      <c r="H265" s="15"/>
    </row>
    <row r="266" spans="2:8" x14ac:dyDescent="0.35">
      <c r="B266" s="15" t="s">
        <v>1</v>
      </c>
      <c r="C266" s="15">
        <v>215.68</v>
      </c>
      <c r="D266" s="15">
        <v>6</v>
      </c>
      <c r="E266" s="15">
        <v>1591603037.9919</v>
      </c>
      <c r="F266" s="15" t="s">
        <v>545</v>
      </c>
      <c r="G266" s="15" t="s">
        <v>548</v>
      </c>
      <c r="H266" s="15"/>
    </row>
    <row r="267" spans="2:8" x14ac:dyDescent="0.35">
      <c r="B267" s="15" t="s">
        <v>1</v>
      </c>
      <c r="C267" s="15">
        <v>215.7</v>
      </c>
      <c r="D267" s="15">
        <v>2.0099999999999998</v>
      </c>
      <c r="E267" s="15">
        <v>1591603037.9965999</v>
      </c>
      <c r="F267" s="15" t="s">
        <v>545</v>
      </c>
      <c r="G267" s="15" t="s">
        <v>548</v>
      </c>
      <c r="H267" s="15"/>
    </row>
    <row r="268" spans="2:8" x14ac:dyDescent="0.35">
      <c r="B268" s="15" t="s">
        <v>1</v>
      </c>
      <c r="C268" s="15">
        <v>215.77</v>
      </c>
      <c r="D268" s="15">
        <v>7.9055596000000001</v>
      </c>
      <c r="E268" s="15">
        <v>1591603037.9984</v>
      </c>
      <c r="F268" s="15" t="s">
        <v>545</v>
      </c>
      <c r="G268" s="15" t="s">
        <v>548</v>
      </c>
      <c r="H268" s="15"/>
    </row>
    <row r="269" spans="2:8" x14ac:dyDescent="0.35">
      <c r="B269" s="15" t="s">
        <v>1</v>
      </c>
      <c r="C269" s="15">
        <v>215.78</v>
      </c>
      <c r="D269" s="15">
        <v>6.12</v>
      </c>
      <c r="E269" s="15">
        <v>1591603038.0000999</v>
      </c>
      <c r="F269" s="15" t="s">
        <v>545</v>
      </c>
      <c r="G269" s="15" t="s">
        <v>548</v>
      </c>
      <c r="H269" s="15"/>
    </row>
    <row r="270" spans="2:8" x14ac:dyDescent="0.35">
      <c r="B270" s="15" t="s">
        <v>1</v>
      </c>
      <c r="C270" s="15">
        <v>215.79</v>
      </c>
      <c r="D270" s="15">
        <v>0.47884939999999998</v>
      </c>
      <c r="E270" s="15">
        <v>1591603038.0016</v>
      </c>
      <c r="F270" s="15" t="s">
        <v>545</v>
      </c>
      <c r="G270" s="15" t="s">
        <v>548</v>
      </c>
      <c r="H270" s="15"/>
    </row>
    <row r="271" spans="2:8" x14ac:dyDescent="0.35">
      <c r="B271" s="15" t="s">
        <v>1</v>
      </c>
      <c r="C271" s="15">
        <v>215.74</v>
      </c>
      <c r="D271" s="15">
        <v>0.50755874999999995</v>
      </c>
      <c r="E271" s="15">
        <v>1591603059.1115</v>
      </c>
      <c r="F271" s="15" t="s">
        <v>547</v>
      </c>
      <c r="G271" s="15" t="s">
        <v>548</v>
      </c>
      <c r="H271" s="15"/>
    </row>
    <row r="272" spans="2:8" x14ac:dyDescent="0.35">
      <c r="B272" s="15" t="s">
        <v>1</v>
      </c>
      <c r="C272" s="15">
        <v>215.74</v>
      </c>
      <c r="D272" s="15">
        <v>4.4125000000000002E-4</v>
      </c>
      <c r="E272" s="15">
        <v>1591603059.1157999</v>
      </c>
      <c r="F272" s="15" t="s">
        <v>547</v>
      </c>
      <c r="G272" s="15" t="s">
        <v>548</v>
      </c>
      <c r="H272" s="15"/>
    </row>
    <row r="273" spans="2:8" x14ac:dyDescent="0.35">
      <c r="B273" s="15" t="s">
        <v>1</v>
      </c>
      <c r="C273" s="15">
        <v>215.74</v>
      </c>
      <c r="D273" s="15">
        <v>0.5</v>
      </c>
      <c r="E273" s="15">
        <v>1591603122.3721001</v>
      </c>
      <c r="F273" s="15" t="s">
        <v>545</v>
      </c>
      <c r="G273" s="15" t="s">
        <v>548</v>
      </c>
      <c r="H273" s="15"/>
    </row>
    <row r="274" spans="2:8" x14ac:dyDescent="0.35">
      <c r="B274" s="15" t="s">
        <v>1</v>
      </c>
      <c r="C274" s="15">
        <v>215.65</v>
      </c>
      <c r="D274" s="15">
        <v>5.9402672699999997</v>
      </c>
      <c r="E274" s="15">
        <v>1591603158.8025</v>
      </c>
      <c r="F274" s="15" t="s">
        <v>547</v>
      </c>
      <c r="G274" s="15" t="s">
        <v>548</v>
      </c>
      <c r="H274" s="15"/>
    </row>
    <row r="275" spans="2:8" x14ac:dyDescent="0.35">
      <c r="B275" s="15" t="s">
        <v>1</v>
      </c>
      <c r="C275" s="15">
        <v>215.63</v>
      </c>
      <c r="D275" s="15">
        <v>15</v>
      </c>
      <c r="E275" s="15">
        <v>1591603158.8385</v>
      </c>
      <c r="F275" s="15" t="s">
        <v>547</v>
      </c>
      <c r="G275" s="15" t="s">
        <v>548</v>
      </c>
      <c r="H275" s="15"/>
    </row>
    <row r="276" spans="2:8" x14ac:dyDescent="0.35">
      <c r="B276" s="15" t="s">
        <v>1</v>
      </c>
      <c r="C276" s="15">
        <v>215.63</v>
      </c>
      <c r="D276" s="15">
        <v>20.776614160000001</v>
      </c>
      <c r="E276" s="15">
        <v>1591603158.8403001</v>
      </c>
      <c r="F276" s="15" t="s">
        <v>547</v>
      </c>
      <c r="G276" s="15" t="s">
        <v>548</v>
      </c>
      <c r="H276" s="15"/>
    </row>
    <row r="277" spans="2:8" x14ac:dyDescent="0.35">
      <c r="B277" s="15" t="s">
        <v>1</v>
      </c>
      <c r="C277" s="15">
        <v>215.73</v>
      </c>
      <c r="D277" s="15">
        <v>0.28888399999999997</v>
      </c>
      <c r="E277" s="15">
        <v>1591603210.0840001</v>
      </c>
      <c r="F277" s="15" t="s">
        <v>545</v>
      </c>
      <c r="G277" s="15" t="s">
        <v>548</v>
      </c>
      <c r="H277" s="15"/>
    </row>
    <row r="278" spans="2:8" x14ac:dyDescent="0.35">
      <c r="B278" s="15" t="s">
        <v>1</v>
      </c>
      <c r="C278" s="15">
        <v>215.73</v>
      </c>
      <c r="D278" s="15">
        <v>0.28971400000000003</v>
      </c>
      <c r="E278" s="15">
        <v>1591603210.7476001</v>
      </c>
      <c r="F278" s="15" t="s">
        <v>545</v>
      </c>
      <c r="G278" s="15" t="s">
        <v>548</v>
      </c>
      <c r="H278" s="15"/>
    </row>
    <row r="279" spans="2:8" x14ac:dyDescent="0.35">
      <c r="B279" s="15" t="s">
        <v>1</v>
      </c>
      <c r="C279" s="15">
        <v>215.71</v>
      </c>
      <c r="D279" s="15">
        <v>0.1</v>
      </c>
      <c r="E279" s="15">
        <v>1591603218.6731999</v>
      </c>
      <c r="F279" s="15" t="s">
        <v>547</v>
      </c>
      <c r="G279" s="15" t="s">
        <v>546</v>
      </c>
      <c r="H279" s="15"/>
    </row>
    <row r="280" spans="2:8" x14ac:dyDescent="0.35">
      <c r="B280" s="15" t="s">
        <v>1</v>
      </c>
      <c r="C280" s="15">
        <v>215.73</v>
      </c>
      <c r="D280" s="15">
        <v>11.896237380000001</v>
      </c>
      <c r="E280" s="15">
        <v>1591603229.5866001</v>
      </c>
      <c r="F280" s="15" t="s">
        <v>547</v>
      </c>
      <c r="G280" s="15" t="s">
        <v>546</v>
      </c>
      <c r="H280" s="15"/>
    </row>
    <row r="281" spans="2:8" x14ac:dyDescent="0.35">
      <c r="B281" s="15" t="s">
        <v>1</v>
      </c>
      <c r="C281" s="15">
        <v>215.73</v>
      </c>
      <c r="D281" s="15">
        <v>3.0849999999999999E-2</v>
      </c>
      <c r="E281" s="15">
        <v>1591603229.5904</v>
      </c>
      <c r="F281" s="15" t="s">
        <v>547</v>
      </c>
      <c r="G281" s="15" t="s">
        <v>546</v>
      </c>
      <c r="H281" s="15"/>
    </row>
    <row r="282" spans="2:8" x14ac:dyDescent="0.35">
      <c r="B282" s="15" t="s">
        <v>1</v>
      </c>
      <c r="C282" s="15">
        <v>215.73</v>
      </c>
      <c r="D282" s="15">
        <v>7.2620000000000006E-5</v>
      </c>
      <c r="E282" s="15">
        <v>1591603229.5924001</v>
      </c>
      <c r="F282" s="15" t="s">
        <v>547</v>
      </c>
      <c r="G282" s="15" t="s">
        <v>546</v>
      </c>
      <c r="H282" s="15"/>
    </row>
    <row r="283" spans="2:8" x14ac:dyDescent="0.35">
      <c r="B283" s="15" t="s">
        <v>1</v>
      </c>
      <c r="C283" s="15">
        <v>215.74</v>
      </c>
      <c r="D283" s="15">
        <v>0.23176050000000001</v>
      </c>
      <c r="E283" s="15">
        <v>1591603231.2061</v>
      </c>
      <c r="F283" s="15" t="s">
        <v>545</v>
      </c>
      <c r="G283" s="15" t="s">
        <v>548</v>
      </c>
      <c r="H283" s="15"/>
    </row>
    <row r="284" spans="2:8" x14ac:dyDescent="0.35">
      <c r="B284" s="15" t="s">
        <v>1</v>
      </c>
      <c r="C284" s="15">
        <v>216</v>
      </c>
      <c r="D284" s="15">
        <v>0.1</v>
      </c>
      <c r="E284" s="15">
        <v>1591603298.0006001</v>
      </c>
      <c r="F284" s="15" t="s">
        <v>545</v>
      </c>
      <c r="G284" s="15" t="s">
        <v>548</v>
      </c>
      <c r="H284" s="15"/>
    </row>
    <row r="285" spans="2:8" x14ac:dyDescent="0.35">
      <c r="B285" s="15" t="s">
        <v>1</v>
      </c>
      <c r="C285" s="15">
        <v>216.11</v>
      </c>
      <c r="D285" s="15">
        <v>19.989999999999998</v>
      </c>
      <c r="E285" s="15">
        <v>1591603298.0072999</v>
      </c>
      <c r="F285" s="15" t="s">
        <v>545</v>
      </c>
      <c r="G285" s="15" t="s">
        <v>548</v>
      </c>
      <c r="H285" s="15"/>
    </row>
    <row r="286" spans="2:8" x14ac:dyDescent="0.35">
      <c r="B286" s="15" t="s">
        <v>1</v>
      </c>
      <c r="C286" s="15">
        <v>216.12</v>
      </c>
      <c r="D286" s="15">
        <v>6.6697000000000006E-2</v>
      </c>
      <c r="E286" s="15">
        <v>1591603298.0116999</v>
      </c>
      <c r="F286" s="15" t="s">
        <v>545</v>
      </c>
      <c r="G286" s="15" t="s">
        <v>548</v>
      </c>
      <c r="H286" s="15"/>
    </row>
    <row r="287" spans="2:8" x14ac:dyDescent="0.35">
      <c r="B287" s="15" t="s">
        <v>1</v>
      </c>
      <c r="C287" s="15">
        <v>216.12</v>
      </c>
      <c r="D287" s="15">
        <v>7.3348205999999996</v>
      </c>
      <c r="E287" s="15">
        <v>1591603298.0143001</v>
      </c>
      <c r="F287" s="15" t="s">
        <v>545</v>
      </c>
      <c r="G287" s="15" t="s">
        <v>548</v>
      </c>
      <c r="H287" s="15"/>
    </row>
    <row r="288" spans="2:8" x14ac:dyDescent="0.35">
      <c r="B288" s="15" t="s">
        <v>1</v>
      </c>
      <c r="C288" s="15">
        <v>216.06</v>
      </c>
      <c r="D288" s="15">
        <v>2.76</v>
      </c>
      <c r="E288" s="15">
        <v>1591603342.0664999</v>
      </c>
      <c r="F288" s="15" t="s">
        <v>545</v>
      </c>
      <c r="G288" s="15" t="s">
        <v>548</v>
      </c>
      <c r="H288" s="15"/>
    </row>
    <row r="289" spans="2:8" x14ac:dyDescent="0.35">
      <c r="B289" s="15" t="s">
        <v>1</v>
      </c>
      <c r="C289" s="15">
        <v>216.08</v>
      </c>
      <c r="D289" s="15">
        <v>26.966838200000002</v>
      </c>
      <c r="E289" s="15">
        <v>1591603342.1115999</v>
      </c>
      <c r="F289" s="15" t="s">
        <v>545</v>
      </c>
      <c r="G289" s="15" t="s">
        <v>548</v>
      </c>
      <c r="H289" s="15"/>
    </row>
    <row r="290" spans="2:8" x14ac:dyDescent="0.35">
      <c r="B290" s="15" t="s">
        <v>1</v>
      </c>
      <c r="C290" s="15">
        <v>216.02</v>
      </c>
      <c r="D290" s="15">
        <v>0.26379502999999999</v>
      </c>
      <c r="E290" s="15">
        <v>1591603359.5249</v>
      </c>
      <c r="F290" s="15" t="s">
        <v>547</v>
      </c>
      <c r="G290" s="15" t="s">
        <v>548</v>
      </c>
      <c r="H290" s="15"/>
    </row>
    <row r="291" spans="2:8" x14ac:dyDescent="0.35">
      <c r="B291" s="15" t="s">
        <v>1</v>
      </c>
      <c r="C291" s="15">
        <v>216.02</v>
      </c>
      <c r="D291" s="15">
        <v>6.8409000000000005E-4</v>
      </c>
      <c r="E291" s="15">
        <v>1591603359.549</v>
      </c>
      <c r="F291" s="15" t="s">
        <v>547</v>
      </c>
      <c r="G291" s="15" t="s">
        <v>548</v>
      </c>
      <c r="H291" s="15"/>
    </row>
    <row r="292" spans="2:8" x14ac:dyDescent="0.35">
      <c r="B292" s="15" t="s">
        <v>1</v>
      </c>
      <c r="C292" s="15">
        <v>216.02</v>
      </c>
      <c r="D292" s="15">
        <v>1.7799999999999999E-6</v>
      </c>
      <c r="E292" s="15">
        <v>1591603359.5513</v>
      </c>
      <c r="F292" s="15" t="s">
        <v>547</v>
      </c>
      <c r="G292" s="15" t="s">
        <v>548</v>
      </c>
      <c r="H292" s="15"/>
    </row>
    <row r="293" spans="2:8" x14ac:dyDescent="0.35">
      <c r="B293" s="15" t="s">
        <v>1</v>
      </c>
      <c r="C293" s="15">
        <v>216.08</v>
      </c>
      <c r="D293" s="15">
        <v>0.42264462000000003</v>
      </c>
      <c r="E293" s="15">
        <v>1591603364.8209</v>
      </c>
      <c r="F293" s="15" t="s">
        <v>545</v>
      </c>
      <c r="G293" s="15" t="s">
        <v>548</v>
      </c>
      <c r="H293" s="15"/>
    </row>
    <row r="294" spans="2:8" x14ac:dyDescent="0.35">
      <c r="B294" s="15" t="s">
        <v>1</v>
      </c>
      <c r="C294" s="15">
        <v>216.08</v>
      </c>
      <c r="D294" s="15">
        <v>2.3019874499999999</v>
      </c>
      <c r="E294" s="15">
        <v>1591603370.8615</v>
      </c>
      <c r="F294" s="15" t="s">
        <v>545</v>
      </c>
      <c r="G294" s="15" t="s">
        <v>548</v>
      </c>
      <c r="H294" s="15"/>
    </row>
    <row r="295" spans="2:8" x14ac:dyDescent="0.35">
      <c r="B295" s="15" t="s">
        <v>1</v>
      </c>
      <c r="C295" s="15">
        <v>216.08</v>
      </c>
      <c r="D295" s="15">
        <v>2.2465850000000001</v>
      </c>
      <c r="E295" s="15">
        <v>1591603382.3845</v>
      </c>
      <c r="F295" s="15" t="s">
        <v>545</v>
      </c>
      <c r="G295" s="15" t="s">
        <v>548</v>
      </c>
      <c r="H295" s="15"/>
    </row>
    <row r="296" spans="2:8" x14ac:dyDescent="0.35">
      <c r="B296" s="15" t="s">
        <v>1</v>
      </c>
      <c r="C296" s="15">
        <v>216.02</v>
      </c>
      <c r="D296" s="15">
        <v>1</v>
      </c>
      <c r="E296" s="15">
        <v>1591603391.4793999</v>
      </c>
      <c r="F296" s="15" t="s">
        <v>547</v>
      </c>
      <c r="G296" s="15" t="s">
        <v>548</v>
      </c>
      <c r="H296" s="15"/>
    </row>
    <row r="297" spans="2:8" x14ac:dyDescent="0.35">
      <c r="B297" s="15" t="s">
        <v>1</v>
      </c>
      <c r="C297" s="15">
        <v>215.97</v>
      </c>
      <c r="D297" s="15">
        <v>0.59487159999999994</v>
      </c>
      <c r="E297" s="15">
        <v>1591603391.4895999</v>
      </c>
      <c r="F297" s="15" t="s">
        <v>547</v>
      </c>
      <c r="G297" s="15" t="s">
        <v>548</v>
      </c>
      <c r="H297" s="15"/>
    </row>
    <row r="298" spans="2:8" x14ac:dyDescent="0.35">
      <c r="B298" s="15" t="s">
        <v>1</v>
      </c>
      <c r="C298" s="15">
        <v>216.05</v>
      </c>
      <c r="D298" s="15">
        <v>1.157</v>
      </c>
      <c r="E298" s="15">
        <v>1591603409.8352001</v>
      </c>
      <c r="F298" s="15" t="s">
        <v>545</v>
      </c>
      <c r="G298" s="15" t="s">
        <v>546</v>
      </c>
      <c r="H298" s="15"/>
    </row>
    <row r="299" spans="2:8" x14ac:dyDescent="0.35">
      <c r="B299" s="15" t="s">
        <v>1</v>
      </c>
      <c r="C299" s="15">
        <v>216.08</v>
      </c>
      <c r="D299" s="15">
        <v>7.9437143700000004</v>
      </c>
      <c r="E299" s="15">
        <v>1591603425.2200999</v>
      </c>
      <c r="F299" s="15" t="s">
        <v>545</v>
      </c>
      <c r="G299" s="15" t="s">
        <v>548</v>
      </c>
      <c r="H299" s="15"/>
    </row>
    <row r="300" spans="2:8" x14ac:dyDescent="0.35">
      <c r="B300" s="15" t="s">
        <v>1</v>
      </c>
      <c r="C300" s="15">
        <v>216.1</v>
      </c>
      <c r="D300" s="15">
        <v>1.0000007900000001</v>
      </c>
      <c r="E300" s="15">
        <v>1591603445.7799001</v>
      </c>
      <c r="F300" s="15" t="s">
        <v>545</v>
      </c>
      <c r="G300" s="15" t="s">
        <v>548</v>
      </c>
      <c r="H300" s="15"/>
    </row>
    <row r="301" spans="2:8" x14ac:dyDescent="0.35">
      <c r="B301" s="15" t="s">
        <v>1</v>
      </c>
      <c r="C301" s="15">
        <v>216.1</v>
      </c>
      <c r="D301" s="15">
        <v>1.17949046</v>
      </c>
      <c r="E301" s="15">
        <v>1591603448.2156999</v>
      </c>
      <c r="F301" s="15" t="s">
        <v>545</v>
      </c>
      <c r="G301" s="15" t="s">
        <v>548</v>
      </c>
      <c r="H301" s="15"/>
    </row>
    <row r="302" spans="2:8" x14ac:dyDescent="0.35">
      <c r="B302" s="15" t="s">
        <v>1</v>
      </c>
      <c r="C302" s="15">
        <v>216.08</v>
      </c>
      <c r="D302" s="15">
        <v>0.10100000000000001</v>
      </c>
      <c r="E302" s="15">
        <v>1591603497.9331</v>
      </c>
      <c r="F302" s="15" t="s">
        <v>545</v>
      </c>
      <c r="G302" s="15" t="s">
        <v>548</v>
      </c>
      <c r="H302" s="15"/>
    </row>
    <row r="303" spans="2:8" x14ac:dyDescent="0.35">
      <c r="B303" s="15" t="s">
        <v>1</v>
      </c>
      <c r="C303" s="15">
        <v>216</v>
      </c>
      <c r="D303" s="15">
        <v>2.1940274999999998</v>
      </c>
      <c r="E303" s="15">
        <v>1591603507.9266</v>
      </c>
      <c r="F303" s="15" t="s">
        <v>545</v>
      </c>
      <c r="G303" s="15" t="s">
        <v>548</v>
      </c>
      <c r="H303" s="15"/>
    </row>
    <row r="304" spans="2:8" x14ac:dyDescent="0.35">
      <c r="B304" s="15" t="s">
        <v>1</v>
      </c>
      <c r="C304" s="15">
        <v>216</v>
      </c>
      <c r="D304" s="15">
        <v>12</v>
      </c>
      <c r="E304" s="15">
        <v>1591603532.7467999</v>
      </c>
      <c r="F304" s="15" t="s">
        <v>545</v>
      </c>
      <c r="G304" s="15" t="s">
        <v>548</v>
      </c>
      <c r="H304" s="15"/>
    </row>
    <row r="305" spans="2:8" x14ac:dyDescent="0.35">
      <c r="B305" s="15" t="s">
        <v>1</v>
      </c>
      <c r="C305" s="15">
        <v>216</v>
      </c>
      <c r="D305" s="15">
        <v>3.1234428599999999</v>
      </c>
      <c r="E305" s="15">
        <v>1591603532.7523999</v>
      </c>
      <c r="F305" s="15" t="s">
        <v>545</v>
      </c>
      <c r="G305" s="15" t="s">
        <v>548</v>
      </c>
      <c r="H305" s="15"/>
    </row>
    <row r="306" spans="2:8" x14ac:dyDescent="0.35">
      <c r="B306" s="15" t="s">
        <v>1</v>
      </c>
      <c r="C306" s="15">
        <v>216</v>
      </c>
      <c r="D306" s="15">
        <v>34.876557140000003</v>
      </c>
      <c r="E306" s="15">
        <v>1591603532.7550001</v>
      </c>
      <c r="F306" s="15" t="s">
        <v>545</v>
      </c>
      <c r="G306" s="15" t="s">
        <v>548</v>
      </c>
      <c r="H306" s="15"/>
    </row>
    <row r="307" spans="2:8" x14ac:dyDescent="0.35">
      <c r="B307" s="15" t="s">
        <v>1</v>
      </c>
      <c r="C307" s="15">
        <v>216</v>
      </c>
      <c r="D307" s="15">
        <v>0.19865832999999999</v>
      </c>
      <c r="E307" s="15">
        <v>1591603536.8901999</v>
      </c>
      <c r="F307" s="15" t="s">
        <v>545</v>
      </c>
      <c r="G307" s="15" t="s">
        <v>548</v>
      </c>
      <c r="H307" s="15"/>
    </row>
    <row r="308" spans="2:8" x14ac:dyDescent="0.35">
      <c r="B308" s="15" t="s">
        <v>1</v>
      </c>
      <c r="C308" s="15">
        <v>216</v>
      </c>
      <c r="D308" s="15">
        <v>1.05246324</v>
      </c>
      <c r="E308" s="15">
        <v>1591603557.2149</v>
      </c>
      <c r="F308" s="15" t="s">
        <v>545</v>
      </c>
      <c r="G308" s="15" t="s">
        <v>548</v>
      </c>
      <c r="H308" s="15"/>
    </row>
    <row r="309" spans="2:8" x14ac:dyDescent="0.35">
      <c r="B309" s="15" t="s">
        <v>1</v>
      </c>
      <c r="C309" s="15">
        <v>215.99</v>
      </c>
      <c r="D309" s="15">
        <v>0.47688137000000003</v>
      </c>
      <c r="E309" s="15">
        <v>1591603585.4784999</v>
      </c>
      <c r="F309" s="15" t="s">
        <v>547</v>
      </c>
      <c r="G309" s="15" t="s">
        <v>548</v>
      </c>
      <c r="H309" s="15"/>
    </row>
    <row r="310" spans="2:8" x14ac:dyDescent="0.35">
      <c r="B310" s="15" t="s">
        <v>1</v>
      </c>
      <c r="C310" s="15">
        <v>216</v>
      </c>
      <c r="D310" s="15">
        <v>1.1490064499999999</v>
      </c>
      <c r="E310" s="15">
        <v>1591603587.4600999</v>
      </c>
      <c r="F310" s="15" t="s">
        <v>545</v>
      </c>
      <c r="G310" s="15" t="s">
        <v>548</v>
      </c>
      <c r="H310" s="15"/>
    </row>
    <row r="311" spans="2:8" x14ac:dyDescent="0.35">
      <c r="B311" s="15" t="s">
        <v>1</v>
      </c>
      <c r="C311" s="15">
        <v>215.99</v>
      </c>
      <c r="D311" s="15">
        <v>0.52311863000000003</v>
      </c>
      <c r="E311" s="15">
        <v>1591603619.2737</v>
      </c>
      <c r="F311" s="15" t="s">
        <v>547</v>
      </c>
      <c r="G311" s="15" t="s">
        <v>548</v>
      </c>
      <c r="H311" s="15"/>
    </row>
    <row r="312" spans="2:8" x14ac:dyDescent="0.35">
      <c r="B312" s="15" t="s">
        <v>1</v>
      </c>
      <c r="C312" s="15">
        <v>215.88</v>
      </c>
      <c r="D312" s="15">
        <v>5.02256137</v>
      </c>
      <c r="E312" s="15">
        <v>1591603619.2781999</v>
      </c>
      <c r="F312" s="15" t="s">
        <v>547</v>
      </c>
      <c r="G312" s="15" t="s">
        <v>548</v>
      </c>
      <c r="H312" s="15"/>
    </row>
    <row r="313" spans="2:8" x14ac:dyDescent="0.35">
      <c r="B313" s="15" t="s">
        <v>1</v>
      </c>
      <c r="C313" s="15">
        <v>215.98</v>
      </c>
      <c r="D313" s="15">
        <v>35.958288000000003</v>
      </c>
      <c r="E313" s="15">
        <v>1591603622.3947001</v>
      </c>
      <c r="F313" s="15" t="s">
        <v>545</v>
      </c>
      <c r="G313" s="15" t="s">
        <v>548</v>
      </c>
      <c r="H313" s="15"/>
    </row>
    <row r="314" spans="2:8" x14ac:dyDescent="0.35">
      <c r="B314" s="15" t="s">
        <v>1</v>
      </c>
      <c r="C314" s="15">
        <v>216</v>
      </c>
      <c r="D314" s="15">
        <v>4.6120000000000001E-2</v>
      </c>
      <c r="E314" s="15">
        <v>1591603628.3009</v>
      </c>
      <c r="F314" s="15" t="s">
        <v>545</v>
      </c>
      <c r="G314" s="15" t="s">
        <v>548</v>
      </c>
      <c r="H314" s="15"/>
    </row>
    <row r="315" spans="2:8" x14ac:dyDescent="0.35">
      <c r="B315" s="15" t="s">
        <v>1</v>
      </c>
      <c r="C315" s="15">
        <v>216</v>
      </c>
      <c r="D315" s="15">
        <v>2.3088120399999998</v>
      </c>
      <c r="E315" s="15">
        <v>1591603637.5840001</v>
      </c>
      <c r="F315" s="15" t="s">
        <v>545</v>
      </c>
      <c r="G315" s="15" t="s">
        <v>548</v>
      </c>
      <c r="H315" s="15"/>
    </row>
    <row r="316" spans="2:8" x14ac:dyDescent="0.35">
      <c r="B316" s="15" t="s">
        <v>1</v>
      </c>
      <c r="C316" s="15">
        <v>216</v>
      </c>
      <c r="D316" s="15">
        <v>5.9870399999999999E-3</v>
      </c>
      <c r="E316" s="15">
        <v>1591603637.6006999</v>
      </c>
      <c r="F316" s="15" t="s">
        <v>545</v>
      </c>
      <c r="G316" s="15" t="s">
        <v>548</v>
      </c>
      <c r="H316" s="15"/>
    </row>
    <row r="317" spans="2:8" x14ac:dyDescent="0.35">
      <c r="B317" s="15" t="s">
        <v>1</v>
      </c>
      <c r="C317" s="15">
        <v>216</v>
      </c>
      <c r="D317" s="15">
        <v>9.1999999999999998E-7</v>
      </c>
      <c r="E317" s="15">
        <v>1591603637.6029999</v>
      </c>
      <c r="F317" s="15" t="s">
        <v>545</v>
      </c>
      <c r="G317" s="15" t="s">
        <v>548</v>
      </c>
      <c r="H317" s="15"/>
    </row>
    <row r="318" spans="2:8" x14ac:dyDescent="0.35">
      <c r="B318" s="15" t="s">
        <v>1</v>
      </c>
      <c r="C318" s="15">
        <v>215.91</v>
      </c>
      <c r="D318" s="15">
        <v>2</v>
      </c>
      <c r="E318" s="15">
        <v>1591603667.9798</v>
      </c>
      <c r="F318" s="15" t="s">
        <v>547</v>
      </c>
      <c r="G318" s="15" t="s">
        <v>548</v>
      </c>
      <c r="H318" s="15"/>
    </row>
    <row r="319" spans="2:8" x14ac:dyDescent="0.35">
      <c r="B319" s="15" t="s">
        <v>1</v>
      </c>
      <c r="C319" s="15">
        <v>215.86</v>
      </c>
      <c r="D319" s="15">
        <v>0.88337935000000001</v>
      </c>
      <c r="E319" s="15">
        <v>1591603667.9923</v>
      </c>
      <c r="F319" s="15" t="s">
        <v>547</v>
      </c>
      <c r="G319" s="15" t="s">
        <v>548</v>
      </c>
      <c r="H319" s="15"/>
    </row>
    <row r="320" spans="2:8" x14ac:dyDescent="0.35">
      <c r="B320" s="15" t="s">
        <v>1</v>
      </c>
      <c r="C320" s="15">
        <v>215.88</v>
      </c>
      <c r="D320" s="15">
        <v>0.46778750000000002</v>
      </c>
      <c r="E320" s="15">
        <v>1591603705.6545</v>
      </c>
      <c r="F320" s="15" t="s">
        <v>547</v>
      </c>
      <c r="G320" s="15" t="s">
        <v>546</v>
      </c>
      <c r="H320" s="15"/>
    </row>
    <row r="321" spans="2:8" x14ac:dyDescent="0.35">
      <c r="B321" s="15" t="s">
        <v>1</v>
      </c>
      <c r="C321" s="15">
        <v>215.97</v>
      </c>
      <c r="D321" s="15">
        <v>1.23442644</v>
      </c>
      <c r="E321" s="15">
        <v>1591603739.4384999</v>
      </c>
      <c r="F321" s="15" t="s">
        <v>545</v>
      </c>
      <c r="G321" s="15" t="s">
        <v>548</v>
      </c>
      <c r="H321" s="15"/>
    </row>
    <row r="322" spans="2:8" x14ac:dyDescent="0.35">
      <c r="B322" s="15" t="s">
        <v>1</v>
      </c>
      <c r="C322" s="15">
        <v>215.97</v>
      </c>
      <c r="D322" s="15">
        <v>0.27710874000000002</v>
      </c>
      <c r="E322" s="15">
        <v>1591603788.4456</v>
      </c>
      <c r="F322" s="15" t="s">
        <v>545</v>
      </c>
      <c r="G322" s="15" t="s">
        <v>548</v>
      </c>
      <c r="H322" s="15"/>
    </row>
    <row r="323" spans="2:8" x14ac:dyDescent="0.35">
      <c r="B323" s="15" t="s">
        <v>1</v>
      </c>
      <c r="C323" s="15">
        <v>215.97</v>
      </c>
      <c r="D323" s="15">
        <v>1.02567199</v>
      </c>
      <c r="E323" s="15">
        <v>1591603869.9075999</v>
      </c>
      <c r="F323" s="15" t="s">
        <v>547</v>
      </c>
      <c r="G323" s="15" t="s">
        <v>548</v>
      </c>
      <c r="H323" s="15"/>
    </row>
    <row r="324" spans="2:8" x14ac:dyDescent="0.35">
      <c r="B324" s="15" t="s">
        <v>1</v>
      </c>
      <c r="C324" s="15">
        <v>215.98</v>
      </c>
      <c r="D324" s="15">
        <v>0.44573200000000002</v>
      </c>
      <c r="E324" s="15">
        <v>1591603893.675</v>
      </c>
      <c r="F324" s="15" t="s">
        <v>545</v>
      </c>
      <c r="G324" s="15" t="s">
        <v>548</v>
      </c>
      <c r="H324" s="15"/>
    </row>
    <row r="325" spans="2:8" x14ac:dyDescent="0.35">
      <c r="B325" s="15" t="s">
        <v>1</v>
      </c>
      <c r="C325" s="15">
        <v>215.98</v>
      </c>
      <c r="D325" s="15">
        <v>2.3108912899999998</v>
      </c>
      <c r="E325" s="15">
        <v>1591603913.1605</v>
      </c>
      <c r="F325" s="15" t="s">
        <v>545</v>
      </c>
      <c r="G325" s="15" t="s">
        <v>546</v>
      </c>
      <c r="H325" s="15"/>
    </row>
    <row r="326" spans="2:8" x14ac:dyDescent="0.35">
      <c r="B326" s="15" t="s">
        <v>1</v>
      </c>
      <c r="C326" s="15">
        <v>215.98</v>
      </c>
      <c r="D326" s="15">
        <v>3.81636E-3</v>
      </c>
      <c r="E326" s="15">
        <v>1591603913.1761999</v>
      </c>
      <c r="F326" s="15" t="s">
        <v>545</v>
      </c>
      <c r="G326" s="15" t="s">
        <v>546</v>
      </c>
      <c r="H326" s="15"/>
    </row>
    <row r="327" spans="2:8" x14ac:dyDescent="0.35">
      <c r="B327" s="15" t="s">
        <v>1</v>
      </c>
      <c r="C327" s="15">
        <v>215.98</v>
      </c>
      <c r="D327" s="15">
        <v>0.23090240000000001</v>
      </c>
      <c r="E327" s="15">
        <v>1591603918.0297999</v>
      </c>
      <c r="F327" s="15" t="s">
        <v>545</v>
      </c>
      <c r="G327" s="15" t="s">
        <v>548</v>
      </c>
      <c r="H327" s="15"/>
    </row>
    <row r="328" spans="2:8" x14ac:dyDescent="0.35">
      <c r="B328" s="15" t="s">
        <v>1</v>
      </c>
      <c r="C328" s="15">
        <v>215.98</v>
      </c>
      <c r="D328" s="15">
        <v>1</v>
      </c>
      <c r="E328" s="15">
        <v>1591603920.0118001</v>
      </c>
      <c r="F328" s="15" t="s">
        <v>545</v>
      </c>
      <c r="G328" s="15" t="s">
        <v>548</v>
      </c>
      <c r="H328" s="15"/>
    </row>
    <row r="329" spans="2:8" x14ac:dyDescent="0.35">
      <c r="B329" s="15" t="s">
        <v>1</v>
      </c>
      <c r="C329" s="15">
        <v>215.97</v>
      </c>
      <c r="D329" s="15">
        <v>4.9567690000000004</v>
      </c>
      <c r="E329" s="15">
        <v>1591603923.1458001</v>
      </c>
      <c r="F329" s="15" t="s">
        <v>547</v>
      </c>
      <c r="G329" s="15" t="s">
        <v>548</v>
      </c>
      <c r="H329" s="15"/>
    </row>
    <row r="330" spans="2:8" x14ac:dyDescent="0.35">
      <c r="B330" s="15" t="s">
        <v>1</v>
      </c>
      <c r="C330" s="15">
        <v>215.97</v>
      </c>
      <c r="D330" s="15">
        <v>7.9182300000000001E-3</v>
      </c>
      <c r="E330" s="15">
        <v>1591603923.1515999</v>
      </c>
      <c r="F330" s="15" t="s">
        <v>547</v>
      </c>
      <c r="G330" s="15" t="s">
        <v>548</v>
      </c>
      <c r="H330" s="15"/>
    </row>
    <row r="331" spans="2:8" x14ac:dyDescent="0.35">
      <c r="B331" s="15" t="s">
        <v>1</v>
      </c>
      <c r="C331" s="15">
        <v>215.97</v>
      </c>
      <c r="D331" s="15">
        <v>9.7799999999999995E-6</v>
      </c>
      <c r="E331" s="15">
        <v>1591603923.1537001</v>
      </c>
      <c r="F331" s="15" t="s">
        <v>547</v>
      </c>
      <c r="G331" s="15" t="s">
        <v>548</v>
      </c>
      <c r="H331" s="15"/>
    </row>
    <row r="332" spans="2:8" x14ac:dyDescent="0.35">
      <c r="B332" s="15" t="s">
        <v>1</v>
      </c>
      <c r="C332" s="15">
        <v>215.95</v>
      </c>
      <c r="D332" s="15">
        <v>1</v>
      </c>
      <c r="E332" s="15">
        <v>1591603923.1571</v>
      </c>
      <c r="F332" s="15" t="s">
        <v>547</v>
      </c>
      <c r="G332" s="15" t="s">
        <v>548</v>
      </c>
      <c r="H332" s="15"/>
    </row>
    <row r="333" spans="2:8" x14ac:dyDescent="0.35">
      <c r="B333" s="15" t="s">
        <v>1</v>
      </c>
      <c r="C333" s="15">
        <v>215.82</v>
      </c>
      <c r="D333" s="15">
        <v>0.26328987999999998</v>
      </c>
      <c r="E333" s="15">
        <v>1591603923.1589</v>
      </c>
      <c r="F333" s="15" t="s">
        <v>547</v>
      </c>
      <c r="G333" s="15" t="s">
        <v>548</v>
      </c>
      <c r="H333" s="15"/>
    </row>
    <row r="334" spans="2:8" x14ac:dyDescent="0.35">
      <c r="B334" s="15" t="s">
        <v>1</v>
      </c>
      <c r="C334" s="15">
        <v>215.81</v>
      </c>
      <c r="D334" s="15">
        <v>1.2809039900000001</v>
      </c>
      <c r="E334" s="15">
        <v>1591603923.1601</v>
      </c>
      <c r="F334" s="15" t="s">
        <v>547</v>
      </c>
      <c r="G334" s="15" t="s">
        <v>548</v>
      </c>
      <c r="H334" s="15"/>
    </row>
    <row r="335" spans="2:8" x14ac:dyDescent="0.35">
      <c r="B335" s="15" t="s">
        <v>1</v>
      </c>
      <c r="C335" s="15">
        <v>215.95</v>
      </c>
      <c r="D335" s="15">
        <v>3.5992400000000001E-2</v>
      </c>
      <c r="E335" s="15">
        <v>1591603926.5943999</v>
      </c>
      <c r="F335" s="15" t="s">
        <v>545</v>
      </c>
      <c r="G335" s="15" t="s">
        <v>548</v>
      </c>
      <c r="H335" s="15"/>
    </row>
    <row r="336" spans="2:8" x14ac:dyDescent="0.35">
      <c r="B336" s="15" t="s">
        <v>1</v>
      </c>
      <c r="C336" s="15">
        <v>215.92</v>
      </c>
      <c r="D336" s="15">
        <v>3.5552515699999998</v>
      </c>
      <c r="E336" s="15">
        <v>1591603935.7593999</v>
      </c>
      <c r="F336" s="15" t="s">
        <v>545</v>
      </c>
      <c r="G336" s="15" t="s">
        <v>546</v>
      </c>
      <c r="H336" s="15"/>
    </row>
    <row r="337" spans="2:8" x14ac:dyDescent="0.35">
      <c r="B337" s="15" t="s">
        <v>1</v>
      </c>
      <c r="C337" s="15">
        <v>215.92</v>
      </c>
      <c r="D337" s="15">
        <v>1.3694224699999999</v>
      </c>
      <c r="E337" s="15">
        <v>1591604014.576</v>
      </c>
      <c r="F337" s="15" t="s">
        <v>545</v>
      </c>
      <c r="G337" s="15" t="s">
        <v>546</v>
      </c>
      <c r="H337" s="15"/>
    </row>
    <row r="338" spans="2:8" x14ac:dyDescent="0.35">
      <c r="B338" s="15" t="s">
        <v>1</v>
      </c>
      <c r="C338" s="15">
        <v>215.92</v>
      </c>
      <c r="D338" s="15">
        <v>1.3882609299999999</v>
      </c>
      <c r="E338" s="15">
        <v>1591604017.9612</v>
      </c>
      <c r="F338" s="15" t="s">
        <v>545</v>
      </c>
      <c r="G338" s="15" t="s">
        <v>548</v>
      </c>
      <c r="H338" s="15"/>
    </row>
    <row r="339" spans="2:8" x14ac:dyDescent="0.35">
      <c r="B339" s="15" t="s">
        <v>1</v>
      </c>
      <c r="C339" s="15">
        <v>215.92</v>
      </c>
      <c r="D339" s="15">
        <v>1.7390699999999999E-3</v>
      </c>
      <c r="E339" s="15">
        <v>1591604017.9726</v>
      </c>
      <c r="F339" s="15" t="s">
        <v>545</v>
      </c>
      <c r="G339" s="15" t="s">
        <v>548</v>
      </c>
      <c r="H339" s="15"/>
    </row>
    <row r="340" spans="2:8" x14ac:dyDescent="0.35">
      <c r="B340" s="15" t="s">
        <v>1</v>
      </c>
      <c r="C340" s="15">
        <v>215.91</v>
      </c>
      <c r="D340" s="15">
        <v>12</v>
      </c>
      <c r="E340" s="15">
        <v>1591604026.6136</v>
      </c>
      <c r="F340" s="15" t="s">
        <v>547</v>
      </c>
      <c r="G340" s="15" t="s">
        <v>546</v>
      </c>
      <c r="H340" s="15"/>
    </row>
    <row r="341" spans="2:8" x14ac:dyDescent="0.35">
      <c r="B341" s="15" t="s">
        <v>1</v>
      </c>
      <c r="C341" s="15">
        <v>215.91</v>
      </c>
      <c r="D341" s="15">
        <v>12.46509644</v>
      </c>
      <c r="E341" s="15">
        <v>1591604026.6173999</v>
      </c>
      <c r="F341" s="15" t="s">
        <v>547</v>
      </c>
      <c r="G341" s="15" t="s">
        <v>546</v>
      </c>
      <c r="H341" s="15"/>
    </row>
    <row r="342" spans="2:8" x14ac:dyDescent="0.35">
      <c r="B342" s="15" t="s">
        <v>1</v>
      </c>
      <c r="C342" s="15">
        <v>215.91</v>
      </c>
      <c r="D342" s="15">
        <v>2.4880429999999999E-2</v>
      </c>
      <c r="E342" s="15">
        <v>1591604026.619</v>
      </c>
      <c r="F342" s="15" t="s">
        <v>547</v>
      </c>
      <c r="G342" s="15" t="s">
        <v>546</v>
      </c>
      <c r="H342" s="15"/>
    </row>
    <row r="343" spans="2:8" x14ac:dyDescent="0.35">
      <c r="B343" s="15" t="s">
        <v>1</v>
      </c>
      <c r="C343" s="15">
        <v>215.91</v>
      </c>
      <c r="D343" s="15">
        <v>4.9660000000000002E-5</v>
      </c>
      <c r="E343" s="15">
        <v>1591604026.6203001</v>
      </c>
      <c r="F343" s="15" t="s">
        <v>547</v>
      </c>
      <c r="G343" s="15" t="s">
        <v>546</v>
      </c>
      <c r="H343" s="15"/>
    </row>
    <row r="344" spans="2:8" x14ac:dyDescent="0.35">
      <c r="B344" s="15" t="s">
        <v>1</v>
      </c>
      <c r="C344" s="15">
        <v>215.91</v>
      </c>
      <c r="D344" s="15">
        <v>9.9999999999999995E-8</v>
      </c>
      <c r="E344" s="15">
        <v>1591604026.6217999</v>
      </c>
      <c r="F344" s="15" t="s">
        <v>547</v>
      </c>
      <c r="G344" s="15" t="s">
        <v>546</v>
      </c>
      <c r="H344" s="15"/>
    </row>
    <row r="345" spans="2:8" x14ac:dyDescent="0.35">
      <c r="B345" s="15" t="s">
        <v>1</v>
      </c>
      <c r="C345" s="15">
        <v>215.87</v>
      </c>
      <c r="D345" s="15">
        <v>0.02</v>
      </c>
      <c r="E345" s="15">
        <v>1591604060.1155</v>
      </c>
      <c r="F345" s="15" t="s">
        <v>547</v>
      </c>
      <c r="G345" s="15" t="s">
        <v>548</v>
      </c>
      <c r="H345" s="15"/>
    </row>
    <row r="346" spans="2:8" x14ac:dyDescent="0.35">
      <c r="B346" s="15" t="s">
        <v>1</v>
      </c>
      <c r="C346" s="15">
        <v>215.77</v>
      </c>
      <c r="D346" s="15">
        <v>4.5998212399999998</v>
      </c>
      <c r="E346" s="15">
        <v>1591604122.4474001</v>
      </c>
      <c r="F346" s="15" t="s">
        <v>545</v>
      </c>
      <c r="G346" s="15" t="s">
        <v>548</v>
      </c>
      <c r="H346" s="15"/>
    </row>
    <row r="347" spans="2:8" x14ac:dyDescent="0.35">
      <c r="B347" s="15" t="s">
        <v>1</v>
      </c>
      <c r="C347" s="15">
        <v>215.77</v>
      </c>
      <c r="D347" s="15">
        <v>1.36967789</v>
      </c>
      <c r="E347" s="15">
        <v>1591604127.7384</v>
      </c>
      <c r="F347" s="15" t="s">
        <v>545</v>
      </c>
      <c r="G347" s="15" t="s">
        <v>546</v>
      </c>
      <c r="H347" s="15"/>
    </row>
    <row r="348" spans="2:8" x14ac:dyDescent="0.35">
      <c r="B348" s="15" t="s">
        <v>1</v>
      </c>
      <c r="C348" s="15">
        <v>215.78</v>
      </c>
      <c r="D348" s="15">
        <v>1</v>
      </c>
      <c r="E348" s="15">
        <v>1591604163.2643001</v>
      </c>
      <c r="F348" s="15" t="s">
        <v>545</v>
      </c>
      <c r="G348" s="15" t="s">
        <v>546</v>
      </c>
      <c r="H348" s="15"/>
    </row>
    <row r="349" spans="2:8" x14ac:dyDescent="0.35">
      <c r="B349" s="15" t="s">
        <v>1</v>
      </c>
      <c r="C349" s="15">
        <v>215.76</v>
      </c>
      <c r="D349" s="15">
        <v>0.22283</v>
      </c>
      <c r="E349" s="15">
        <v>1591604197.0292001</v>
      </c>
      <c r="F349" s="15" t="s">
        <v>547</v>
      </c>
      <c r="G349" s="15" t="s">
        <v>548</v>
      </c>
      <c r="H349" s="15"/>
    </row>
    <row r="350" spans="2:8" x14ac:dyDescent="0.35">
      <c r="B350" s="15" t="s">
        <v>1</v>
      </c>
      <c r="C350" s="15">
        <v>215.73</v>
      </c>
      <c r="D350" s="15">
        <v>5.9399999899999996</v>
      </c>
      <c r="E350" s="15">
        <v>1591604197.0373001</v>
      </c>
      <c r="F350" s="15" t="s">
        <v>547</v>
      </c>
      <c r="G350" s="15" t="s">
        <v>548</v>
      </c>
      <c r="H350" s="15"/>
    </row>
    <row r="351" spans="2:8" x14ac:dyDescent="0.35">
      <c r="B351" s="15" t="s">
        <v>1</v>
      </c>
      <c r="C351" s="15">
        <v>215.71</v>
      </c>
      <c r="D351" s="15">
        <v>0.86960371000000003</v>
      </c>
      <c r="E351" s="15">
        <v>1591604197.0415001</v>
      </c>
      <c r="F351" s="15" t="s">
        <v>547</v>
      </c>
      <c r="G351" s="15" t="s">
        <v>548</v>
      </c>
      <c r="H351" s="15"/>
    </row>
    <row r="352" spans="2:8" x14ac:dyDescent="0.35">
      <c r="B352" s="15" t="s">
        <v>1</v>
      </c>
      <c r="C352" s="15">
        <v>215.71</v>
      </c>
      <c r="D352" s="15">
        <v>3.9749894800000001</v>
      </c>
      <c r="E352" s="15">
        <v>1591604197.0541999</v>
      </c>
      <c r="F352" s="15" t="s">
        <v>547</v>
      </c>
      <c r="G352" s="15" t="s">
        <v>548</v>
      </c>
      <c r="H352" s="15"/>
    </row>
    <row r="353" spans="2:8" x14ac:dyDescent="0.35">
      <c r="B353" s="15" t="s">
        <v>1</v>
      </c>
      <c r="C353" s="15">
        <v>215.48</v>
      </c>
      <c r="D353" s="15">
        <v>5.65</v>
      </c>
      <c r="E353" s="15">
        <v>1591604222.6522</v>
      </c>
      <c r="F353" s="15" t="s">
        <v>547</v>
      </c>
      <c r="G353" s="15" t="s">
        <v>546</v>
      </c>
      <c r="H353" s="15"/>
    </row>
    <row r="354" spans="2:8" x14ac:dyDescent="0.35">
      <c r="B354" s="15" t="s">
        <v>1</v>
      </c>
      <c r="C354" s="15">
        <v>215.48</v>
      </c>
      <c r="D354" s="15">
        <v>0.23</v>
      </c>
      <c r="E354" s="15">
        <v>1591604222.6752</v>
      </c>
      <c r="F354" s="15" t="s">
        <v>547</v>
      </c>
      <c r="G354" s="15" t="s">
        <v>548</v>
      </c>
      <c r="H354" s="15"/>
    </row>
    <row r="355" spans="2:8" x14ac:dyDescent="0.35">
      <c r="B355" s="15" t="s">
        <v>1</v>
      </c>
      <c r="C355" s="15">
        <v>215.46</v>
      </c>
      <c r="D355" s="15">
        <v>1.754</v>
      </c>
      <c r="E355" s="15">
        <v>1591604222.6775</v>
      </c>
      <c r="F355" s="15" t="s">
        <v>547</v>
      </c>
      <c r="G355" s="15" t="s">
        <v>548</v>
      </c>
      <c r="H355" s="15"/>
    </row>
    <row r="356" spans="2:8" x14ac:dyDescent="0.35">
      <c r="B356" s="15" t="s">
        <v>1</v>
      </c>
      <c r="C356" s="15">
        <v>215.33</v>
      </c>
      <c r="D356" s="15">
        <v>44.325000000000003</v>
      </c>
      <c r="E356" s="15">
        <v>1591604226.2760999</v>
      </c>
      <c r="F356" s="15" t="s">
        <v>547</v>
      </c>
      <c r="G356" s="15" t="s">
        <v>546</v>
      </c>
      <c r="H356" s="15"/>
    </row>
    <row r="357" spans="2:8" x14ac:dyDescent="0.35">
      <c r="B357" s="15" t="s">
        <v>1</v>
      </c>
      <c r="C357" s="15">
        <v>215.33</v>
      </c>
      <c r="D357" s="15">
        <v>0.90500000000000003</v>
      </c>
      <c r="E357" s="15">
        <v>1591604227.2456</v>
      </c>
      <c r="F357" s="15" t="s">
        <v>547</v>
      </c>
      <c r="G357" s="15" t="s">
        <v>546</v>
      </c>
      <c r="H357" s="15"/>
    </row>
    <row r="358" spans="2:8" x14ac:dyDescent="0.35">
      <c r="B358" s="15" t="s">
        <v>1</v>
      </c>
      <c r="C358" s="15">
        <v>215.23</v>
      </c>
      <c r="D358" s="15">
        <v>5.9687779900000004</v>
      </c>
      <c r="E358" s="15">
        <v>1591604227.4834001</v>
      </c>
      <c r="F358" s="15" t="s">
        <v>547</v>
      </c>
      <c r="G358" s="15" t="s">
        <v>546</v>
      </c>
      <c r="H358" s="15"/>
    </row>
    <row r="359" spans="2:8" x14ac:dyDescent="0.35">
      <c r="B359" s="15" t="s">
        <v>1</v>
      </c>
      <c r="C359" s="15">
        <v>215.22</v>
      </c>
      <c r="D359" s="15">
        <v>1.70023185</v>
      </c>
      <c r="E359" s="15">
        <v>1591604227.4851</v>
      </c>
      <c r="F359" s="15" t="s">
        <v>547</v>
      </c>
      <c r="G359" s="15" t="s">
        <v>546</v>
      </c>
      <c r="H359" s="15"/>
    </row>
    <row r="360" spans="2:8" x14ac:dyDescent="0.35">
      <c r="B360" s="15" t="s">
        <v>1</v>
      </c>
      <c r="C360" s="15">
        <v>215.16</v>
      </c>
      <c r="D360" s="15">
        <v>4.8415441599999998</v>
      </c>
      <c r="E360" s="15">
        <v>1591604227.8504</v>
      </c>
      <c r="F360" s="15" t="s">
        <v>547</v>
      </c>
      <c r="G360" s="15" t="s">
        <v>546</v>
      </c>
      <c r="H360" s="15"/>
    </row>
    <row r="361" spans="2:8" x14ac:dyDescent="0.35">
      <c r="B361" s="15" t="s">
        <v>1</v>
      </c>
      <c r="C361" s="15">
        <v>215.16</v>
      </c>
      <c r="D361" s="15">
        <v>25.3</v>
      </c>
      <c r="E361" s="15">
        <v>1591604227.8543999</v>
      </c>
      <c r="F361" s="15" t="s">
        <v>547</v>
      </c>
      <c r="G361" s="15" t="s">
        <v>546</v>
      </c>
      <c r="H361" s="15"/>
    </row>
    <row r="362" spans="2:8" x14ac:dyDescent="0.35">
      <c r="B362" s="15" t="s">
        <v>1</v>
      </c>
      <c r="C362" s="15">
        <v>215.16</v>
      </c>
      <c r="D362" s="15">
        <v>5.8584558400000004</v>
      </c>
      <c r="E362" s="15">
        <v>1591604227.8577001</v>
      </c>
      <c r="F362" s="15" t="s">
        <v>547</v>
      </c>
      <c r="G362" s="15" t="s">
        <v>546</v>
      </c>
      <c r="H362" s="15"/>
    </row>
    <row r="363" spans="2:8" x14ac:dyDescent="0.35">
      <c r="B363" s="15" t="s">
        <v>1</v>
      </c>
      <c r="C363" s="15">
        <v>215.16</v>
      </c>
      <c r="D363" s="15">
        <v>12.625</v>
      </c>
      <c r="E363" s="15">
        <v>1591604227.9939001</v>
      </c>
      <c r="F363" s="15" t="s">
        <v>547</v>
      </c>
      <c r="G363" s="15" t="s">
        <v>546</v>
      </c>
      <c r="H363" s="15"/>
    </row>
    <row r="364" spans="2:8" x14ac:dyDescent="0.35">
      <c r="B364" s="15" t="s">
        <v>1</v>
      </c>
      <c r="C364" s="15">
        <v>215.16</v>
      </c>
      <c r="D364" s="15">
        <v>11.375</v>
      </c>
      <c r="E364" s="15">
        <v>1591604228.0811999</v>
      </c>
      <c r="F364" s="15" t="s">
        <v>547</v>
      </c>
      <c r="G364" s="15" t="s">
        <v>546</v>
      </c>
      <c r="H364" s="15"/>
    </row>
    <row r="365" spans="2:8" x14ac:dyDescent="0.35">
      <c r="B365" s="15" t="s">
        <v>1</v>
      </c>
      <c r="C365" s="15">
        <v>215.11</v>
      </c>
      <c r="D365" s="15">
        <v>5.64</v>
      </c>
      <c r="E365" s="15">
        <v>1591604228.0836</v>
      </c>
      <c r="F365" s="15" t="s">
        <v>547</v>
      </c>
      <c r="G365" s="15" t="s">
        <v>546</v>
      </c>
      <c r="H365" s="15"/>
    </row>
    <row r="366" spans="2:8" x14ac:dyDescent="0.35">
      <c r="B366" s="15" t="s">
        <v>1</v>
      </c>
      <c r="C366" s="15">
        <v>215.08</v>
      </c>
      <c r="D366" s="15">
        <v>3.1364000000000003E-2</v>
      </c>
      <c r="E366" s="15">
        <v>1591604228.0862999</v>
      </c>
      <c r="F366" s="15" t="s">
        <v>547</v>
      </c>
      <c r="G366" s="15" t="s">
        <v>546</v>
      </c>
      <c r="H366" s="15"/>
    </row>
    <row r="367" spans="2:8" x14ac:dyDescent="0.35">
      <c r="B367" s="15" t="s">
        <v>1</v>
      </c>
      <c r="C367" s="15">
        <v>215.08</v>
      </c>
      <c r="D367" s="15">
        <v>0.71195991999999997</v>
      </c>
      <c r="E367" s="15">
        <v>1591604228.0882001</v>
      </c>
      <c r="F367" s="15" t="s">
        <v>547</v>
      </c>
      <c r="G367" s="15" t="s">
        <v>546</v>
      </c>
      <c r="H367" s="15"/>
    </row>
    <row r="368" spans="2:8" x14ac:dyDescent="0.35">
      <c r="B368" s="15" t="s">
        <v>1</v>
      </c>
      <c r="C368" s="15">
        <v>215.07</v>
      </c>
      <c r="D368" s="15">
        <v>3.55979958</v>
      </c>
      <c r="E368" s="15">
        <v>1591604228.0936999</v>
      </c>
      <c r="F368" s="15" t="s">
        <v>547</v>
      </c>
      <c r="G368" s="15" t="s">
        <v>546</v>
      </c>
      <c r="H368" s="15"/>
    </row>
    <row r="369" spans="2:8" x14ac:dyDescent="0.35">
      <c r="B369" s="15" t="s">
        <v>1</v>
      </c>
      <c r="C369" s="15">
        <v>215.01</v>
      </c>
      <c r="D369" s="15">
        <v>0.17207855</v>
      </c>
      <c r="E369" s="15">
        <v>1591604228.2442</v>
      </c>
      <c r="F369" s="15" t="s">
        <v>547</v>
      </c>
      <c r="G369" s="15" t="s">
        <v>546</v>
      </c>
      <c r="H369" s="15"/>
    </row>
    <row r="370" spans="2:8" x14ac:dyDescent="0.35">
      <c r="B370" s="15" t="s">
        <v>1</v>
      </c>
      <c r="C370" s="15">
        <v>215.01</v>
      </c>
      <c r="D370" s="15">
        <v>25</v>
      </c>
      <c r="E370" s="15">
        <v>1591604228.7790999</v>
      </c>
      <c r="F370" s="15" t="s">
        <v>547</v>
      </c>
      <c r="G370" s="15" t="s">
        <v>546</v>
      </c>
      <c r="H370" s="15"/>
    </row>
    <row r="371" spans="2:8" x14ac:dyDescent="0.35">
      <c r="B371" s="15" t="s">
        <v>1</v>
      </c>
      <c r="C371" s="15">
        <v>215.01</v>
      </c>
      <c r="D371" s="15">
        <v>34</v>
      </c>
      <c r="E371" s="15">
        <v>1591604228.7872</v>
      </c>
      <c r="F371" s="15" t="s">
        <v>547</v>
      </c>
      <c r="G371" s="15" t="s">
        <v>546</v>
      </c>
      <c r="H371" s="15"/>
    </row>
    <row r="372" spans="2:8" x14ac:dyDescent="0.35">
      <c r="B372" s="15" t="s">
        <v>1</v>
      </c>
      <c r="C372" s="15">
        <v>215.01</v>
      </c>
      <c r="D372" s="15">
        <v>91.14</v>
      </c>
      <c r="E372" s="15">
        <v>1591604228.8271</v>
      </c>
      <c r="F372" s="15" t="s">
        <v>547</v>
      </c>
      <c r="G372" s="15" t="s">
        <v>546</v>
      </c>
      <c r="H372" s="15"/>
    </row>
    <row r="373" spans="2:8" x14ac:dyDescent="0.35">
      <c r="B373" s="15" t="s">
        <v>1</v>
      </c>
      <c r="C373" s="15">
        <v>215</v>
      </c>
      <c r="D373" s="15">
        <v>1</v>
      </c>
      <c r="E373" s="15">
        <v>1591604229.3188</v>
      </c>
      <c r="F373" s="15" t="s">
        <v>547</v>
      </c>
      <c r="G373" s="15" t="s">
        <v>546</v>
      </c>
      <c r="H373" s="15"/>
    </row>
    <row r="374" spans="2:8" x14ac:dyDescent="0.35">
      <c r="B374" s="15" t="s">
        <v>1</v>
      </c>
      <c r="C374" s="15">
        <v>215</v>
      </c>
      <c r="D374" s="15">
        <v>2.1662000000000001E-2</v>
      </c>
      <c r="E374" s="15">
        <v>1591604229.3210001</v>
      </c>
      <c r="F374" s="15" t="s">
        <v>547</v>
      </c>
      <c r="G374" s="15" t="s">
        <v>546</v>
      </c>
      <c r="H374" s="15"/>
    </row>
    <row r="375" spans="2:8" x14ac:dyDescent="0.35">
      <c r="B375" s="15" t="s">
        <v>1</v>
      </c>
      <c r="C375" s="15">
        <v>215</v>
      </c>
      <c r="D375" s="15">
        <v>10</v>
      </c>
      <c r="E375" s="15">
        <v>1591604229.3232999</v>
      </c>
      <c r="F375" s="15" t="s">
        <v>547</v>
      </c>
      <c r="G375" s="15" t="s">
        <v>546</v>
      </c>
      <c r="H375" s="15"/>
    </row>
    <row r="376" spans="2:8" x14ac:dyDescent="0.35">
      <c r="B376" s="15" t="s">
        <v>1</v>
      </c>
      <c r="C376" s="15">
        <v>215</v>
      </c>
      <c r="D376" s="15">
        <v>1.8482525599999999</v>
      </c>
      <c r="E376" s="15">
        <v>1591604229.3259001</v>
      </c>
      <c r="F376" s="15" t="s">
        <v>547</v>
      </c>
      <c r="G376" s="15" t="s">
        <v>546</v>
      </c>
      <c r="H376" s="15"/>
    </row>
    <row r="377" spans="2:8" x14ac:dyDescent="0.35">
      <c r="B377" s="15" t="s">
        <v>1</v>
      </c>
      <c r="C377" s="15">
        <v>215</v>
      </c>
      <c r="D377" s="15">
        <v>4.7646510000000003E-2</v>
      </c>
      <c r="E377" s="15">
        <v>1591604229.3276</v>
      </c>
      <c r="F377" s="15" t="s">
        <v>547</v>
      </c>
      <c r="G377" s="15" t="s">
        <v>546</v>
      </c>
      <c r="H377" s="15"/>
    </row>
    <row r="378" spans="2:8" x14ac:dyDescent="0.35">
      <c r="B378" s="15" t="s">
        <v>1</v>
      </c>
      <c r="C378" s="15">
        <v>214.99</v>
      </c>
      <c r="D378" s="15">
        <v>2.4604000000000001E-2</v>
      </c>
      <c r="E378" s="15">
        <v>1591604229.3292999</v>
      </c>
      <c r="F378" s="15" t="s">
        <v>547</v>
      </c>
      <c r="G378" s="15" t="s">
        <v>546</v>
      </c>
      <c r="H378" s="15"/>
    </row>
    <row r="379" spans="2:8" x14ac:dyDescent="0.35">
      <c r="B379" s="15" t="s">
        <v>1</v>
      </c>
      <c r="C379" s="15">
        <v>214.93</v>
      </c>
      <c r="D379" s="15">
        <v>2.6578349299999999</v>
      </c>
      <c r="E379" s="15">
        <v>1591604229.3306999</v>
      </c>
      <c r="F379" s="15" t="s">
        <v>547</v>
      </c>
      <c r="G379" s="15" t="s">
        <v>546</v>
      </c>
      <c r="H379" s="15"/>
    </row>
    <row r="380" spans="2:8" x14ac:dyDescent="0.35">
      <c r="B380" s="15" t="s">
        <v>1</v>
      </c>
      <c r="C380" s="15">
        <v>214.93</v>
      </c>
      <c r="D380" s="15">
        <v>3.5221650699999998</v>
      </c>
      <c r="E380" s="15">
        <v>1591604229.5636001</v>
      </c>
      <c r="F380" s="15" t="s">
        <v>547</v>
      </c>
      <c r="G380" s="15" t="s">
        <v>546</v>
      </c>
      <c r="H380" s="15"/>
    </row>
    <row r="381" spans="2:8" x14ac:dyDescent="0.35">
      <c r="B381" s="15" t="s">
        <v>1</v>
      </c>
      <c r="C381" s="15">
        <v>214.91</v>
      </c>
      <c r="D381" s="15">
        <v>7.8545660899999996</v>
      </c>
      <c r="E381" s="15">
        <v>1591604229.7117</v>
      </c>
      <c r="F381" s="15" t="s">
        <v>545</v>
      </c>
      <c r="G381" s="15" t="s">
        <v>546</v>
      </c>
      <c r="H381" s="15"/>
    </row>
    <row r="382" spans="2:8" x14ac:dyDescent="0.35">
      <c r="B382" s="15" t="s">
        <v>1</v>
      </c>
      <c r="C382" s="15">
        <v>214.9</v>
      </c>
      <c r="D382" s="15">
        <v>1</v>
      </c>
      <c r="E382" s="15">
        <v>1591604229.7221999</v>
      </c>
      <c r="F382" s="15" t="s">
        <v>547</v>
      </c>
      <c r="G382" s="15" t="s">
        <v>548</v>
      </c>
      <c r="H382" s="15"/>
    </row>
    <row r="383" spans="2:8" x14ac:dyDescent="0.35">
      <c r="B383" s="15" t="s">
        <v>1</v>
      </c>
      <c r="C383" s="15">
        <v>214.9</v>
      </c>
      <c r="D383" s="15">
        <v>16.84</v>
      </c>
      <c r="E383" s="15">
        <v>1591604230.0386</v>
      </c>
      <c r="F383" s="15" t="s">
        <v>547</v>
      </c>
      <c r="G383" s="15" t="s">
        <v>546</v>
      </c>
      <c r="H383" s="15"/>
    </row>
    <row r="384" spans="2:8" x14ac:dyDescent="0.35">
      <c r="B384" s="15" t="s">
        <v>1</v>
      </c>
      <c r="C384" s="15">
        <v>214.9</v>
      </c>
      <c r="D384" s="15">
        <v>7.4850000000000003</v>
      </c>
      <c r="E384" s="15">
        <v>1591604230.0416</v>
      </c>
      <c r="F384" s="15" t="s">
        <v>547</v>
      </c>
      <c r="G384" s="15" t="s">
        <v>546</v>
      </c>
      <c r="H384" s="15"/>
    </row>
    <row r="385" spans="2:8" x14ac:dyDescent="0.35">
      <c r="B385" s="15" t="s">
        <v>1</v>
      </c>
      <c r="C385" s="15">
        <v>214.89</v>
      </c>
      <c r="D385" s="15">
        <v>15.515000000000001</v>
      </c>
      <c r="E385" s="15">
        <v>1591604230.0441</v>
      </c>
      <c r="F385" s="15" t="s">
        <v>547</v>
      </c>
      <c r="G385" s="15" t="s">
        <v>546</v>
      </c>
      <c r="H385" s="15"/>
    </row>
    <row r="386" spans="2:8" x14ac:dyDescent="0.35">
      <c r="B386" s="15" t="s">
        <v>1</v>
      </c>
      <c r="C386" s="15">
        <v>214.89</v>
      </c>
      <c r="D386" s="15">
        <v>20.21754</v>
      </c>
      <c r="E386" s="15">
        <v>1591604230.3608</v>
      </c>
      <c r="F386" s="15" t="s">
        <v>547</v>
      </c>
      <c r="G386" s="15" t="s">
        <v>546</v>
      </c>
      <c r="H386" s="15"/>
    </row>
    <row r="387" spans="2:8" x14ac:dyDescent="0.35">
      <c r="B387" s="15" t="s">
        <v>1</v>
      </c>
      <c r="C387" s="15">
        <v>214.89</v>
      </c>
      <c r="D387" s="15">
        <v>5.3300376099999998</v>
      </c>
      <c r="E387" s="15">
        <v>1591604230.684</v>
      </c>
      <c r="F387" s="15" t="s">
        <v>547</v>
      </c>
      <c r="G387" s="15" t="s">
        <v>546</v>
      </c>
      <c r="H387" s="15"/>
    </row>
    <row r="388" spans="2:8" x14ac:dyDescent="0.35">
      <c r="B388" s="15" t="s">
        <v>1</v>
      </c>
      <c r="C388" s="15">
        <v>214.85</v>
      </c>
      <c r="D388" s="15">
        <v>28.60996239</v>
      </c>
      <c r="E388" s="15">
        <v>1591604230.6860001</v>
      </c>
      <c r="F388" s="15" t="s">
        <v>547</v>
      </c>
      <c r="G388" s="15" t="s">
        <v>546</v>
      </c>
      <c r="H388" s="15"/>
    </row>
    <row r="389" spans="2:8" x14ac:dyDescent="0.35">
      <c r="B389" s="15" t="s">
        <v>1</v>
      </c>
      <c r="C389" s="15">
        <v>214.9</v>
      </c>
      <c r="D389" s="15">
        <v>8.2326659999999996E-2</v>
      </c>
      <c r="E389" s="15">
        <v>1591604230.8868999</v>
      </c>
      <c r="F389" s="15" t="s">
        <v>545</v>
      </c>
      <c r="G389" s="15" t="s">
        <v>546</v>
      </c>
      <c r="H389" s="15"/>
    </row>
    <row r="390" spans="2:8" x14ac:dyDescent="0.35">
      <c r="B390" s="15" t="s">
        <v>1</v>
      </c>
      <c r="C390" s="15">
        <v>214.9</v>
      </c>
      <c r="D390" s="15">
        <v>6.8745600000000004E-2</v>
      </c>
      <c r="E390" s="15">
        <v>1591604231.0539</v>
      </c>
      <c r="F390" s="15" t="s">
        <v>545</v>
      </c>
      <c r="G390" s="15" t="s">
        <v>548</v>
      </c>
      <c r="H390" s="15"/>
    </row>
    <row r="391" spans="2:8" x14ac:dyDescent="0.35">
      <c r="B391" s="15" t="s">
        <v>1</v>
      </c>
      <c r="C391" s="15">
        <v>214.86</v>
      </c>
      <c r="D391" s="15">
        <v>1.2857996700000001</v>
      </c>
      <c r="E391" s="15">
        <v>1591604231.2453001</v>
      </c>
      <c r="F391" s="15" t="s">
        <v>547</v>
      </c>
      <c r="G391" s="15" t="s">
        <v>546</v>
      </c>
      <c r="H391" s="15"/>
    </row>
    <row r="392" spans="2:8" x14ac:dyDescent="0.35">
      <c r="B392" s="15" t="s">
        <v>1</v>
      </c>
      <c r="C392" s="15">
        <v>214.76</v>
      </c>
      <c r="D392" s="15">
        <v>6.4628840000000007E-2</v>
      </c>
      <c r="E392" s="15">
        <v>1591604231.2474999</v>
      </c>
      <c r="F392" s="15" t="s">
        <v>547</v>
      </c>
      <c r="G392" s="15" t="s">
        <v>546</v>
      </c>
      <c r="H392" s="15"/>
    </row>
    <row r="393" spans="2:8" x14ac:dyDescent="0.35">
      <c r="B393" s="15" t="s">
        <v>1</v>
      </c>
      <c r="C393" s="15">
        <v>214.75</v>
      </c>
      <c r="D393" s="15">
        <v>3.8</v>
      </c>
      <c r="E393" s="15">
        <v>1591604231.2493</v>
      </c>
      <c r="F393" s="15" t="s">
        <v>547</v>
      </c>
      <c r="G393" s="15" t="s">
        <v>546</v>
      </c>
      <c r="H393" s="15"/>
    </row>
    <row r="394" spans="2:8" x14ac:dyDescent="0.35">
      <c r="B394" s="15" t="s">
        <v>1</v>
      </c>
      <c r="C394" s="15">
        <v>214.67</v>
      </c>
      <c r="D394" s="15">
        <v>5.98263035</v>
      </c>
      <c r="E394" s="15">
        <v>1591604231.2507999</v>
      </c>
      <c r="F394" s="15" t="s">
        <v>547</v>
      </c>
      <c r="G394" s="15" t="s">
        <v>546</v>
      </c>
      <c r="H394" s="15"/>
    </row>
    <row r="395" spans="2:8" x14ac:dyDescent="0.35">
      <c r="B395" s="15" t="s">
        <v>1</v>
      </c>
      <c r="C395" s="15">
        <v>214.67</v>
      </c>
      <c r="D395" s="15">
        <v>0.86694114</v>
      </c>
      <c r="E395" s="15">
        <v>1591604231.3283999</v>
      </c>
      <c r="F395" s="15" t="s">
        <v>545</v>
      </c>
      <c r="G395" s="15" t="s">
        <v>546</v>
      </c>
      <c r="H395" s="15"/>
    </row>
    <row r="396" spans="2:8" x14ac:dyDescent="0.35">
      <c r="B396" s="15" t="s">
        <v>1</v>
      </c>
      <c r="C396" s="15">
        <v>214.87</v>
      </c>
      <c r="D396" s="15">
        <v>5</v>
      </c>
      <c r="E396" s="15">
        <v>1591604231.3311</v>
      </c>
      <c r="F396" s="15" t="s">
        <v>545</v>
      </c>
      <c r="G396" s="15" t="s">
        <v>546</v>
      </c>
      <c r="H396" s="15"/>
    </row>
    <row r="397" spans="2:8" x14ac:dyDescent="0.35">
      <c r="B397" s="15" t="s">
        <v>1</v>
      </c>
      <c r="C397" s="15">
        <v>214.87</v>
      </c>
      <c r="D397" s="15">
        <v>1.9939193099999999</v>
      </c>
      <c r="E397" s="15">
        <v>1591604231.3327999</v>
      </c>
      <c r="F397" s="15" t="s">
        <v>545</v>
      </c>
      <c r="G397" s="15" t="s">
        <v>546</v>
      </c>
      <c r="H397" s="15"/>
    </row>
    <row r="398" spans="2:8" x14ac:dyDescent="0.35">
      <c r="B398" s="15" t="s">
        <v>1</v>
      </c>
      <c r="C398" s="15">
        <v>214.77</v>
      </c>
      <c r="D398" s="15">
        <v>1.7037945999999999</v>
      </c>
      <c r="E398" s="15">
        <v>1591604231.3573</v>
      </c>
      <c r="F398" s="15" t="s">
        <v>547</v>
      </c>
      <c r="G398" s="15" t="s">
        <v>546</v>
      </c>
      <c r="H398" s="15"/>
    </row>
    <row r="399" spans="2:8" x14ac:dyDescent="0.35">
      <c r="B399" s="15" t="s">
        <v>1</v>
      </c>
      <c r="C399" s="15">
        <v>214.66</v>
      </c>
      <c r="D399" s="15">
        <v>3.6771999999999999E-2</v>
      </c>
      <c r="E399" s="15">
        <v>1591604231.4129</v>
      </c>
      <c r="F399" s="15" t="s">
        <v>547</v>
      </c>
      <c r="G399" s="15" t="s">
        <v>546</v>
      </c>
      <c r="H399" s="15"/>
    </row>
    <row r="400" spans="2:8" x14ac:dyDescent="0.35">
      <c r="B400" s="15" t="s">
        <v>1</v>
      </c>
      <c r="C400" s="15">
        <v>214.66</v>
      </c>
      <c r="D400" s="15">
        <v>40.458827999999997</v>
      </c>
      <c r="E400" s="15">
        <v>1591604231.4154999</v>
      </c>
      <c r="F400" s="15" t="s">
        <v>547</v>
      </c>
      <c r="G400" s="15" t="s">
        <v>546</v>
      </c>
      <c r="H400" s="15"/>
    </row>
    <row r="401" spans="2:8" x14ac:dyDescent="0.35">
      <c r="B401" s="15" t="s">
        <v>1</v>
      </c>
      <c r="C401" s="15">
        <v>214.67</v>
      </c>
      <c r="D401" s="15">
        <v>0.86693556000000005</v>
      </c>
      <c r="E401" s="15">
        <v>1591604231.5731001</v>
      </c>
      <c r="F401" s="15" t="s">
        <v>545</v>
      </c>
      <c r="G401" s="15" t="s">
        <v>546</v>
      </c>
      <c r="H401" s="15"/>
    </row>
    <row r="402" spans="2:8" x14ac:dyDescent="0.35">
      <c r="B402" s="15" t="s">
        <v>1</v>
      </c>
      <c r="C402" s="15">
        <v>214.67</v>
      </c>
      <c r="D402" s="15">
        <v>1.7365225</v>
      </c>
      <c r="E402" s="15">
        <v>1591604231.6596</v>
      </c>
      <c r="F402" s="15" t="s">
        <v>545</v>
      </c>
      <c r="G402" s="15" t="s">
        <v>546</v>
      </c>
      <c r="H402" s="15"/>
    </row>
    <row r="403" spans="2:8" x14ac:dyDescent="0.35">
      <c r="B403" s="15" t="s">
        <v>1</v>
      </c>
      <c r="C403" s="15">
        <v>214.67</v>
      </c>
      <c r="D403" s="15">
        <v>0.42015131999999999</v>
      </c>
      <c r="E403" s="15">
        <v>1591604231.7309999</v>
      </c>
      <c r="F403" s="15" t="s">
        <v>545</v>
      </c>
      <c r="G403" s="15" t="s">
        <v>546</v>
      </c>
      <c r="H403" s="15"/>
    </row>
    <row r="404" spans="2:8" x14ac:dyDescent="0.35">
      <c r="B404" s="15" t="s">
        <v>1</v>
      </c>
      <c r="C404" s="15">
        <v>214.67</v>
      </c>
      <c r="D404" s="15">
        <v>0.50888153000000003</v>
      </c>
      <c r="E404" s="15">
        <v>1591604231.8185</v>
      </c>
      <c r="F404" s="15" t="s">
        <v>545</v>
      </c>
      <c r="G404" s="15" t="s">
        <v>546</v>
      </c>
      <c r="H404" s="15"/>
    </row>
    <row r="405" spans="2:8" x14ac:dyDescent="0.35">
      <c r="B405" s="15" t="s">
        <v>1</v>
      </c>
      <c r="C405" s="15">
        <v>214.67</v>
      </c>
      <c r="D405" s="15">
        <v>0.86694114</v>
      </c>
      <c r="E405" s="15">
        <v>1591604232.0142</v>
      </c>
      <c r="F405" s="15" t="s">
        <v>545</v>
      </c>
      <c r="G405" s="15" t="s">
        <v>546</v>
      </c>
      <c r="H405" s="15"/>
    </row>
    <row r="406" spans="2:8" x14ac:dyDescent="0.35">
      <c r="B406" s="15" t="s">
        <v>1</v>
      </c>
      <c r="C406" s="15">
        <v>214.67</v>
      </c>
      <c r="D406" s="15">
        <v>2.4995588799999999</v>
      </c>
      <c r="E406" s="15">
        <v>1591604232.3313</v>
      </c>
      <c r="F406" s="15" t="s">
        <v>545</v>
      </c>
      <c r="G406" s="15" t="s">
        <v>546</v>
      </c>
      <c r="H406" s="15"/>
    </row>
    <row r="407" spans="2:8" x14ac:dyDescent="0.35">
      <c r="B407" s="15" t="s">
        <v>1</v>
      </c>
      <c r="C407" s="15">
        <v>214.67</v>
      </c>
      <c r="D407" s="15">
        <v>1.8017058699999999</v>
      </c>
      <c r="E407" s="15">
        <v>1591604232.4491</v>
      </c>
      <c r="F407" s="15" t="s">
        <v>545</v>
      </c>
      <c r="G407" s="15" t="s">
        <v>546</v>
      </c>
      <c r="H407" s="15"/>
    </row>
    <row r="408" spans="2:8" x14ac:dyDescent="0.35">
      <c r="B408" s="15" t="s">
        <v>1</v>
      </c>
      <c r="C408" s="15">
        <v>214.66</v>
      </c>
      <c r="D408" s="15">
        <v>1.7046673800000001</v>
      </c>
      <c r="E408" s="15">
        <v>1591604232.4542999</v>
      </c>
      <c r="F408" s="15" t="s">
        <v>547</v>
      </c>
      <c r="G408" s="15" t="s">
        <v>546</v>
      </c>
      <c r="H408" s="15"/>
    </row>
    <row r="409" spans="2:8" x14ac:dyDescent="0.35">
      <c r="B409" s="15" t="s">
        <v>1</v>
      </c>
      <c r="C409" s="15">
        <v>214.66</v>
      </c>
      <c r="D409" s="15">
        <v>13.04934246</v>
      </c>
      <c r="E409" s="15">
        <v>1591604232.4558001</v>
      </c>
      <c r="F409" s="15" t="s">
        <v>547</v>
      </c>
      <c r="G409" s="15" t="s">
        <v>546</v>
      </c>
      <c r="H409" s="15"/>
    </row>
    <row r="410" spans="2:8" x14ac:dyDescent="0.35">
      <c r="B410" s="15" t="s">
        <v>1</v>
      </c>
      <c r="C410" s="15">
        <v>214.66</v>
      </c>
      <c r="D410" s="15">
        <v>3.8</v>
      </c>
      <c r="E410" s="15">
        <v>1591604233.2409999</v>
      </c>
      <c r="F410" s="15" t="s">
        <v>547</v>
      </c>
      <c r="G410" s="15" t="s">
        <v>546</v>
      </c>
      <c r="H410" s="15"/>
    </row>
    <row r="411" spans="2:8" x14ac:dyDescent="0.35">
      <c r="B411" s="15" t="s">
        <v>1</v>
      </c>
      <c r="C411" s="15">
        <v>214.66</v>
      </c>
      <c r="D411" s="15">
        <v>11.2</v>
      </c>
      <c r="E411" s="15">
        <v>1591604233.2447</v>
      </c>
      <c r="F411" s="15" t="s">
        <v>547</v>
      </c>
      <c r="G411" s="15" t="s">
        <v>546</v>
      </c>
      <c r="H411" s="15"/>
    </row>
    <row r="412" spans="2:8" x14ac:dyDescent="0.35">
      <c r="B412" s="15" t="s">
        <v>1</v>
      </c>
      <c r="C412" s="15">
        <v>214.66</v>
      </c>
      <c r="D412" s="15">
        <v>10</v>
      </c>
      <c r="E412" s="15">
        <v>1591604233.4617</v>
      </c>
      <c r="F412" s="15" t="s">
        <v>547</v>
      </c>
      <c r="G412" s="15" t="s">
        <v>546</v>
      </c>
      <c r="H412" s="15"/>
    </row>
    <row r="413" spans="2:8" x14ac:dyDescent="0.35">
      <c r="B413" s="15" t="s">
        <v>1</v>
      </c>
      <c r="C413" s="15">
        <v>214.67</v>
      </c>
      <c r="D413" s="15">
        <v>8.2418699999999998E-2</v>
      </c>
      <c r="E413" s="15">
        <v>1591604234.7497001</v>
      </c>
      <c r="F413" s="15" t="s">
        <v>545</v>
      </c>
      <c r="G413" s="15" t="s">
        <v>546</v>
      </c>
      <c r="H413" s="15"/>
    </row>
    <row r="414" spans="2:8" x14ac:dyDescent="0.35">
      <c r="B414" s="15" t="s">
        <v>1</v>
      </c>
      <c r="C414" s="15">
        <v>214.67</v>
      </c>
      <c r="D414" s="15">
        <v>0.95154665999999999</v>
      </c>
      <c r="E414" s="15">
        <v>1591604235.4493001</v>
      </c>
      <c r="F414" s="15" t="s">
        <v>545</v>
      </c>
      <c r="G414" s="15" t="s">
        <v>546</v>
      </c>
      <c r="H414" s="15"/>
    </row>
    <row r="415" spans="2:8" x14ac:dyDescent="0.35">
      <c r="B415" s="15" t="s">
        <v>1</v>
      </c>
      <c r="C415" s="15">
        <v>214.67</v>
      </c>
      <c r="D415" s="15">
        <v>23.969000000000001</v>
      </c>
      <c r="E415" s="15">
        <v>1591604235.4535</v>
      </c>
      <c r="F415" s="15" t="s">
        <v>545</v>
      </c>
      <c r="G415" s="15" t="s">
        <v>546</v>
      </c>
      <c r="H415" s="15"/>
    </row>
    <row r="416" spans="2:8" x14ac:dyDescent="0.35">
      <c r="B416" s="15" t="s">
        <v>1</v>
      </c>
      <c r="C416" s="15">
        <v>214.67</v>
      </c>
      <c r="D416" s="15">
        <v>5.9469472200000002</v>
      </c>
      <c r="E416" s="15">
        <v>1591604235.4565001</v>
      </c>
      <c r="F416" s="15" t="s">
        <v>545</v>
      </c>
      <c r="G416" s="15" t="s">
        <v>546</v>
      </c>
      <c r="H416" s="15"/>
    </row>
    <row r="417" spans="2:8" x14ac:dyDescent="0.35">
      <c r="B417" s="15" t="s">
        <v>1</v>
      </c>
      <c r="C417" s="15">
        <v>214.67</v>
      </c>
      <c r="D417" s="15">
        <v>34.764983880000003</v>
      </c>
      <c r="E417" s="15">
        <v>1591604235.4577999</v>
      </c>
      <c r="F417" s="15" t="s">
        <v>545</v>
      </c>
      <c r="G417" s="15" t="s">
        <v>546</v>
      </c>
      <c r="H417" s="15"/>
    </row>
    <row r="418" spans="2:8" x14ac:dyDescent="0.35">
      <c r="B418" s="15" t="s">
        <v>1</v>
      </c>
      <c r="C418" s="15">
        <v>214.67</v>
      </c>
      <c r="D418" s="15">
        <v>19.137522239999999</v>
      </c>
      <c r="E418" s="15">
        <v>1591604235.4593</v>
      </c>
      <c r="F418" s="15" t="s">
        <v>545</v>
      </c>
      <c r="G418" s="15" t="s">
        <v>546</v>
      </c>
      <c r="H418" s="15"/>
    </row>
    <row r="419" spans="2:8" x14ac:dyDescent="0.35">
      <c r="B419" s="15" t="s">
        <v>1</v>
      </c>
      <c r="C419" s="15">
        <v>214.68</v>
      </c>
      <c r="D419" s="15">
        <v>8.0060806899999992</v>
      </c>
      <c r="E419" s="15">
        <v>1591604237.2363</v>
      </c>
      <c r="F419" s="15" t="s">
        <v>545</v>
      </c>
      <c r="G419" s="15" t="s">
        <v>546</v>
      </c>
      <c r="H419" s="15"/>
    </row>
    <row r="420" spans="2:8" x14ac:dyDescent="0.35">
      <c r="B420" s="15" t="s">
        <v>1</v>
      </c>
      <c r="C420" s="15">
        <v>214.68</v>
      </c>
      <c r="D420" s="15">
        <v>7.5939193100000004</v>
      </c>
      <c r="E420" s="15">
        <v>1591604237.2388</v>
      </c>
      <c r="F420" s="15" t="s">
        <v>545</v>
      </c>
      <c r="G420" s="15" t="s">
        <v>546</v>
      </c>
      <c r="H420" s="15"/>
    </row>
    <row r="421" spans="2:8" x14ac:dyDescent="0.35">
      <c r="B421" s="15" t="s">
        <v>1</v>
      </c>
      <c r="C421" s="15">
        <v>214.7</v>
      </c>
      <c r="D421" s="15">
        <v>1.9970000000000001</v>
      </c>
      <c r="E421" s="15">
        <v>1591604238.5497999</v>
      </c>
      <c r="F421" s="15" t="s">
        <v>545</v>
      </c>
      <c r="G421" s="15" t="s">
        <v>546</v>
      </c>
      <c r="H421" s="15"/>
    </row>
    <row r="422" spans="2:8" x14ac:dyDescent="0.35">
      <c r="B422" s="15" t="s">
        <v>1</v>
      </c>
      <c r="C422" s="15">
        <v>214.9</v>
      </c>
      <c r="D422" s="15">
        <v>0.2</v>
      </c>
      <c r="E422" s="15">
        <v>1591604240.5502</v>
      </c>
      <c r="F422" s="15" t="s">
        <v>545</v>
      </c>
      <c r="G422" s="15" t="s">
        <v>548</v>
      </c>
      <c r="H422" s="15"/>
    </row>
    <row r="423" spans="2:8" x14ac:dyDescent="0.35">
      <c r="B423" s="15" t="s">
        <v>1</v>
      </c>
      <c r="C423" s="15">
        <v>214.9</v>
      </c>
      <c r="D423" s="15">
        <v>1.7969999999999999</v>
      </c>
      <c r="E423" s="15">
        <v>1591604241.2499001</v>
      </c>
      <c r="F423" s="15" t="s">
        <v>545</v>
      </c>
      <c r="G423" s="15" t="s">
        <v>546</v>
      </c>
      <c r="H423" s="15"/>
    </row>
    <row r="424" spans="2:8" x14ac:dyDescent="0.35">
      <c r="B424" s="15" t="s">
        <v>1</v>
      </c>
      <c r="C424" s="15">
        <v>214.99</v>
      </c>
      <c r="D424" s="15">
        <v>5.3134092800000001</v>
      </c>
      <c r="E424" s="15">
        <v>1591604241.253</v>
      </c>
      <c r="F424" s="15" t="s">
        <v>545</v>
      </c>
      <c r="G424" s="15" t="s">
        <v>546</v>
      </c>
      <c r="H424" s="15"/>
    </row>
    <row r="425" spans="2:8" x14ac:dyDescent="0.35">
      <c r="B425" s="15" t="s">
        <v>1</v>
      </c>
      <c r="C425" s="15">
        <v>214.99</v>
      </c>
      <c r="D425" s="15">
        <v>4.6519000000000004</v>
      </c>
      <c r="E425" s="15">
        <v>1591604242.7885001</v>
      </c>
      <c r="F425" s="15" t="s">
        <v>545</v>
      </c>
      <c r="G425" s="15" t="s">
        <v>546</v>
      </c>
      <c r="H425" s="15"/>
    </row>
    <row r="426" spans="2:8" x14ac:dyDescent="0.35">
      <c r="B426" s="15" t="s">
        <v>1</v>
      </c>
      <c r="C426" s="15">
        <v>215.39</v>
      </c>
      <c r="D426" s="15">
        <v>3.9274789999999999</v>
      </c>
      <c r="E426" s="15">
        <v>1591604252.5474999</v>
      </c>
      <c r="F426" s="15" t="s">
        <v>545</v>
      </c>
      <c r="G426" s="15" t="s">
        <v>548</v>
      </c>
      <c r="H426" s="15"/>
    </row>
    <row r="427" spans="2:8" x14ac:dyDescent="0.35">
      <c r="B427" s="15" t="s">
        <v>1</v>
      </c>
      <c r="C427" s="15">
        <v>215.02</v>
      </c>
      <c r="D427" s="15">
        <v>4.6300000000000001E-2</v>
      </c>
      <c r="E427" s="15">
        <v>1591604289.3863001</v>
      </c>
      <c r="F427" s="15" t="s">
        <v>545</v>
      </c>
      <c r="G427" s="15" t="s">
        <v>548</v>
      </c>
      <c r="H427" s="15"/>
    </row>
    <row r="428" spans="2:8" x14ac:dyDescent="0.35">
      <c r="B428" s="15" t="s">
        <v>1</v>
      </c>
      <c r="C428" s="15">
        <v>214.94</v>
      </c>
      <c r="D428" s="15">
        <v>5.53</v>
      </c>
      <c r="E428" s="15">
        <v>1591604294.4524</v>
      </c>
      <c r="F428" s="15" t="s">
        <v>547</v>
      </c>
      <c r="G428" s="15" t="s">
        <v>546</v>
      </c>
      <c r="H428" s="15"/>
    </row>
    <row r="429" spans="2:8" x14ac:dyDescent="0.35">
      <c r="B429" s="15" t="s">
        <v>1</v>
      </c>
      <c r="C429" s="15">
        <v>214.8</v>
      </c>
      <c r="D429" s="15">
        <v>0.6</v>
      </c>
      <c r="E429" s="15">
        <v>1591604320.7316999</v>
      </c>
      <c r="F429" s="15" t="s">
        <v>545</v>
      </c>
      <c r="G429" s="15" t="s">
        <v>548</v>
      </c>
      <c r="H429" s="15"/>
    </row>
    <row r="430" spans="2:8" x14ac:dyDescent="0.35">
      <c r="B430" s="15" t="s">
        <v>1</v>
      </c>
      <c r="C430" s="15">
        <v>214.76</v>
      </c>
      <c r="D430" s="15">
        <v>0.46688893999999997</v>
      </c>
      <c r="E430" s="15">
        <v>1591604321.244</v>
      </c>
      <c r="F430" s="15" t="s">
        <v>547</v>
      </c>
      <c r="G430" s="15" t="s">
        <v>546</v>
      </c>
      <c r="H430" s="15"/>
    </row>
    <row r="431" spans="2:8" x14ac:dyDescent="0.35">
      <c r="B431" s="15" t="s">
        <v>1</v>
      </c>
      <c r="C431" s="15">
        <v>214.75</v>
      </c>
      <c r="D431" s="15">
        <v>4.6562521800000001</v>
      </c>
      <c r="E431" s="15">
        <v>1591604326.7025001</v>
      </c>
      <c r="F431" s="15" t="s">
        <v>547</v>
      </c>
      <c r="G431" s="15" t="s">
        <v>548</v>
      </c>
      <c r="H431" s="15"/>
    </row>
    <row r="432" spans="2:8" x14ac:dyDescent="0.35">
      <c r="B432" s="15" t="s">
        <v>1</v>
      </c>
      <c r="C432" s="15">
        <v>214.74</v>
      </c>
      <c r="D432" s="15">
        <v>1</v>
      </c>
      <c r="E432" s="15">
        <v>1591604326.7121</v>
      </c>
      <c r="F432" s="15" t="s">
        <v>547</v>
      </c>
      <c r="G432" s="15" t="s">
        <v>548</v>
      </c>
      <c r="H432" s="15"/>
    </row>
    <row r="433" spans="2:8" x14ac:dyDescent="0.35">
      <c r="B433" s="15" t="s">
        <v>1</v>
      </c>
      <c r="C433" s="15">
        <v>214.72</v>
      </c>
      <c r="D433" s="15">
        <v>1.3416050900000001</v>
      </c>
      <c r="E433" s="15">
        <v>1591604326.7142</v>
      </c>
      <c r="F433" s="15" t="s">
        <v>547</v>
      </c>
      <c r="G433" s="15" t="s">
        <v>548</v>
      </c>
      <c r="H433" s="15"/>
    </row>
    <row r="434" spans="2:8" x14ac:dyDescent="0.35">
      <c r="B434" s="15" t="s">
        <v>1</v>
      </c>
      <c r="C434" s="15">
        <v>214.72</v>
      </c>
      <c r="D434" s="15">
        <v>2.1427299999999998E-3</v>
      </c>
      <c r="E434" s="15">
        <v>1591604326.7163</v>
      </c>
      <c r="F434" s="15" t="s">
        <v>547</v>
      </c>
      <c r="G434" s="15" t="s">
        <v>548</v>
      </c>
      <c r="H434" s="15"/>
    </row>
    <row r="435" spans="2:8" x14ac:dyDescent="0.35">
      <c r="B435" s="15" t="s">
        <v>1</v>
      </c>
      <c r="C435" s="15">
        <v>214.79</v>
      </c>
      <c r="D435" s="15">
        <v>0.40042596000000003</v>
      </c>
      <c r="E435" s="15">
        <v>1591604340.3297999</v>
      </c>
      <c r="F435" s="15" t="s">
        <v>547</v>
      </c>
      <c r="G435" s="15" t="s">
        <v>546</v>
      </c>
      <c r="H435" s="15"/>
    </row>
    <row r="436" spans="2:8" x14ac:dyDescent="0.35">
      <c r="B436" s="15" t="s">
        <v>1</v>
      </c>
      <c r="C436" s="15">
        <v>214.79</v>
      </c>
      <c r="D436" s="15">
        <v>1.03404E-3</v>
      </c>
      <c r="E436" s="15">
        <v>1591604340.335</v>
      </c>
      <c r="F436" s="15" t="s">
        <v>547</v>
      </c>
      <c r="G436" s="15" t="s">
        <v>546</v>
      </c>
      <c r="H436" s="15"/>
    </row>
    <row r="437" spans="2:8" x14ac:dyDescent="0.35">
      <c r="B437" s="15" t="s">
        <v>1</v>
      </c>
      <c r="C437" s="15">
        <v>214.97</v>
      </c>
      <c r="D437" s="15">
        <v>3.1250409999999999E-2</v>
      </c>
      <c r="E437" s="15">
        <v>1591604348.0239999</v>
      </c>
      <c r="F437" s="15" t="s">
        <v>547</v>
      </c>
      <c r="G437" s="15" t="s">
        <v>546</v>
      </c>
      <c r="H437" s="15"/>
    </row>
    <row r="438" spans="2:8" x14ac:dyDescent="0.35">
      <c r="B438" s="15" t="s">
        <v>1</v>
      </c>
      <c r="C438" s="15">
        <v>214.97</v>
      </c>
      <c r="D438" s="15">
        <v>8.1039999999999997E-5</v>
      </c>
      <c r="E438" s="15">
        <v>1591604348.0513999</v>
      </c>
      <c r="F438" s="15" t="s">
        <v>547</v>
      </c>
      <c r="G438" s="15" t="s">
        <v>546</v>
      </c>
      <c r="H438" s="15"/>
    </row>
    <row r="439" spans="2:8" x14ac:dyDescent="0.35">
      <c r="B439" s="15" t="s">
        <v>1</v>
      </c>
      <c r="C439" s="15">
        <v>214.97</v>
      </c>
      <c r="D439" s="15">
        <v>2.1E-7</v>
      </c>
      <c r="E439" s="15">
        <v>1591604348.0555</v>
      </c>
      <c r="F439" s="15" t="s">
        <v>547</v>
      </c>
      <c r="G439" s="15" t="s">
        <v>546</v>
      </c>
      <c r="H439" s="15"/>
    </row>
    <row r="440" spans="2:8" x14ac:dyDescent="0.35">
      <c r="B440" s="15" t="s">
        <v>1</v>
      </c>
      <c r="C440" s="15">
        <v>215.08</v>
      </c>
      <c r="D440" s="15">
        <v>0.46765885000000001</v>
      </c>
      <c r="E440" s="15">
        <v>1591604354.3117001</v>
      </c>
      <c r="F440" s="15" t="s">
        <v>547</v>
      </c>
      <c r="G440" s="15" t="s">
        <v>546</v>
      </c>
      <c r="H440" s="15"/>
    </row>
    <row r="441" spans="2:8" x14ac:dyDescent="0.35">
      <c r="B441" s="15" t="s">
        <v>1</v>
      </c>
      <c r="C441" s="15">
        <v>214.99</v>
      </c>
      <c r="D441" s="15">
        <v>2.77494</v>
      </c>
      <c r="E441" s="15">
        <v>1591604367.9026999</v>
      </c>
      <c r="F441" s="15" t="s">
        <v>547</v>
      </c>
      <c r="G441" s="15" t="s">
        <v>546</v>
      </c>
      <c r="H441" s="15"/>
    </row>
    <row r="442" spans="2:8" x14ac:dyDescent="0.35">
      <c r="B442" s="15" t="s">
        <v>1</v>
      </c>
      <c r="C442" s="15">
        <v>215</v>
      </c>
      <c r="D442" s="15">
        <v>0.45581937</v>
      </c>
      <c r="E442" s="15">
        <v>1591604377.4526</v>
      </c>
      <c r="F442" s="15" t="s">
        <v>545</v>
      </c>
      <c r="G442" s="15" t="s">
        <v>546</v>
      </c>
      <c r="H442" s="15"/>
    </row>
    <row r="443" spans="2:8" x14ac:dyDescent="0.35">
      <c r="B443" s="15" t="s">
        <v>1</v>
      </c>
      <c r="C443" s="15">
        <v>215</v>
      </c>
      <c r="D443" s="15">
        <v>0.84899999999999998</v>
      </c>
      <c r="E443" s="15">
        <v>1591604387.5675001</v>
      </c>
      <c r="F443" s="15" t="s">
        <v>545</v>
      </c>
      <c r="G443" s="15" t="s">
        <v>548</v>
      </c>
      <c r="H443" s="15"/>
    </row>
    <row r="444" spans="2:8" x14ac:dyDescent="0.35">
      <c r="B444" s="15" t="s">
        <v>1</v>
      </c>
      <c r="C444" s="15">
        <v>215.06</v>
      </c>
      <c r="D444" s="15">
        <v>5.9248440000000002</v>
      </c>
      <c r="E444" s="15">
        <v>1591604387.5753</v>
      </c>
      <c r="F444" s="15" t="s">
        <v>545</v>
      </c>
      <c r="G444" s="15" t="s">
        <v>548</v>
      </c>
      <c r="H444" s="15"/>
    </row>
    <row r="445" spans="2:8" x14ac:dyDescent="0.35">
      <c r="B445" s="15" t="s">
        <v>1</v>
      </c>
      <c r="C445" s="15">
        <v>214.91</v>
      </c>
      <c r="D445" s="15">
        <v>1.50988096</v>
      </c>
      <c r="E445" s="15">
        <v>1591604414.8752999</v>
      </c>
      <c r="F445" s="15" t="s">
        <v>545</v>
      </c>
      <c r="G445" s="15" t="s">
        <v>548</v>
      </c>
      <c r="H445" s="15"/>
    </row>
    <row r="446" spans="2:8" x14ac:dyDescent="0.35">
      <c r="B446" s="15" t="s">
        <v>1</v>
      </c>
      <c r="C446" s="15">
        <v>214.9</v>
      </c>
      <c r="D446" s="15">
        <v>0.52200000000000002</v>
      </c>
      <c r="E446" s="15">
        <v>1591604437.1112001</v>
      </c>
      <c r="F446" s="15" t="s">
        <v>545</v>
      </c>
      <c r="G446" s="15" t="s">
        <v>548</v>
      </c>
      <c r="H446" s="15"/>
    </row>
    <row r="447" spans="2:8" x14ac:dyDescent="0.35">
      <c r="B447" s="15" t="s">
        <v>1</v>
      </c>
      <c r="C447" s="15">
        <v>214.95</v>
      </c>
      <c r="D447" s="15">
        <v>1.105</v>
      </c>
      <c r="E447" s="15">
        <v>1591604437.1242001</v>
      </c>
      <c r="F447" s="15" t="s">
        <v>545</v>
      </c>
      <c r="G447" s="15" t="s">
        <v>548</v>
      </c>
      <c r="H447" s="15"/>
    </row>
    <row r="448" spans="2:8" x14ac:dyDescent="0.35">
      <c r="B448" s="15" t="s">
        <v>1</v>
      </c>
      <c r="C448" s="15">
        <v>215.03</v>
      </c>
      <c r="D448" s="15">
        <v>4.2215269999999999E-2</v>
      </c>
      <c r="E448" s="15">
        <v>1591604469.7491</v>
      </c>
      <c r="F448" s="15" t="s">
        <v>545</v>
      </c>
      <c r="G448" s="15" t="s">
        <v>548</v>
      </c>
      <c r="H448" s="15"/>
    </row>
    <row r="449" spans="2:8" x14ac:dyDescent="0.35">
      <c r="B449" s="15" t="s">
        <v>1</v>
      </c>
      <c r="C449" s="15">
        <v>215.02</v>
      </c>
      <c r="D449" s="15">
        <v>2.6231797399999999</v>
      </c>
      <c r="E449" s="15">
        <v>1591604484.8469</v>
      </c>
      <c r="F449" s="15" t="s">
        <v>547</v>
      </c>
      <c r="G449" s="15" t="s">
        <v>546</v>
      </c>
      <c r="H449" s="15"/>
    </row>
    <row r="450" spans="2:8" x14ac:dyDescent="0.35">
      <c r="B450" s="15" t="s">
        <v>1</v>
      </c>
      <c r="C450" s="15">
        <v>215.02</v>
      </c>
      <c r="D450" s="15">
        <v>6.8025799999999999E-3</v>
      </c>
      <c r="E450" s="15">
        <v>1591604484.8494999</v>
      </c>
      <c r="F450" s="15" t="s">
        <v>547</v>
      </c>
      <c r="G450" s="15" t="s">
        <v>546</v>
      </c>
      <c r="H450" s="15"/>
    </row>
    <row r="451" spans="2:8" x14ac:dyDescent="0.35">
      <c r="B451" s="15" t="s">
        <v>1</v>
      </c>
      <c r="C451" s="15">
        <v>215.02</v>
      </c>
      <c r="D451" s="15">
        <v>1.7640000000000001E-5</v>
      </c>
      <c r="E451" s="15">
        <v>1591604484.8525</v>
      </c>
      <c r="F451" s="15" t="s">
        <v>547</v>
      </c>
      <c r="G451" s="15" t="s">
        <v>546</v>
      </c>
      <c r="H451" s="15"/>
    </row>
    <row r="452" spans="2:8" x14ac:dyDescent="0.35">
      <c r="B452" s="15" t="s">
        <v>1</v>
      </c>
      <c r="C452" s="15">
        <v>215.02</v>
      </c>
      <c r="D452" s="15">
        <v>0.11084140000000001</v>
      </c>
      <c r="E452" s="15">
        <v>1591604487.0769</v>
      </c>
      <c r="F452" s="15" t="s">
        <v>547</v>
      </c>
      <c r="G452" s="15" t="s">
        <v>546</v>
      </c>
      <c r="H452" s="15"/>
    </row>
    <row r="453" spans="2:8" x14ac:dyDescent="0.35">
      <c r="B453" s="15" t="s">
        <v>1</v>
      </c>
      <c r="C453" s="15">
        <v>215.03</v>
      </c>
      <c r="D453" s="15">
        <v>59.95778473</v>
      </c>
      <c r="E453" s="15">
        <v>1591604493.7842</v>
      </c>
      <c r="F453" s="15" t="s">
        <v>545</v>
      </c>
      <c r="G453" s="15" t="s">
        <v>546</v>
      </c>
      <c r="H453" s="15"/>
    </row>
    <row r="454" spans="2:8" x14ac:dyDescent="0.35">
      <c r="B454" s="15" t="s">
        <v>1</v>
      </c>
      <c r="C454" s="15">
        <v>215.03</v>
      </c>
      <c r="D454" s="15">
        <v>20.04221527</v>
      </c>
      <c r="E454" s="15">
        <v>1591604493.789</v>
      </c>
      <c r="F454" s="15" t="s">
        <v>545</v>
      </c>
      <c r="G454" s="15" t="s">
        <v>546</v>
      </c>
      <c r="H454" s="15"/>
    </row>
    <row r="455" spans="2:8" x14ac:dyDescent="0.35">
      <c r="B455" s="15" t="s">
        <v>1</v>
      </c>
      <c r="C455" s="15">
        <v>215.02</v>
      </c>
      <c r="D455" s="15">
        <v>0.02</v>
      </c>
      <c r="E455" s="15">
        <v>1591604502.6234</v>
      </c>
      <c r="F455" s="15" t="s">
        <v>547</v>
      </c>
      <c r="G455" s="15" t="s">
        <v>548</v>
      </c>
      <c r="H455" s="15"/>
    </row>
    <row r="456" spans="2:8" x14ac:dyDescent="0.35">
      <c r="B456" s="15" t="s">
        <v>1</v>
      </c>
      <c r="C456" s="15">
        <v>215.02</v>
      </c>
      <c r="D456" s="15">
        <v>3.0662828200000001</v>
      </c>
      <c r="E456" s="15">
        <v>1591604507.1608</v>
      </c>
      <c r="F456" s="15" t="s">
        <v>547</v>
      </c>
      <c r="G456" s="15" t="s">
        <v>546</v>
      </c>
      <c r="H456" s="15"/>
    </row>
    <row r="457" spans="2:8" x14ac:dyDescent="0.35">
      <c r="B457" s="15" t="s">
        <v>1</v>
      </c>
      <c r="C457" s="15">
        <v>215.02</v>
      </c>
      <c r="D457" s="15">
        <v>21.318123499999999</v>
      </c>
      <c r="E457" s="15">
        <v>1591604507.1675</v>
      </c>
      <c r="F457" s="15" t="s">
        <v>547</v>
      </c>
      <c r="G457" s="15" t="s">
        <v>546</v>
      </c>
      <c r="H457" s="15"/>
    </row>
    <row r="458" spans="2:8" x14ac:dyDescent="0.35">
      <c r="B458" s="15" t="s">
        <v>1</v>
      </c>
      <c r="C458" s="15">
        <v>215.02</v>
      </c>
      <c r="D458" s="15">
        <v>13.26559368</v>
      </c>
      <c r="E458" s="15">
        <v>1591604507.1703</v>
      </c>
      <c r="F458" s="15" t="s">
        <v>547</v>
      </c>
      <c r="G458" s="15" t="s">
        <v>546</v>
      </c>
      <c r="H458" s="15"/>
    </row>
    <row r="459" spans="2:8" x14ac:dyDescent="0.35">
      <c r="B459" s="15" t="s">
        <v>1</v>
      </c>
      <c r="C459" s="15">
        <v>214.93</v>
      </c>
      <c r="D459" s="15">
        <v>0.28254245</v>
      </c>
      <c r="E459" s="15">
        <v>1591604520.7788999</v>
      </c>
      <c r="F459" s="15" t="s">
        <v>547</v>
      </c>
      <c r="G459" s="15" t="s">
        <v>548</v>
      </c>
      <c r="H459" s="15"/>
    </row>
    <row r="460" spans="2:8" x14ac:dyDescent="0.35">
      <c r="B460" s="15" t="s">
        <v>1</v>
      </c>
      <c r="C460" s="15">
        <v>214.93</v>
      </c>
      <c r="D460" s="15">
        <v>1.6117600000000001</v>
      </c>
      <c r="E460" s="15">
        <v>1591604525.2032001</v>
      </c>
      <c r="F460" s="15" t="s">
        <v>547</v>
      </c>
      <c r="G460" s="15" t="s">
        <v>548</v>
      </c>
      <c r="H460" s="15"/>
    </row>
    <row r="461" spans="2:8" x14ac:dyDescent="0.35">
      <c r="B461" s="15" t="s">
        <v>1</v>
      </c>
      <c r="C461" s="15">
        <v>215.09</v>
      </c>
      <c r="D461" s="15">
        <v>0.02</v>
      </c>
      <c r="E461" s="15">
        <v>1591604581.2451999</v>
      </c>
      <c r="F461" s="15" t="s">
        <v>545</v>
      </c>
      <c r="G461" s="15" t="s">
        <v>548</v>
      </c>
      <c r="H461" s="15"/>
    </row>
    <row r="462" spans="2:8" x14ac:dyDescent="0.35">
      <c r="B462" s="15" t="s">
        <v>1</v>
      </c>
      <c r="C462" s="15">
        <v>215.07</v>
      </c>
      <c r="D462" s="15">
        <v>9.2983850000000007E-2</v>
      </c>
      <c r="E462" s="15">
        <v>1591604587.5497999</v>
      </c>
      <c r="F462" s="15" t="s">
        <v>547</v>
      </c>
      <c r="G462" s="15" t="s">
        <v>548</v>
      </c>
      <c r="H462" s="15"/>
    </row>
    <row r="463" spans="2:8" x14ac:dyDescent="0.35">
      <c r="B463" s="15" t="s">
        <v>1</v>
      </c>
      <c r="C463" s="15">
        <v>215.09</v>
      </c>
      <c r="D463" s="15">
        <v>2.9423697600000001</v>
      </c>
      <c r="E463" s="15">
        <v>1591604656.6382999</v>
      </c>
      <c r="F463" s="15" t="s">
        <v>547</v>
      </c>
      <c r="G463" s="15" t="s">
        <v>546</v>
      </c>
      <c r="H463" s="15"/>
    </row>
    <row r="464" spans="2:8" x14ac:dyDescent="0.35">
      <c r="B464" s="15" t="s">
        <v>1</v>
      </c>
      <c r="C464" s="15">
        <v>215.09</v>
      </c>
      <c r="D464" s="15">
        <v>0.21040628</v>
      </c>
      <c r="E464" s="15">
        <v>1591604656.6515</v>
      </c>
      <c r="F464" s="15" t="s">
        <v>547</v>
      </c>
      <c r="G464" s="15" t="s">
        <v>546</v>
      </c>
      <c r="H464" s="15"/>
    </row>
    <row r="465" spans="2:8" x14ac:dyDescent="0.35">
      <c r="B465" s="15" t="s">
        <v>1</v>
      </c>
      <c r="C465" s="15">
        <v>215.09</v>
      </c>
      <c r="D465" s="15">
        <v>5.4396000000000002E-4</v>
      </c>
      <c r="E465" s="15">
        <v>1591604656.6537001</v>
      </c>
      <c r="F465" s="15" t="s">
        <v>547</v>
      </c>
      <c r="G465" s="15" t="s">
        <v>546</v>
      </c>
      <c r="H465" s="15"/>
    </row>
    <row r="466" spans="2:8" x14ac:dyDescent="0.35">
      <c r="B466" s="15" t="s">
        <v>1</v>
      </c>
      <c r="C466" s="15">
        <v>215.09</v>
      </c>
      <c r="D466" s="15">
        <v>0.84667999999999999</v>
      </c>
      <c r="E466" s="15">
        <v>1591604656.7901001</v>
      </c>
      <c r="F466" s="15" t="s">
        <v>547</v>
      </c>
      <c r="G466" s="15" t="s">
        <v>546</v>
      </c>
      <c r="H466" s="15"/>
    </row>
    <row r="467" spans="2:8" x14ac:dyDescent="0.35">
      <c r="B467" s="15" t="s">
        <v>1</v>
      </c>
      <c r="C467" s="15">
        <v>215.09</v>
      </c>
      <c r="D467" s="15">
        <v>0.15332000000000001</v>
      </c>
      <c r="E467" s="15">
        <v>1591604656.7951</v>
      </c>
      <c r="F467" s="15" t="s">
        <v>547</v>
      </c>
      <c r="G467" s="15" t="s">
        <v>546</v>
      </c>
      <c r="H467" s="15"/>
    </row>
    <row r="468" spans="2:8" x14ac:dyDescent="0.35">
      <c r="B468" s="15" t="s">
        <v>1</v>
      </c>
      <c r="C468" s="15">
        <v>215.1</v>
      </c>
      <c r="D468" s="15">
        <v>4.6143620000000003E-2</v>
      </c>
      <c r="E468" s="15">
        <v>1591604669.3785999</v>
      </c>
      <c r="F468" s="15" t="s">
        <v>545</v>
      </c>
      <c r="G468" s="15" t="s">
        <v>548</v>
      </c>
      <c r="H468" s="15"/>
    </row>
    <row r="469" spans="2:8" x14ac:dyDescent="0.35">
      <c r="B469" s="15" t="s">
        <v>1</v>
      </c>
      <c r="C469" s="15">
        <v>215.09</v>
      </c>
      <c r="D469" s="15">
        <v>0.44723000000000002</v>
      </c>
      <c r="E469" s="15">
        <v>1591604687.3887999</v>
      </c>
      <c r="F469" s="15" t="s">
        <v>547</v>
      </c>
      <c r="G469" s="15" t="s">
        <v>546</v>
      </c>
      <c r="H469" s="15"/>
    </row>
    <row r="470" spans="2:8" x14ac:dyDescent="0.35">
      <c r="B470" s="15" t="s">
        <v>1</v>
      </c>
      <c r="C470" s="15">
        <v>215.1</v>
      </c>
      <c r="D470" s="15">
        <v>0.15385637999999999</v>
      </c>
      <c r="E470" s="15">
        <v>1591604692.1737001</v>
      </c>
      <c r="F470" s="15" t="s">
        <v>545</v>
      </c>
      <c r="G470" s="15" t="s">
        <v>546</v>
      </c>
      <c r="H470" s="15"/>
    </row>
    <row r="471" spans="2:8" x14ac:dyDescent="0.35">
      <c r="B471" s="15" t="s">
        <v>1</v>
      </c>
      <c r="C471" s="15">
        <v>215.1</v>
      </c>
      <c r="D471" s="15">
        <v>5.354486E-2</v>
      </c>
      <c r="E471" s="15">
        <v>1591604692.1809001</v>
      </c>
      <c r="F471" s="15" t="s">
        <v>545</v>
      </c>
      <c r="G471" s="15" t="s">
        <v>546</v>
      </c>
      <c r="H471" s="15"/>
    </row>
    <row r="472" spans="2:8" x14ac:dyDescent="0.35">
      <c r="B472" s="15" t="s">
        <v>1</v>
      </c>
      <c r="C472" s="15">
        <v>215.14</v>
      </c>
      <c r="D472" s="15">
        <v>9.7471200200000006</v>
      </c>
      <c r="E472" s="15">
        <v>1591604698.9624</v>
      </c>
      <c r="F472" s="15" t="s">
        <v>547</v>
      </c>
      <c r="G472" s="15" t="s">
        <v>546</v>
      </c>
      <c r="H472" s="15"/>
    </row>
    <row r="473" spans="2:8" x14ac:dyDescent="0.35">
      <c r="B473" s="15" t="s">
        <v>1</v>
      </c>
      <c r="C473" s="15">
        <v>215.14</v>
      </c>
      <c r="D473" s="15">
        <v>37.972879980000002</v>
      </c>
      <c r="E473" s="15">
        <v>1591604698.9772</v>
      </c>
      <c r="F473" s="15" t="s">
        <v>547</v>
      </c>
      <c r="G473" s="15" t="s">
        <v>546</v>
      </c>
      <c r="H473" s="15"/>
    </row>
    <row r="474" spans="2:8" x14ac:dyDescent="0.35">
      <c r="B474" s="15" t="s">
        <v>1</v>
      </c>
      <c r="C474" s="15">
        <v>215</v>
      </c>
      <c r="D474" s="15">
        <v>0.12265687</v>
      </c>
      <c r="E474" s="15">
        <v>1591604719.7728</v>
      </c>
      <c r="F474" s="15" t="s">
        <v>545</v>
      </c>
      <c r="G474" s="15" t="s">
        <v>548</v>
      </c>
      <c r="H474" s="15"/>
    </row>
    <row r="475" spans="2:8" x14ac:dyDescent="0.35">
      <c r="B475" s="15" t="s">
        <v>1</v>
      </c>
      <c r="C475" s="15">
        <v>215</v>
      </c>
      <c r="D475" s="15">
        <v>4.6513791299999996</v>
      </c>
      <c r="E475" s="15">
        <v>1591604727.7035</v>
      </c>
      <c r="F475" s="15" t="s">
        <v>545</v>
      </c>
      <c r="G475" s="15" t="s">
        <v>548</v>
      </c>
      <c r="H475" s="15"/>
    </row>
    <row r="476" spans="2:8" x14ac:dyDescent="0.35">
      <c r="B476" s="15" t="s">
        <v>1</v>
      </c>
      <c r="C476" s="15">
        <v>215.01</v>
      </c>
      <c r="D476" s="15">
        <v>4.6513791299999996</v>
      </c>
      <c r="E476" s="15">
        <v>1591604727.7262001</v>
      </c>
      <c r="F476" s="15" t="s">
        <v>545</v>
      </c>
      <c r="G476" s="15" t="s">
        <v>548</v>
      </c>
      <c r="H476" s="15"/>
    </row>
    <row r="477" spans="2:8" x14ac:dyDescent="0.35">
      <c r="B477" s="15" t="s">
        <v>1</v>
      </c>
      <c r="C477" s="15">
        <v>215.01</v>
      </c>
      <c r="D477" s="15">
        <v>4.05</v>
      </c>
      <c r="E477" s="15">
        <v>1591604727.7286</v>
      </c>
      <c r="F477" s="15" t="s">
        <v>545</v>
      </c>
      <c r="G477" s="15" t="s">
        <v>548</v>
      </c>
      <c r="H477" s="15"/>
    </row>
    <row r="478" spans="2:8" x14ac:dyDescent="0.35">
      <c r="B478" s="15" t="s">
        <v>1</v>
      </c>
      <c r="C478" s="15">
        <v>215.02</v>
      </c>
      <c r="D478" s="15">
        <v>4.6518118800000003</v>
      </c>
      <c r="E478" s="15">
        <v>1591604727.7307999</v>
      </c>
      <c r="F478" s="15" t="s">
        <v>545</v>
      </c>
      <c r="G478" s="15" t="s">
        <v>548</v>
      </c>
      <c r="H478" s="15"/>
    </row>
    <row r="479" spans="2:8" x14ac:dyDescent="0.35">
      <c r="B479" s="15" t="s">
        <v>1</v>
      </c>
      <c r="C479" s="15">
        <v>215.04</v>
      </c>
      <c r="D479" s="15">
        <v>27.345429859999999</v>
      </c>
      <c r="E479" s="15">
        <v>1591604727.7330999</v>
      </c>
      <c r="F479" s="15" t="s">
        <v>545</v>
      </c>
      <c r="G479" s="15" t="s">
        <v>548</v>
      </c>
      <c r="H479" s="15"/>
    </row>
    <row r="480" spans="2:8" x14ac:dyDescent="0.35">
      <c r="B480" s="15" t="s">
        <v>1</v>
      </c>
      <c r="C480" s="15">
        <v>215.09</v>
      </c>
      <c r="D480" s="15">
        <v>0.38532</v>
      </c>
      <c r="E480" s="15">
        <v>1591604737.8527999</v>
      </c>
      <c r="F480" s="15" t="s">
        <v>547</v>
      </c>
      <c r="G480" s="15" t="s">
        <v>548</v>
      </c>
      <c r="H480" s="15"/>
    </row>
    <row r="481" spans="2:8" x14ac:dyDescent="0.35">
      <c r="B481" s="15" t="s">
        <v>1</v>
      </c>
      <c r="C481" s="15">
        <v>215.03</v>
      </c>
      <c r="D481" s="15">
        <v>0.46654098999999999</v>
      </c>
      <c r="E481" s="15">
        <v>1591604760.7253001</v>
      </c>
      <c r="F481" s="15" t="s">
        <v>547</v>
      </c>
      <c r="G481" s="15" t="s">
        <v>548</v>
      </c>
      <c r="H481" s="15"/>
    </row>
    <row r="482" spans="2:8" x14ac:dyDescent="0.35">
      <c r="B482" s="15" t="s">
        <v>1</v>
      </c>
      <c r="C482" s="15">
        <v>215.02</v>
      </c>
      <c r="D482" s="15">
        <v>0.02</v>
      </c>
      <c r="E482" s="15">
        <v>1591604780.0578001</v>
      </c>
      <c r="F482" s="15" t="s">
        <v>547</v>
      </c>
      <c r="G482" s="15" t="s">
        <v>548</v>
      </c>
      <c r="H482" s="15"/>
    </row>
    <row r="483" spans="2:8" x14ac:dyDescent="0.35">
      <c r="B483" s="15" t="s">
        <v>1</v>
      </c>
      <c r="C483" s="15">
        <v>215.02</v>
      </c>
      <c r="D483" s="15">
        <v>7.1216310000000005E-2</v>
      </c>
      <c r="E483" s="15">
        <v>1591604789.6228001</v>
      </c>
      <c r="F483" s="15" t="s">
        <v>547</v>
      </c>
      <c r="G483" s="15" t="s">
        <v>548</v>
      </c>
      <c r="H483" s="15"/>
    </row>
    <row r="484" spans="2:8" x14ac:dyDescent="0.35">
      <c r="B484" s="15" t="s">
        <v>1</v>
      </c>
      <c r="C484" s="15">
        <v>215.1</v>
      </c>
      <c r="D484" s="15">
        <v>0.02</v>
      </c>
      <c r="E484" s="15">
        <v>1591604791.7941</v>
      </c>
      <c r="F484" s="15" t="s">
        <v>545</v>
      </c>
      <c r="G484" s="15" t="s">
        <v>548</v>
      </c>
      <c r="H484" s="15"/>
    </row>
    <row r="485" spans="2:8" x14ac:dyDescent="0.35">
      <c r="B485" s="15" t="s">
        <v>1</v>
      </c>
      <c r="C485" s="15">
        <v>215.04</v>
      </c>
      <c r="D485" s="15">
        <v>0.5</v>
      </c>
      <c r="E485" s="15">
        <v>1591604806.9546001</v>
      </c>
      <c r="F485" s="15" t="s">
        <v>547</v>
      </c>
      <c r="G485" s="15" t="s">
        <v>548</v>
      </c>
      <c r="H485" s="15"/>
    </row>
    <row r="486" spans="2:8" x14ac:dyDescent="0.35">
      <c r="B486" s="15" t="s">
        <v>1</v>
      </c>
      <c r="C486" s="15">
        <v>215.05</v>
      </c>
      <c r="D486" s="15">
        <v>0.55000000000000004</v>
      </c>
      <c r="E486" s="15">
        <v>1591604809.6208999</v>
      </c>
      <c r="F486" s="15" t="s">
        <v>545</v>
      </c>
      <c r="G486" s="15" t="s">
        <v>548</v>
      </c>
      <c r="H486" s="15"/>
    </row>
    <row r="487" spans="2:8" x14ac:dyDescent="0.35">
      <c r="B487" s="15" t="s">
        <v>1</v>
      </c>
      <c r="C487" s="15">
        <v>215.05</v>
      </c>
      <c r="D487" s="15">
        <v>8.1950000000000003</v>
      </c>
      <c r="E487" s="15">
        <v>1591604819.6331999</v>
      </c>
      <c r="F487" s="15" t="s">
        <v>545</v>
      </c>
      <c r="G487" s="15" t="s">
        <v>546</v>
      </c>
      <c r="H487" s="15"/>
    </row>
    <row r="488" spans="2:8" x14ac:dyDescent="0.35">
      <c r="B488" s="15" t="s">
        <v>1</v>
      </c>
      <c r="C488" s="15">
        <v>215.05</v>
      </c>
      <c r="D488" s="15">
        <v>15.15526343</v>
      </c>
      <c r="E488" s="15">
        <v>1591604819.6356001</v>
      </c>
      <c r="F488" s="15" t="s">
        <v>545</v>
      </c>
      <c r="G488" s="15" t="s">
        <v>546</v>
      </c>
      <c r="H488" s="15"/>
    </row>
    <row r="489" spans="2:8" x14ac:dyDescent="0.35">
      <c r="B489" s="15" t="s">
        <v>1</v>
      </c>
      <c r="C489" s="15">
        <v>215.07</v>
      </c>
      <c r="D489" s="15">
        <v>1.99869852</v>
      </c>
      <c r="E489" s="15">
        <v>1591604823.1212001</v>
      </c>
      <c r="F489" s="15" t="s">
        <v>545</v>
      </c>
      <c r="G489" s="15" t="s">
        <v>548</v>
      </c>
      <c r="H489" s="15"/>
    </row>
    <row r="490" spans="2:8" x14ac:dyDescent="0.35">
      <c r="B490" s="15" t="s">
        <v>1</v>
      </c>
      <c r="C490" s="15">
        <v>215.07</v>
      </c>
      <c r="D490" s="15">
        <v>1.3947000000000001</v>
      </c>
      <c r="E490" s="15">
        <v>1591604825.8684001</v>
      </c>
      <c r="F490" s="15" t="s">
        <v>545</v>
      </c>
      <c r="G490" s="15" t="s">
        <v>546</v>
      </c>
      <c r="H490" s="15"/>
    </row>
    <row r="491" spans="2:8" x14ac:dyDescent="0.35">
      <c r="B491" s="15" t="s">
        <v>1</v>
      </c>
      <c r="C491" s="15">
        <v>215.06</v>
      </c>
      <c r="D491" s="15">
        <v>6.1620979999999999E-2</v>
      </c>
      <c r="E491" s="15">
        <v>1591604828.6012001</v>
      </c>
      <c r="F491" s="15" t="s">
        <v>547</v>
      </c>
      <c r="G491" s="15" t="s">
        <v>548</v>
      </c>
      <c r="H491" s="15"/>
    </row>
    <row r="492" spans="2:8" x14ac:dyDescent="0.35">
      <c r="B492" s="15" t="s">
        <v>1</v>
      </c>
      <c r="C492" s="15">
        <v>215.09</v>
      </c>
      <c r="D492" s="15">
        <v>18.12</v>
      </c>
      <c r="E492" s="15">
        <v>1591604862.9408</v>
      </c>
      <c r="F492" s="15" t="s">
        <v>547</v>
      </c>
      <c r="G492" s="15" t="s">
        <v>546</v>
      </c>
      <c r="H492" s="15"/>
    </row>
    <row r="493" spans="2:8" x14ac:dyDescent="0.35">
      <c r="B493" s="15" t="s">
        <v>1</v>
      </c>
      <c r="C493" s="15">
        <v>215.1</v>
      </c>
      <c r="D493" s="15">
        <v>0.240984</v>
      </c>
      <c r="E493" s="15">
        <v>1591604867.5922</v>
      </c>
      <c r="F493" s="15" t="s">
        <v>545</v>
      </c>
      <c r="G493" s="15" t="s">
        <v>548</v>
      </c>
      <c r="H493" s="15"/>
    </row>
    <row r="494" spans="2:8" x14ac:dyDescent="0.35">
      <c r="B494" s="15" t="s">
        <v>1</v>
      </c>
      <c r="C494" s="15">
        <v>215.09</v>
      </c>
      <c r="D494" s="15">
        <v>5</v>
      </c>
      <c r="E494" s="15">
        <v>1591604870.9791999</v>
      </c>
      <c r="F494" s="15" t="s">
        <v>547</v>
      </c>
      <c r="G494" s="15" t="s">
        <v>548</v>
      </c>
      <c r="H494" s="15"/>
    </row>
    <row r="495" spans="2:8" x14ac:dyDescent="0.35">
      <c r="B495" s="15" t="s">
        <v>1</v>
      </c>
      <c r="C495" s="15">
        <v>215.09</v>
      </c>
      <c r="D495" s="15">
        <v>6.9719649999999994E-2</v>
      </c>
      <c r="E495" s="15">
        <v>1591604883.3612001</v>
      </c>
      <c r="F495" s="15" t="s">
        <v>547</v>
      </c>
      <c r="G495" s="15" t="s">
        <v>546</v>
      </c>
      <c r="H495" s="15"/>
    </row>
    <row r="496" spans="2:8" x14ac:dyDescent="0.35">
      <c r="B496" s="15" t="s">
        <v>1</v>
      </c>
      <c r="C496" s="15">
        <v>215.1</v>
      </c>
      <c r="D496" s="15">
        <v>5.8199999900000003</v>
      </c>
      <c r="E496" s="15">
        <v>1591604901.6494</v>
      </c>
      <c r="F496" s="15" t="s">
        <v>545</v>
      </c>
      <c r="G496" s="15" t="s">
        <v>548</v>
      </c>
      <c r="H496" s="15"/>
    </row>
    <row r="497" spans="2:8" x14ac:dyDescent="0.35">
      <c r="B497" s="15" t="s">
        <v>1</v>
      </c>
      <c r="C497" s="15">
        <v>215.1</v>
      </c>
      <c r="D497" s="15">
        <v>6.3800000099999998</v>
      </c>
      <c r="E497" s="15">
        <v>1591604901.6529</v>
      </c>
      <c r="F497" s="15" t="s">
        <v>545</v>
      </c>
      <c r="G497" s="15" t="s">
        <v>548</v>
      </c>
      <c r="H497" s="15"/>
    </row>
    <row r="498" spans="2:8" x14ac:dyDescent="0.35">
      <c r="B498" s="15" t="s">
        <v>1</v>
      </c>
      <c r="C498" s="15">
        <v>215.13</v>
      </c>
      <c r="D498" s="15">
        <v>0.56259946999999999</v>
      </c>
      <c r="E498" s="15">
        <v>1591604915.6169</v>
      </c>
      <c r="F498" s="15" t="s">
        <v>547</v>
      </c>
      <c r="G498" s="15" t="s">
        <v>546</v>
      </c>
      <c r="H498" s="15"/>
    </row>
    <row r="499" spans="2:8" x14ac:dyDescent="0.35">
      <c r="B499" s="15" t="s">
        <v>1</v>
      </c>
      <c r="C499" s="15">
        <v>215.14</v>
      </c>
      <c r="D499" s="15">
        <v>0.56752199999999997</v>
      </c>
      <c r="E499" s="15">
        <v>1591604915.7883</v>
      </c>
      <c r="F499" s="15" t="s">
        <v>547</v>
      </c>
      <c r="G499" s="15" t="s">
        <v>546</v>
      </c>
      <c r="H499" s="15"/>
    </row>
    <row r="500" spans="2:8" x14ac:dyDescent="0.35">
      <c r="B500" s="15" t="s">
        <v>1</v>
      </c>
      <c r="C500" s="15">
        <v>215.18</v>
      </c>
      <c r="D500" s="15">
        <v>12</v>
      </c>
      <c r="E500" s="15">
        <v>1591604918.8761001</v>
      </c>
      <c r="F500" s="15" t="s">
        <v>547</v>
      </c>
      <c r="G500" s="15" t="s">
        <v>546</v>
      </c>
      <c r="H500" s="15"/>
    </row>
    <row r="501" spans="2:8" x14ac:dyDescent="0.35">
      <c r="B501" s="15" t="s">
        <v>1</v>
      </c>
      <c r="C501" s="15">
        <v>215.09</v>
      </c>
      <c r="D501" s="15">
        <v>6.4834290000000003E-2</v>
      </c>
      <c r="E501" s="15">
        <v>1591604953.6066</v>
      </c>
      <c r="F501" s="15" t="s">
        <v>547</v>
      </c>
      <c r="G501" s="15" t="s">
        <v>546</v>
      </c>
      <c r="H501" s="15"/>
    </row>
    <row r="502" spans="2:8" x14ac:dyDescent="0.35">
      <c r="B502" s="15" t="s">
        <v>1</v>
      </c>
      <c r="C502" s="15">
        <v>214.84</v>
      </c>
      <c r="D502" s="15">
        <v>2.2250000000000001</v>
      </c>
      <c r="E502" s="15">
        <v>1591604966.7600999</v>
      </c>
      <c r="F502" s="15" t="s">
        <v>547</v>
      </c>
      <c r="G502" s="15" t="s">
        <v>546</v>
      </c>
      <c r="H502" s="15"/>
    </row>
    <row r="503" spans="2:8" x14ac:dyDescent="0.35">
      <c r="B503" s="15" t="s">
        <v>1</v>
      </c>
      <c r="C503" s="15">
        <v>214.84</v>
      </c>
      <c r="D503" s="15">
        <v>4.4999999999999998E-2</v>
      </c>
      <c r="E503" s="15">
        <v>1591604967.7814</v>
      </c>
      <c r="F503" s="15" t="s">
        <v>547</v>
      </c>
      <c r="G503" s="15" t="s">
        <v>546</v>
      </c>
      <c r="H503" s="15"/>
    </row>
    <row r="504" spans="2:8" x14ac:dyDescent="0.35">
      <c r="B504" s="15" t="s">
        <v>1</v>
      </c>
      <c r="C504" s="15">
        <v>214.79</v>
      </c>
      <c r="D504" s="15">
        <v>0.51102018000000005</v>
      </c>
      <c r="E504" s="15">
        <v>1591604973.4919</v>
      </c>
      <c r="F504" s="15" t="s">
        <v>545</v>
      </c>
      <c r="G504" s="15" t="s">
        <v>548</v>
      </c>
      <c r="H504" s="15"/>
    </row>
    <row r="505" spans="2:8" x14ac:dyDescent="0.35">
      <c r="B505" s="15" t="s">
        <v>1</v>
      </c>
      <c r="C505" s="15">
        <v>215.09</v>
      </c>
      <c r="D505" s="15">
        <v>10</v>
      </c>
      <c r="E505" s="15">
        <v>1591604984.6496</v>
      </c>
      <c r="F505" s="15" t="s">
        <v>547</v>
      </c>
      <c r="G505" s="15" t="s">
        <v>546</v>
      </c>
      <c r="H505" s="15"/>
    </row>
    <row r="506" spans="2:8" x14ac:dyDescent="0.35">
      <c r="B506" s="15" t="s">
        <v>1</v>
      </c>
      <c r="C506" s="15">
        <v>215.1</v>
      </c>
      <c r="D506" s="15">
        <v>0.34300000000000003</v>
      </c>
      <c r="E506" s="15">
        <v>1591604990.5262001</v>
      </c>
      <c r="F506" s="15" t="s">
        <v>545</v>
      </c>
      <c r="G506" s="15" t="s">
        <v>548</v>
      </c>
      <c r="H506" s="15"/>
    </row>
    <row r="507" spans="2:8" x14ac:dyDescent="0.35">
      <c r="B507" s="15" t="s">
        <v>1</v>
      </c>
      <c r="C507" s="15">
        <v>215.15</v>
      </c>
      <c r="D507" s="15">
        <v>12.657</v>
      </c>
      <c r="E507" s="15">
        <v>1591604990.5337</v>
      </c>
      <c r="F507" s="15" t="s">
        <v>545</v>
      </c>
      <c r="G507" s="15" t="s">
        <v>548</v>
      </c>
      <c r="H507" s="15"/>
    </row>
    <row r="508" spans="2:8" x14ac:dyDescent="0.35">
      <c r="B508" s="15" t="s">
        <v>1</v>
      </c>
      <c r="C508" s="15">
        <v>215.09</v>
      </c>
      <c r="D508" s="15">
        <v>2.8604549999999999E-2</v>
      </c>
      <c r="E508" s="15">
        <v>1591604994.602</v>
      </c>
      <c r="F508" s="15" t="s">
        <v>547</v>
      </c>
      <c r="G508" s="15" t="s">
        <v>548</v>
      </c>
      <c r="H508" s="15"/>
    </row>
    <row r="509" spans="2:8" x14ac:dyDescent="0.35">
      <c r="B509" s="15" t="s">
        <v>1</v>
      </c>
      <c r="C509" s="15">
        <v>215.1</v>
      </c>
      <c r="D509" s="15">
        <v>9.1620716899999994</v>
      </c>
      <c r="E509" s="15">
        <v>1591605020.5156</v>
      </c>
      <c r="F509" s="15" t="s">
        <v>545</v>
      </c>
      <c r="G509" s="15" t="s">
        <v>548</v>
      </c>
      <c r="H509" s="15"/>
    </row>
    <row r="510" spans="2:8" x14ac:dyDescent="0.35">
      <c r="B510" s="15" t="s">
        <v>1</v>
      </c>
      <c r="C510" s="15">
        <v>215.11</v>
      </c>
      <c r="D510" s="15">
        <v>3</v>
      </c>
      <c r="E510" s="15">
        <v>1591605026.5402</v>
      </c>
      <c r="F510" s="15" t="s">
        <v>545</v>
      </c>
      <c r="G510" s="15" t="s">
        <v>548</v>
      </c>
      <c r="H510" s="15"/>
    </row>
    <row r="511" spans="2:8" x14ac:dyDescent="0.35">
      <c r="B511" s="15" t="s">
        <v>1</v>
      </c>
      <c r="C511" s="15">
        <v>215.08</v>
      </c>
      <c r="D511" s="15">
        <v>0.02</v>
      </c>
      <c r="E511" s="15">
        <v>1591605042.4073999</v>
      </c>
      <c r="F511" s="15" t="s">
        <v>545</v>
      </c>
      <c r="G511" s="15" t="s">
        <v>548</v>
      </c>
      <c r="H511" s="15"/>
    </row>
    <row r="512" spans="2:8" x14ac:dyDescent="0.35">
      <c r="B512" s="15" t="s">
        <v>1</v>
      </c>
      <c r="C512" s="15">
        <v>215.06</v>
      </c>
      <c r="D512" s="15">
        <v>2.3076104900000001</v>
      </c>
      <c r="E512" s="15">
        <v>1591605139.9036</v>
      </c>
      <c r="F512" s="15" t="s">
        <v>545</v>
      </c>
      <c r="G512" s="15" t="s">
        <v>548</v>
      </c>
      <c r="H512" s="15"/>
    </row>
    <row r="513" spans="2:8" x14ac:dyDescent="0.35">
      <c r="B513" s="15" t="s">
        <v>1</v>
      </c>
      <c r="C513" s="15">
        <v>214.99</v>
      </c>
      <c r="D513" s="15">
        <v>9.6750000000000007</v>
      </c>
      <c r="E513" s="15">
        <v>1591605150.6839001</v>
      </c>
      <c r="F513" s="15" t="s">
        <v>545</v>
      </c>
      <c r="G513" s="15" t="s">
        <v>548</v>
      </c>
      <c r="H513" s="15"/>
    </row>
    <row r="514" spans="2:8" x14ac:dyDescent="0.35">
      <c r="B514" s="15" t="s">
        <v>1</v>
      </c>
      <c r="C514" s="15">
        <v>215</v>
      </c>
      <c r="D514" s="15">
        <v>0.25700000000000001</v>
      </c>
      <c r="E514" s="15">
        <v>1591605150.6858001</v>
      </c>
      <c r="F514" s="15" t="s">
        <v>545</v>
      </c>
      <c r="G514" s="15" t="s">
        <v>548</v>
      </c>
      <c r="H514" s="15"/>
    </row>
    <row r="515" spans="2:8" x14ac:dyDescent="0.35">
      <c r="B515" s="15" t="s">
        <v>1</v>
      </c>
      <c r="C515" s="15">
        <v>215</v>
      </c>
      <c r="D515" s="15">
        <v>14.268000000000001</v>
      </c>
      <c r="E515" s="15">
        <v>1591605150.6874001</v>
      </c>
      <c r="F515" s="15" t="s">
        <v>545</v>
      </c>
      <c r="G515" s="15" t="s">
        <v>548</v>
      </c>
      <c r="H515" s="15"/>
    </row>
    <row r="516" spans="2:8" x14ac:dyDescent="0.35">
      <c r="B516" s="15" t="s">
        <v>1</v>
      </c>
      <c r="C516" s="15">
        <v>214.99</v>
      </c>
      <c r="D516" s="15">
        <v>0.23705836999999999</v>
      </c>
      <c r="E516" s="15">
        <v>1591605180.7314</v>
      </c>
      <c r="F516" s="15" t="s">
        <v>547</v>
      </c>
      <c r="G516" s="15" t="s">
        <v>548</v>
      </c>
      <c r="H516" s="15"/>
    </row>
    <row r="517" spans="2:8" x14ac:dyDescent="0.35">
      <c r="B517" s="15" t="s">
        <v>1</v>
      </c>
      <c r="C517" s="15">
        <v>214.99</v>
      </c>
      <c r="D517" s="15">
        <v>4.0248716399999998</v>
      </c>
      <c r="E517" s="15">
        <v>1591605182.9805</v>
      </c>
      <c r="F517" s="15" t="s">
        <v>547</v>
      </c>
      <c r="G517" s="15" t="s">
        <v>546</v>
      </c>
      <c r="H517" s="15"/>
    </row>
    <row r="518" spans="2:8" x14ac:dyDescent="0.35">
      <c r="B518" s="15" t="s">
        <v>1</v>
      </c>
      <c r="C518" s="15">
        <v>214.99</v>
      </c>
      <c r="D518" s="15">
        <v>1.8119947599999999</v>
      </c>
      <c r="E518" s="15">
        <v>1591605199.5034001</v>
      </c>
      <c r="F518" s="15" t="s">
        <v>547</v>
      </c>
      <c r="G518" s="15" t="s">
        <v>548</v>
      </c>
      <c r="H518" s="15"/>
    </row>
    <row r="519" spans="2:8" x14ac:dyDescent="0.35">
      <c r="B519" s="15" t="s">
        <v>1</v>
      </c>
      <c r="C519" s="15">
        <v>214.99</v>
      </c>
      <c r="D519" s="15">
        <v>1.18587832</v>
      </c>
      <c r="E519" s="15">
        <v>1591605199.5253999</v>
      </c>
      <c r="F519" s="15" t="s">
        <v>547</v>
      </c>
      <c r="G519" s="15" t="s">
        <v>548</v>
      </c>
      <c r="H519" s="15"/>
    </row>
    <row r="520" spans="2:8" x14ac:dyDescent="0.35">
      <c r="B520" s="15" t="s">
        <v>1</v>
      </c>
      <c r="C520" s="15">
        <v>214.99</v>
      </c>
      <c r="D520" s="15">
        <v>2.12692E-3</v>
      </c>
      <c r="E520" s="15">
        <v>1591605199.5276999</v>
      </c>
      <c r="F520" s="15" t="s">
        <v>547</v>
      </c>
      <c r="G520" s="15" t="s">
        <v>548</v>
      </c>
      <c r="H520" s="15"/>
    </row>
    <row r="521" spans="2:8" x14ac:dyDescent="0.35">
      <c r="B521" s="15" t="s">
        <v>1</v>
      </c>
      <c r="C521" s="15">
        <v>214.94</v>
      </c>
      <c r="D521" s="15">
        <v>5.3620000000000001E-2</v>
      </c>
      <c r="E521" s="15">
        <v>1591605244.3896</v>
      </c>
      <c r="F521" s="15" t="s">
        <v>547</v>
      </c>
      <c r="G521" s="15" t="s">
        <v>548</v>
      </c>
      <c r="H521" s="15"/>
    </row>
    <row r="522" spans="2:8" x14ac:dyDescent="0.35">
      <c r="B522" s="15" t="s">
        <v>1</v>
      </c>
      <c r="C522" s="15">
        <v>215</v>
      </c>
      <c r="D522" s="15">
        <v>0.46048653000000001</v>
      </c>
      <c r="E522" s="15">
        <v>1591605266.5524001</v>
      </c>
      <c r="F522" s="15" t="s">
        <v>545</v>
      </c>
      <c r="G522" s="15" t="s">
        <v>548</v>
      </c>
      <c r="H522" s="15"/>
    </row>
    <row r="523" spans="2:8" x14ac:dyDescent="0.35">
      <c r="B523" s="15" t="s">
        <v>1</v>
      </c>
      <c r="C523" s="15">
        <v>214.96</v>
      </c>
      <c r="D523" s="15">
        <v>1</v>
      </c>
      <c r="E523" s="15">
        <v>1591605276.4763</v>
      </c>
      <c r="F523" s="15" t="s">
        <v>547</v>
      </c>
      <c r="G523" s="15" t="s">
        <v>546</v>
      </c>
      <c r="H523" s="15"/>
    </row>
    <row r="524" spans="2:8" x14ac:dyDescent="0.35">
      <c r="B524" s="15" t="s">
        <v>1</v>
      </c>
      <c r="C524" s="15">
        <v>215</v>
      </c>
      <c r="D524" s="15">
        <v>18.556404650000001</v>
      </c>
      <c r="E524" s="15">
        <v>1591605279.7788</v>
      </c>
      <c r="F524" s="15" t="s">
        <v>545</v>
      </c>
      <c r="G524" s="15" t="s">
        <v>546</v>
      </c>
      <c r="H524" s="15"/>
    </row>
    <row r="525" spans="2:8" x14ac:dyDescent="0.35">
      <c r="B525" s="15" t="s">
        <v>1</v>
      </c>
      <c r="C525" s="15">
        <v>215</v>
      </c>
      <c r="D525" s="15">
        <v>1.8</v>
      </c>
      <c r="E525" s="15">
        <v>1591605319.3471</v>
      </c>
      <c r="F525" s="15" t="s">
        <v>545</v>
      </c>
      <c r="G525" s="15" t="s">
        <v>546</v>
      </c>
      <c r="H525" s="15"/>
    </row>
    <row r="526" spans="2:8" x14ac:dyDescent="0.35">
      <c r="B526" s="15" t="s">
        <v>1</v>
      </c>
      <c r="C526" s="15">
        <v>215.09</v>
      </c>
      <c r="D526" s="15">
        <v>9.9740679999999998E-2</v>
      </c>
      <c r="E526" s="15">
        <v>1591605332.3808</v>
      </c>
      <c r="F526" s="15" t="s">
        <v>547</v>
      </c>
      <c r="G526" s="15" t="s">
        <v>546</v>
      </c>
      <c r="H526" s="15"/>
    </row>
    <row r="527" spans="2:8" x14ac:dyDescent="0.35">
      <c r="B527" s="15" t="s">
        <v>1</v>
      </c>
      <c r="C527" s="15">
        <v>215.09</v>
      </c>
      <c r="D527" s="15">
        <v>2.5866000000000002E-4</v>
      </c>
      <c r="E527" s="15">
        <v>1591605332.3943</v>
      </c>
      <c r="F527" s="15" t="s">
        <v>547</v>
      </c>
      <c r="G527" s="15" t="s">
        <v>546</v>
      </c>
      <c r="H527" s="15"/>
    </row>
    <row r="528" spans="2:8" x14ac:dyDescent="0.35">
      <c r="B528" s="15" t="s">
        <v>1</v>
      </c>
      <c r="C528" s="15">
        <v>215.09</v>
      </c>
      <c r="D528" s="15">
        <v>6.7000000000000004E-7</v>
      </c>
      <c r="E528" s="15">
        <v>1591605332.3972001</v>
      </c>
      <c r="F528" s="15" t="s">
        <v>547</v>
      </c>
      <c r="G528" s="15" t="s">
        <v>546</v>
      </c>
      <c r="H528" s="15"/>
    </row>
    <row r="529" spans="2:8" x14ac:dyDescent="0.35">
      <c r="B529" s="15" t="s">
        <v>1</v>
      </c>
      <c r="C529" s="15">
        <v>215.09</v>
      </c>
      <c r="D529" s="15">
        <v>4.632E-2</v>
      </c>
      <c r="E529" s="15">
        <v>1591605365.7953999</v>
      </c>
      <c r="F529" s="15" t="s">
        <v>547</v>
      </c>
      <c r="G529" s="15" t="s">
        <v>548</v>
      </c>
      <c r="H529" s="15"/>
    </row>
    <row r="530" spans="2:8" x14ac:dyDescent="0.35">
      <c r="B530" s="15" t="s">
        <v>1</v>
      </c>
      <c r="C530" s="15">
        <v>215.1</v>
      </c>
      <c r="D530" s="15">
        <v>1</v>
      </c>
      <c r="E530" s="15">
        <v>1591605398.3694999</v>
      </c>
      <c r="F530" s="15" t="s">
        <v>545</v>
      </c>
      <c r="G530" s="15" t="s">
        <v>546</v>
      </c>
      <c r="H530" s="15"/>
    </row>
    <row r="531" spans="2:8" x14ac:dyDescent="0.35">
      <c r="B531" s="15" t="s">
        <v>1</v>
      </c>
      <c r="C531" s="15">
        <v>215.35</v>
      </c>
      <c r="D531" s="15">
        <v>0.50233000000000005</v>
      </c>
      <c r="E531" s="15">
        <v>1591605427.9477</v>
      </c>
      <c r="F531" s="15" t="s">
        <v>545</v>
      </c>
      <c r="G531" s="15" t="s">
        <v>548</v>
      </c>
      <c r="H531" s="15"/>
    </row>
    <row r="532" spans="2:8" x14ac:dyDescent="0.35">
      <c r="B532" s="15" t="s">
        <v>1</v>
      </c>
      <c r="C532" s="15">
        <v>215.31</v>
      </c>
      <c r="D532" s="15">
        <v>4.6399999999999997</v>
      </c>
      <c r="E532" s="15">
        <v>1591605429.8910999</v>
      </c>
      <c r="F532" s="15" t="s">
        <v>547</v>
      </c>
      <c r="G532" s="15" t="s">
        <v>546</v>
      </c>
      <c r="H532" s="15"/>
    </row>
    <row r="533" spans="2:8" x14ac:dyDescent="0.35">
      <c r="B533" s="15" t="s">
        <v>1</v>
      </c>
      <c r="C533" s="15">
        <v>215.28</v>
      </c>
      <c r="D533" s="15">
        <v>29.858946079999999</v>
      </c>
      <c r="E533" s="15">
        <v>1591605461.3487</v>
      </c>
      <c r="F533" s="15" t="s">
        <v>547</v>
      </c>
      <c r="G533" s="15" t="s">
        <v>546</v>
      </c>
      <c r="H533" s="15"/>
    </row>
    <row r="534" spans="2:8" x14ac:dyDescent="0.35">
      <c r="B534" s="15" t="s">
        <v>1</v>
      </c>
      <c r="C534" s="15">
        <v>215.28</v>
      </c>
      <c r="D534" s="15">
        <v>6.2410539199999997</v>
      </c>
      <c r="E534" s="15">
        <v>1591605461.3605001</v>
      </c>
      <c r="F534" s="15" t="s">
        <v>547</v>
      </c>
      <c r="G534" s="15" t="s">
        <v>546</v>
      </c>
      <c r="H534" s="15"/>
    </row>
    <row r="535" spans="2:8" x14ac:dyDescent="0.35">
      <c r="B535" s="15" t="s">
        <v>1</v>
      </c>
      <c r="C535" s="15">
        <v>215.25</v>
      </c>
      <c r="D535" s="15">
        <v>0.25479502999999998</v>
      </c>
      <c r="E535" s="15">
        <v>1591605470.7406001</v>
      </c>
      <c r="F535" s="15" t="s">
        <v>545</v>
      </c>
      <c r="G535" s="15" t="s">
        <v>548</v>
      </c>
      <c r="H535" s="15"/>
    </row>
    <row r="536" spans="2:8" x14ac:dyDescent="0.35">
      <c r="B536" s="15" t="s">
        <v>1</v>
      </c>
      <c r="C536" s="15">
        <v>215.22</v>
      </c>
      <c r="D536" s="15">
        <v>25.26</v>
      </c>
      <c r="E536" s="15">
        <v>1591605474.5541</v>
      </c>
      <c r="F536" s="15" t="s">
        <v>547</v>
      </c>
      <c r="G536" s="15" t="s">
        <v>546</v>
      </c>
      <c r="H536" s="15"/>
    </row>
    <row r="537" spans="2:8" x14ac:dyDescent="0.35">
      <c r="B537" s="15" t="s">
        <v>1</v>
      </c>
      <c r="C537" s="15">
        <v>215.22</v>
      </c>
      <c r="D537" s="15">
        <v>4.6280000000000002E-2</v>
      </c>
      <c r="E537" s="15">
        <v>1591605485.6900001</v>
      </c>
      <c r="F537" s="15" t="s">
        <v>547</v>
      </c>
      <c r="G537" s="15" t="s">
        <v>548</v>
      </c>
      <c r="H537" s="15"/>
    </row>
    <row r="538" spans="2:8" x14ac:dyDescent="0.35">
      <c r="B538" s="15" t="s">
        <v>1</v>
      </c>
      <c r="C538" s="15">
        <v>215.22</v>
      </c>
      <c r="D538" s="15">
        <v>1.62547544</v>
      </c>
      <c r="E538" s="15">
        <v>1591605486.9396</v>
      </c>
      <c r="F538" s="15" t="s">
        <v>547</v>
      </c>
      <c r="G538" s="15" t="s">
        <v>546</v>
      </c>
      <c r="H538" s="15"/>
    </row>
    <row r="539" spans="2:8" x14ac:dyDescent="0.35">
      <c r="B539" s="15" t="s">
        <v>1</v>
      </c>
      <c r="C539" s="15">
        <v>215.19</v>
      </c>
      <c r="D539" s="15">
        <v>5.0049999999999999</v>
      </c>
      <c r="E539" s="15">
        <v>1591605486.9425001</v>
      </c>
      <c r="F539" s="15" t="s">
        <v>547</v>
      </c>
      <c r="G539" s="15" t="s">
        <v>546</v>
      </c>
      <c r="H539" s="15"/>
    </row>
    <row r="540" spans="2:8" x14ac:dyDescent="0.35">
      <c r="B540" s="15" t="s">
        <v>1</v>
      </c>
      <c r="C540" s="15">
        <v>215.19</v>
      </c>
      <c r="D540" s="15">
        <v>4.6395245599999999</v>
      </c>
      <c r="E540" s="15">
        <v>1591605486.9442</v>
      </c>
      <c r="F540" s="15" t="s">
        <v>547</v>
      </c>
      <c r="G540" s="15" t="s">
        <v>546</v>
      </c>
      <c r="H540" s="15"/>
    </row>
    <row r="541" spans="2:8" x14ac:dyDescent="0.35">
      <c r="B541" s="15" t="s">
        <v>1</v>
      </c>
      <c r="C541" s="15">
        <v>215.19</v>
      </c>
      <c r="D541" s="15">
        <v>6.3441000000000001E-3</v>
      </c>
      <c r="E541" s="15">
        <v>1591605487.145</v>
      </c>
      <c r="F541" s="15" t="s">
        <v>547</v>
      </c>
      <c r="G541" s="15" t="s">
        <v>548</v>
      </c>
      <c r="H541" s="15"/>
    </row>
    <row r="542" spans="2:8" x14ac:dyDescent="0.35">
      <c r="B542" s="15" t="s">
        <v>1</v>
      </c>
      <c r="C542" s="15">
        <v>215.18</v>
      </c>
      <c r="D542" s="15">
        <v>0.98848963999999995</v>
      </c>
      <c r="E542" s="15">
        <v>1591605487.1507001</v>
      </c>
      <c r="F542" s="15" t="s">
        <v>547</v>
      </c>
      <c r="G542" s="15" t="s">
        <v>548</v>
      </c>
      <c r="H542" s="15"/>
    </row>
    <row r="543" spans="2:8" x14ac:dyDescent="0.35">
      <c r="B543" s="15" t="s">
        <v>1</v>
      </c>
      <c r="C543" s="15">
        <v>215.18</v>
      </c>
      <c r="D543" s="15">
        <v>2.5634099999999999E-3</v>
      </c>
      <c r="E543" s="15">
        <v>1591605487.1530001</v>
      </c>
      <c r="F543" s="15" t="s">
        <v>547</v>
      </c>
      <c r="G543" s="15" t="s">
        <v>548</v>
      </c>
      <c r="H543" s="15"/>
    </row>
    <row r="544" spans="2:8" x14ac:dyDescent="0.35">
      <c r="B544" s="15" t="s">
        <v>1</v>
      </c>
      <c r="C544" s="15">
        <v>215.18</v>
      </c>
      <c r="D544" s="15">
        <v>2.8499999999999998E-6</v>
      </c>
      <c r="E544" s="15">
        <v>1591605487.1549001</v>
      </c>
      <c r="F544" s="15" t="s">
        <v>547</v>
      </c>
      <c r="G544" s="15" t="s">
        <v>548</v>
      </c>
      <c r="H544" s="15"/>
    </row>
    <row r="545" spans="2:8" x14ac:dyDescent="0.35">
      <c r="B545" s="15" t="s">
        <v>1</v>
      </c>
      <c r="C545" s="15">
        <v>215.19</v>
      </c>
      <c r="D545" s="15">
        <v>7.1965909999999994E-2</v>
      </c>
      <c r="E545" s="15">
        <v>1591605506.5243001</v>
      </c>
      <c r="F545" s="15" t="s">
        <v>547</v>
      </c>
      <c r="G545" s="15" t="s">
        <v>548</v>
      </c>
      <c r="H545" s="15"/>
    </row>
    <row r="546" spans="2:8" x14ac:dyDescent="0.35">
      <c r="B546" s="15" t="s">
        <v>1</v>
      </c>
      <c r="C546" s="15">
        <v>215.19</v>
      </c>
      <c r="D546" s="15">
        <v>1.8662E-4</v>
      </c>
      <c r="E546" s="15">
        <v>1591605506.5355999</v>
      </c>
      <c r="F546" s="15" t="s">
        <v>547</v>
      </c>
      <c r="G546" s="15" t="s">
        <v>548</v>
      </c>
      <c r="H546" s="15"/>
    </row>
    <row r="547" spans="2:8" x14ac:dyDescent="0.35">
      <c r="B547" s="15" t="s">
        <v>1</v>
      </c>
      <c r="C547" s="15">
        <v>215.19</v>
      </c>
      <c r="D547" s="15">
        <v>4.7999999999999996E-7</v>
      </c>
      <c r="E547" s="15">
        <v>1591605506.5379</v>
      </c>
      <c r="F547" s="15" t="s">
        <v>547</v>
      </c>
      <c r="G547" s="15" t="s">
        <v>548</v>
      </c>
      <c r="H547" s="15"/>
    </row>
    <row r="548" spans="2:8" x14ac:dyDescent="0.35">
      <c r="B548" s="15" t="s">
        <v>1</v>
      </c>
      <c r="C548" s="15">
        <v>215.3</v>
      </c>
      <c r="D548" s="15">
        <v>4.3196209999999999E-2</v>
      </c>
      <c r="E548" s="15">
        <v>1591605552.2479999</v>
      </c>
      <c r="F548" s="15" t="s">
        <v>545</v>
      </c>
      <c r="G548" s="15" t="s">
        <v>548</v>
      </c>
      <c r="H548" s="15"/>
    </row>
    <row r="549" spans="2:8" x14ac:dyDescent="0.35">
      <c r="B549" s="15" t="s">
        <v>1</v>
      </c>
      <c r="C549" s="15">
        <v>215.3</v>
      </c>
      <c r="D549" s="15">
        <v>0.13933000000000001</v>
      </c>
      <c r="E549" s="15">
        <v>1591605583.6507001</v>
      </c>
      <c r="F549" s="15" t="s">
        <v>545</v>
      </c>
      <c r="G549" s="15" t="s">
        <v>546</v>
      </c>
      <c r="H549" s="15"/>
    </row>
    <row r="550" spans="2:8" x14ac:dyDescent="0.35">
      <c r="B550" s="15" t="s">
        <v>1</v>
      </c>
      <c r="C550" s="15">
        <v>215.27</v>
      </c>
      <c r="D550" s="15">
        <v>4.6269999999999999E-2</v>
      </c>
      <c r="E550" s="15">
        <v>1591605725.3900001</v>
      </c>
      <c r="F550" s="15" t="s">
        <v>547</v>
      </c>
      <c r="G550" s="15" t="s">
        <v>548</v>
      </c>
      <c r="H550" s="15"/>
    </row>
    <row r="551" spans="2:8" x14ac:dyDescent="0.35">
      <c r="B551" s="15" t="s">
        <v>1</v>
      </c>
      <c r="C551" s="15">
        <v>215.28</v>
      </c>
      <c r="D551" s="15">
        <v>9.2421669999999997E-2</v>
      </c>
      <c r="E551" s="15">
        <v>1591605756.0151999</v>
      </c>
      <c r="F551" s="15" t="s">
        <v>545</v>
      </c>
      <c r="G551" s="15" t="s">
        <v>548</v>
      </c>
      <c r="H551" s="15"/>
    </row>
    <row r="552" spans="2:8" x14ac:dyDescent="0.35">
      <c r="B552" s="15" t="s">
        <v>1</v>
      </c>
      <c r="C552" s="15">
        <v>215.28</v>
      </c>
      <c r="D552" s="15">
        <v>0.22272621000000001</v>
      </c>
      <c r="E552" s="15">
        <v>1591605762.0360999</v>
      </c>
      <c r="F552" s="15" t="s">
        <v>545</v>
      </c>
      <c r="G552" s="15" t="s">
        <v>546</v>
      </c>
      <c r="H552" s="15"/>
    </row>
    <row r="553" spans="2:8" x14ac:dyDescent="0.35">
      <c r="B553" s="15" t="s">
        <v>1</v>
      </c>
      <c r="C553" s="15">
        <v>215.28</v>
      </c>
      <c r="D553" s="15">
        <v>0.39368636000000001</v>
      </c>
      <c r="E553" s="15">
        <v>1591605762.0637</v>
      </c>
      <c r="F553" s="15" t="s">
        <v>545</v>
      </c>
      <c r="G553" s="15" t="s">
        <v>546</v>
      </c>
      <c r="H553" s="15"/>
    </row>
    <row r="554" spans="2:8" x14ac:dyDescent="0.35">
      <c r="B554" s="15" t="s">
        <v>1</v>
      </c>
      <c r="C554" s="15">
        <v>215.28</v>
      </c>
      <c r="D554" s="15">
        <v>0.78800612999999997</v>
      </c>
      <c r="E554" s="15">
        <v>1591605772.8875999</v>
      </c>
      <c r="F554" s="15" t="s">
        <v>545</v>
      </c>
      <c r="G554" s="15" t="s">
        <v>548</v>
      </c>
      <c r="H554" s="15"/>
    </row>
    <row r="555" spans="2:8" x14ac:dyDescent="0.35">
      <c r="B555" s="15" t="s">
        <v>1</v>
      </c>
      <c r="C555" s="15">
        <v>215.29</v>
      </c>
      <c r="D555" s="15">
        <v>80.72</v>
      </c>
      <c r="E555" s="15">
        <v>1591605772.9319999</v>
      </c>
      <c r="F555" s="15" t="s">
        <v>545</v>
      </c>
      <c r="G555" s="15" t="s">
        <v>548</v>
      </c>
      <c r="H555" s="15"/>
    </row>
    <row r="556" spans="2:8" x14ac:dyDescent="0.35">
      <c r="B556" s="15" t="s">
        <v>1</v>
      </c>
      <c r="C556" s="15">
        <v>215.38</v>
      </c>
      <c r="D556" s="15">
        <v>8</v>
      </c>
      <c r="E556" s="15">
        <v>1591605772.9419</v>
      </c>
      <c r="F556" s="15" t="s">
        <v>545</v>
      </c>
      <c r="G556" s="15" t="s">
        <v>548</v>
      </c>
      <c r="H556" s="15"/>
    </row>
    <row r="557" spans="2:8" x14ac:dyDescent="0.35">
      <c r="B557" s="15" t="s">
        <v>1</v>
      </c>
      <c r="C557" s="15">
        <v>215.4</v>
      </c>
      <c r="D557" s="15">
        <v>0.193</v>
      </c>
      <c r="E557" s="15">
        <v>1591605772.9475</v>
      </c>
      <c r="F557" s="15" t="s">
        <v>545</v>
      </c>
      <c r="G557" s="15" t="s">
        <v>548</v>
      </c>
      <c r="H557" s="15"/>
    </row>
    <row r="558" spans="2:8" x14ac:dyDescent="0.35">
      <c r="B558" s="15" t="s">
        <v>1</v>
      </c>
      <c r="C558" s="15">
        <v>215.42</v>
      </c>
      <c r="D558" s="15">
        <v>1.8</v>
      </c>
      <c r="E558" s="15">
        <v>1591605772.9493001</v>
      </c>
      <c r="F558" s="15" t="s">
        <v>545</v>
      </c>
      <c r="G558" s="15" t="s">
        <v>548</v>
      </c>
      <c r="H558" s="15"/>
    </row>
    <row r="559" spans="2:8" x14ac:dyDescent="0.35">
      <c r="B559" s="15" t="s">
        <v>1</v>
      </c>
      <c r="C559" s="15">
        <v>215.44</v>
      </c>
      <c r="D559" s="15">
        <v>6.06</v>
      </c>
      <c r="E559" s="15">
        <v>1591605772.9511001</v>
      </c>
      <c r="F559" s="15" t="s">
        <v>545</v>
      </c>
      <c r="G559" s="15" t="s">
        <v>548</v>
      </c>
      <c r="H559" s="15"/>
    </row>
    <row r="560" spans="2:8" x14ac:dyDescent="0.35">
      <c r="B560" s="15" t="s">
        <v>1</v>
      </c>
      <c r="C560" s="15">
        <v>215.47</v>
      </c>
      <c r="D560" s="15">
        <v>7.3895095</v>
      </c>
      <c r="E560" s="15">
        <v>1591605772.9526999</v>
      </c>
      <c r="F560" s="15" t="s">
        <v>545</v>
      </c>
      <c r="G560" s="15" t="s">
        <v>548</v>
      </c>
      <c r="H560" s="15"/>
    </row>
    <row r="561" spans="2:8" x14ac:dyDescent="0.35">
      <c r="B561" s="15" t="s">
        <v>1</v>
      </c>
      <c r="C561" s="15">
        <v>215.47</v>
      </c>
      <c r="D561" s="15">
        <v>2</v>
      </c>
      <c r="E561" s="15">
        <v>1591605772.9545</v>
      </c>
      <c r="F561" s="15" t="s">
        <v>545</v>
      </c>
      <c r="G561" s="15" t="s">
        <v>548</v>
      </c>
      <c r="H561" s="15"/>
    </row>
    <row r="562" spans="2:8" x14ac:dyDescent="0.35">
      <c r="B562" s="15" t="s">
        <v>1</v>
      </c>
      <c r="C562" s="15">
        <v>215.48</v>
      </c>
      <c r="D562" s="15">
        <v>32.625</v>
      </c>
      <c r="E562" s="15">
        <v>1591605772.9561</v>
      </c>
      <c r="F562" s="15" t="s">
        <v>545</v>
      </c>
      <c r="G562" s="15" t="s">
        <v>548</v>
      </c>
      <c r="H562" s="15"/>
    </row>
    <row r="563" spans="2:8" x14ac:dyDescent="0.35">
      <c r="B563" s="15" t="s">
        <v>1</v>
      </c>
      <c r="C563" s="15">
        <v>215.48</v>
      </c>
      <c r="D563" s="15">
        <v>2</v>
      </c>
      <c r="E563" s="15">
        <v>1591605772.9576001</v>
      </c>
      <c r="F563" s="15" t="s">
        <v>545</v>
      </c>
      <c r="G563" s="15" t="s">
        <v>548</v>
      </c>
      <c r="H563" s="15"/>
    </row>
    <row r="564" spans="2:8" x14ac:dyDescent="0.35">
      <c r="B564" s="15" t="s">
        <v>1</v>
      </c>
      <c r="C564" s="15">
        <v>215.51</v>
      </c>
      <c r="D564" s="15">
        <v>6.0066421500000002</v>
      </c>
      <c r="E564" s="15">
        <v>1591605772.9619999</v>
      </c>
      <c r="F564" s="15" t="s">
        <v>545</v>
      </c>
      <c r="G564" s="15" t="s">
        <v>548</v>
      </c>
      <c r="H564" s="15"/>
    </row>
    <row r="565" spans="2:8" x14ac:dyDescent="0.35">
      <c r="B565" s="15" t="s">
        <v>1</v>
      </c>
      <c r="C565" s="15">
        <v>215.52</v>
      </c>
      <c r="D565" s="15">
        <v>18.851923070000002</v>
      </c>
      <c r="E565" s="15">
        <v>1591605772.9672999</v>
      </c>
      <c r="F565" s="15" t="s">
        <v>545</v>
      </c>
      <c r="G565" s="15" t="s">
        <v>548</v>
      </c>
      <c r="H565" s="15"/>
    </row>
    <row r="566" spans="2:8" x14ac:dyDescent="0.35">
      <c r="B566" s="15" t="s">
        <v>1</v>
      </c>
      <c r="C566" s="15">
        <v>215.53</v>
      </c>
      <c r="D566" s="15">
        <v>0.22669697</v>
      </c>
      <c r="E566" s="15">
        <v>1591605772.9709001</v>
      </c>
      <c r="F566" s="15" t="s">
        <v>545</v>
      </c>
      <c r="G566" s="15" t="s">
        <v>548</v>
      </c>
      <c r="H566" s="15"/>
    </row>
    <row r="567" spans="2:8" x14ac:dyDescent="0.35">
      <c r="B567" s="15" t="s">
        <v>1</v>
      </c>
      <c r="C567" s="15">
        <v>215.54</v>
      </c>
      <c r="D567" s="15">
        <v>6.12</v>
      </c>
      <c r="E567" s="15">
        <v>1591605772.9753001</v>
      </c>
      <c r="F567" s="15" t="s">
        <v>545</v>
      </c>
      <c r="G567" s="15" t="s">
        <v>548</v>
      </c>
      <c r="H567" s="15"/>
    </row>
    <row r="568" spans="2:8" x14ac:dyDescent="0.35">
      <c r="B568" s="15" t="s">
        <v>1</v>
      </c>
      <c r="C568" s="15">
        <v>215.54</v>
      </c>
      <c r="D568" s="15">
        <v>27.219222179999999</v>
      </c>
      <c r="E568" s="15">
        <v>1591605772.9796</v>
      </c>
      <c r="F568" s="15" t="s">
        <v>545</v>
      </c>
      <c r="G568" s="15" t="s">
        <v>548</v>
      </c>
      <c r="H568" s="15"/>
    </row>
    <row r="569" spans="2:8" x14ac:dyDescent="0.35">
      <c r="B569" s="15" t="s">
        <v>1</v>
      </c>
      <c r="C569" s="15">
        <v>215.45</v>
      </c>
      <c r="D569" s="15">
        <v>1.3992433900000001</v>
      </c>
      <c r="E569" s="15">
        <v>1591605773.9849</v>
      </c>
      <c r="F569" s="15" t="s">
        <v>545</v>
      </c>
      <c r="G569" s="15" t="s">
        <v>546</v>
      </c>
      <c r="H569" s="15"/>
    </row>
    <row r="570" spans="2:8" x14ac:dyDescent="0.35">
      <c r="B570" s="15" t="s">
        <v>1</v>
      </c>
      <c r="C570" s="15">
        <v>215.45</v>
      </c>
      <c r="D570" s="15">
        <v>2.2855019200000002</v>
      </c>
      <c r="E570" s="15">
        <v>1591605774.8803999</v>
      </c>
      <c r="F570" s="15" t="s">
        <v>545</v>
      </c>
      <c r="G570" s="15" t="s">
        <v>548</v>
      </c>
      <c r="H570" s="15"/>
    </row>
    <row r="571" spans="2:8" x14ac:dyDescent="0.35">
      <c r="B571" s="15" t="s">
        <v>1</v>
      </c>
      <c r="C571" s="15">
        <v>215.4</v>
      </c>
      <c r="D571" s="15">
        <v>2.4912079999999999</v>
      </c>
      <c r="E571" s="15">
        <v>1591605806.5394001</v>
      </c>
      <c r="F571" s="15" t="s">
        <v>545</v>
      </c>
      <c r="G571" s="15" t="s">
        <v>546</v>
      </c>
      <c r="H571" s="15"/>
    </row>
    <row r="572" spans="2:8" x14ac:dyDescent="0.35">
      <c r="B572" s="15" t="s">
        <v>1</v>
      </c>
      <c r="C572" s="15">
        <v>215.39</v>
      </c>
      <c r="D572" s="15">
        <v>4.1700000000000001E-2</v>
      </c>
      <c r="E572" s="15">
        <v>1591605833.2284</v>
      </c>
      <c r="F572" s="15" t="s">
        <v>547</v>
      </c>
      <c r="G572" s="15" t="s">
        <v>548</v>
      </c>
      <c r="H572" s="15"/>
    </row>
    <row r="573" spans="2:8" x14ac:dyDescent="0.35">
      <c r="B573" s="15" t="s">
        <v>1</v>
      </c>
      <c r="C573" s="15">
        <v>215.39</v>
      </c>
      <c r="D573" s="15">
        <v>0.29643999999999998</v>
      </c>
      <c r="E573" s="15">
        <v>1591605833.2342</v>
      </c>
      <c r="F573" s="15" t="s">
        <v>547</v>
      </c>
      <c r="G573" s="15" t="s">
        <v>548</v>
      </c>
      <c r="H573" s="15"/>
    </row>
    <row r="574" spans="2:8" x14ac:dyDescent="0.35">
      <c r="B574" s="15" t="s">
        <v>1</v>
      </c>
      <c r="C574" s="15">
        <v>215.39</v>
      </c>
      <c r="D574" s="15">
        <v>0.41946</v>
      </c>
      <c r="E574" s="15">
        <v>1591605833.2358999</v>
      </c>
      <c r="F574" s="15" t="s">
        <v>547</v>
      </c>
      <c r="G574" s="15" t="s">
        <v>548</v>
      </c>
      <c r="H574" s="15"/>
    </row>
    <row r="575" spans="2:8" x14ac:dyDescent="0.35">
      <c r="B575" s="15" t="s">
        <v>1</v>
      </c>
      <c r="C575" s="15">
        <v>215.36</v>
      </c>
      <c r="D575" s="15">
        <v>6.4</v>
      </c>
      <c r="E575" s="15">
        <v>1591605833.2381999</v>
      </c>
      <c r="F575" s="15" t="s">
        <v>547</v>
      </c>
      <c r="G575" s="15" t="s">
        <v>548</v>
      </c>
      <c r="H575" s="15"/>
    </row>
    <row r="576" spans="2:8" x14ac:dyDescent="0.35">
      <c r="B576" s="15" t="s">
        <v>1</v>
      </c>
      <c r="C576" s="15">
        <v>215.34</v>
      </c>
      <c r="D576" s="15">
        <v>3.1891679900000001</v>
      </c>
      <c r="E576" s="15">
        <v>1591605833.2402</v>
      </c>
      <c r="F576" s="15" t="s">
        <v>547</v>
      </c>
      <c r="G576" s="15" t="s">
        <v>548</v>
      </c>
      <c r="H576" s="15"/>
    </row>
    <row r="577" spans="2:8" x14ac:dyDescent="0.35">
      <c r="B577" s="15" t="s">
        <v>1</v>
      </c>
      <c r="C577" s="15">
        <v>215.34</v>
      </c>
      <c r="D577" s="15">
        <v>8.2703399999999993E-3</v>
      </c>
      <c r="E577" s="15">
        <v>1591605833.2419</v>
      </c>
      <c r="F577" s="15" t="s">
        <v>547</v>
      </c>
      <c r="G577" s="15" t="s">
        <v>548</v>
      </c>
      <c r="H577" s="15"/>
    </row>
    <row r="578" spans="2:8" x14ac:dyDescent="0.35">
      <c r="B578" s="15" t="s">
        <v>1</v>
      </c>
      <c r="C578" s="15">
        <v>215.34</v>
      </c>
      <c r="D578" s="15">
        <v>2.145E-5</v>
      </c>
      <c r="E578" s="15">
        <v>1591605833.2433</v>
      </c>
      <c r="F578" s="15" t="s">
        <v>547</v>
      </c>
      <c r="G578" s="15" t="s">
        <v>548</v>
      </c>
      <c r="H578" s="15"/>
    </row>
    <row r="579" spans="2:8" x14ac:dyDescent="0.35">
      <c r="B579" s="15" t="s">
        <v>1</v>
      </c>
      <c r="C579" s="15">
        <v>215.39</v>
      </c>
      <c r="D579" s="15">
        <v>0.28318639000000001</v>
      </c>
      <c r="E579" s="15">
        <v>1591605897.197</v>
      </c>
      <c r="F579" s="15" t="s">
        <v>545</v>
      </c>
      <c r="G579" s="15" t="s">
        <v>546</v>
      </c>
      <c r="H579" s="15"/>
    </row>
    <row r="580" spans="2:8" x14ac:dyDescent="0.35">
      <c r="B580" s="15" t="s">
        <v>1</v>
      </c>
      <c r="C580" s="15">
        <v>215.37</v>
      </c>
      <c r="D580" s="15">
        <v>4.1150000000000002</v>
      </c>
      <c r="E580" s="15">
        <v>1591605918.2634001</v>
      </c>
      <c r="F580" s="15" t="s">
        <v>545</v>
      </c>
      <c r="G580" s="15" t="s">
        <v>548</v>
      </c>
      <c r="H580" s="15"/>
    </row>
    <row r="581" spans="2:8" x14ac:dyDescent="0.35">
      <c r="B581" s="15" t="s">
        <v>1</v>
      </c>
      <c r="C581" s="15">
        <v>215.39</v>
      </c>
      <c r="D581" s="15">
        <v>0.88941968000000005</v>
      </c>
      <c r="E581" s="15">
        <v>1591605918.2701001</v>
      </c>
      <c r="F581" s="15" t="s">
        <v>545</v>
      </c>
      <c r="G581" s="15" t="s">
        <v>548</v>
      </c>
      <c r="H581" s="15"/>
    </row>
    <row r="582" spans="2:8" x14ac:dyDescent="0.35">
      <c r="B582" s="15" t="s">
        <v>1</v>
      </c>
      <c r="C582" s="15">
        <v>215.36</v>
      </c>
      <c r="D582" s="15">
        <v>9.9750619999999998E-2</v>
      </c>
      <c r="E582" s="15">
        <v>1591605945.3892</v>
      </c>
      <c r="F582" s="15" t="s">
        <v>547</v>
      </c>
      <c r="G582" s="15" t="s">
        <v>548</v>
      </c>
      <c r="H582" s="15"/>
    </row>
    <row r="583" spans="2:8" x14ac:dyDescent="0.35">
      <c r="B583" s="15" t="s">
        <v>1</v>
      </c>
      <c r="C583" s="15">
        <v>215.36</v>
      </c>
      <c r="D583" s="15">
        <v>1.3615855400000001</v>
      </c>
      <c r="E583" s="15">
        <v>1591605948.1749001</v>
      </c>
      <c r="F583" s="15" t="s">
        <v>545</v>
      </c>
      <c r="G583" s="15" t="s">
        <v>546</v>
      </c>
      <c r="H583" s="15"/>
    </row>
    <row r="584" spans="2:8" x14ac:dyDescent="0.35">
      <c r="B584" s="15" t="s">
        <v>1</v>
      </c>
      <c r="C584" s="15">
        <v>215.36</v>
      </c>
      <c r="D584" s="15">
        <v>2.17446E-3</v>
      </c>
      <c r="E584" s="15">
        <v>1591605948.1861999</v>
      </c>
      <c r="F584" s="15" t="s">
        <v>545</v>
      </c>
      <c r="G584" s="15" t="s">
        <v>546</v>
      </c>
      <c r="H584" s="15"/>
    </row>
    <row r="585" spans="2:8" x14ac:dyDescent="0.35">
      <c r="B585" s="15" t="s">
        <v>1</v>
      </c>
      <c r="C585" s="15">
        <v>215.4</v>
      </c>
      <c r="D585" s="15">
        <v>0.14499999999999999</v>
      </c>
      <c r="E585" s="15">
        <v>1591605948.1884</v>
      </c>
      <c r="F585" s="15" t="s">
        <v>545</v>
      </c>
      <c r="G585" s="15" t="s">
        <v>546</v>
      </c>
      <c r="H585" s="15"/>
    </row>
    <row r="586" spans="2:8" x14ac:dyDescent="0.35">
      <c r="B586" s="15" t="s">
        <v>1</v>
      </c>
      <c r="C586" s="15">
        <v>215.4</v>
      </c>
      <c r="D586" s="15">
        <v>2.1459372800000001</v>
      </c>
      <c r="E586" s="15">
        <v>1591605948.1898</v>
      </c>
      <c r="F586" s="15" t="s">
        <v>545</v>
      </c>
      <c r="G586" s="15" t="s">
        <v>546</v>
      </c>
      <c r="H586" s="15"/>
    </row>
    <row r="587" spans="2:8" x14ac:dyDescent="0.35">
      <c r="B587" s="15" t="s">
        <v>1</v>
      </c>
      <c r="C587" s="15">
        <v>215.42</v>
      </c>
      <c r="D587" s="15">
        <v>0.92816823000000004</v>
      </c>
      <c r="E587" s="15">
        <v>1591605957.029</v>
      </c>
      <c r="F587" s="15" t="s">
        <v>545</v>
      </c>
      <c r="G587" s="15" t="s">
        <v>548</v>
      </c>
      <c r="H587" s="15"/>
    </row>
    <row r="588" spans="2:8" x14ac:dyDescent="0.35">
      <c r="B588" s="15" t="s">
        <v>1</v>
      </c>
      <c r="C588" s="15">
        <v>215.42</v>
      </c>
      <c r="D588" s="15">
        <v>1.8317699999999999E-3</v>
      </c>
      <c r="E588" s="15">
        <v>1591605957.0335</v>
      </c>
      <c r="F588" s="15" t="s">
        <v>545</v>
      </c>
      <c r="G588" s="15" t="s">
        <v>548</v>
      </c>
      <c r="H588" s="15"/>
    </row>
    <row r="589" spans="2:8" x14ac:dyDescent="0.35">
      <c r="B589" s="15" t="s">
        <v>1</v>
      </c>
      <c r="C589" s="15">
        <v>215.36</v>
      </c>
      <c r="D589" s="15">
        <v>1.16656</v>
      </c>
      <c r="E589" s="15">
        <v>1591605987.7862999</v>
      </c>
      <c r="F589" s="15" t="s">
        <v>547</v>
      </c>
      <c r="G589" s="15" t="s">
        <v>546</v>
      </c>
      <c r="H589" s="15"/>
    </row>
    <row r="590" spans="2:8" x14ac:dyDescent="0.35">
      <c r="B590" s="15" t="s">
        <v>1</v>
      </c>
      <c r="C590" s="15">
        <v>215.36</v>
      </c>
      <c r="D590" s="15">
        <v>0.4</v>
      </c>
      <c r="E590" s="15">
        <v>1591605994.7072999</v>
      </c>
      <c r="F590" s="15" t="s">
        <v>547</v>
      </c>
      <c r="G590" s="15" t="s">
        <v>548</v>
      </c>
      <c r="H590" s="15"/>
    </row>
    <row r="591" spans="2:8" x14ac:dyDescent="0.35">
      <c r="B591" s="15" t="s">
        <v>1</v>
      </c>
      <c r="C591" s="15">
        <v>215.38</v>
      </c>
      <c r="D591" s="15">
        <v>1</v>
      </c>
      <c r="E591" s="15">
        <v>1591606049.5506999</v>
      </c>
      <c r="F591" s="15" t="s">
        <v>545</v>
      </c>
      <c r="G591" s="15" t="s">
        <v>546</v>
      </c>
      <c r="H591" s="15"/>
    </row>
    <row r="592" spans="2:8" x14ac:dyDescent="0.35">
      <c r="B592" s="15" t="s">
        <v>1</v>
      </c>
      <c r="C592" s="15">
        <v>215.36</v>
      </c>
      <c r="D592" s="15">
        <v>4.5350000000000001</v>
      </c>
      <c r="E592" s="15">
        <v>1591606065.7061</v>
      </c>
      <c r="F592" s="15" t="s">
        <v>547</v>
      </c>
      <c r="G592" s="15" t="s">
        <v>546</v>
      </c>
      <c r="H592" s="15"/>
    </row>
    <row r="593" spans="2:8" x14ac:dyDescent="0.35">
      <c r="B593" s="15" t="s">
        <v>1</v>
      </c>
      <c r="C593" s="15">
        <v>215.36</v>
      </c>
      <c r="D593" s="15">
        <v>15.942856470000001</v>
      </c>
      <c r="E593" s="15">
        <v>1591606065.7133999</v>
      </c>
      <c r="F593" s="15" t="s">
        <v>547</v>
      </c>
      <c r="G593" s="15" t="s">
        <v>546</v>
      </c>
      <c r="H593" s="15"/>
    </row>
    <row r="594" spans="2:8" x14ac:dyDescent="0.35">
      <c r="B594" s="15" t="s">
        <v>1</v>
      </c>
      <c r="C594" s="15">
        <v>215.44</v>
      </c>
      <c r="D594" s="15">
        <v>0.85689855000000004</v>
      </c>
      <c r="E594" s="15">
        <v>1591606085.4223001</v>
      </c>
      <c r="F594" s="15" t="s">
        <v>545</v>
      </c>
      <c r="G594" s="15" t="s">
        <v>548</v>
      </c>
      <c r="H594" s="15"/>
    </row>
    <row r="595" spans="2:8" x14ac:dyDescent="0.35">
      <c r="B595" s="15" t="s">
        <v>1</v>
      </c>
      <c r="C595" s="15">
        <v>215.45</v>
      </c>
      <c r="D595" s="15">
        <v>2.05023556</v>
      </c>
      <c r="E595" s="15">
        <v>1591606106.6464</v>
      </c>
      <c r="F595" s="15" t="s">
        <v>545</v>
      </c>
      <c r="G595" s="15" t="s">
        <v>546</v>
      </c>
      <c r="H595" s="15"/>
    </row>
    <row r="596" spans="2:8" x14ac:dyDescent="0.35">
      <c r="B596" s="15" t="s">
        <v>1</v>
      </c>
      <c r="C596" s="15">
        <v>215.46</v>
      </c>
      <c r="D596" s="15">
        <v>1.30374327</v>
      </c>
      <c r="E596" s="15">
        <v>1591606140.0090001</v>
      </c>
      <c r="F596" s="15" t="s">
        <v>545</v>
      </c>
      <c r="G596" s="15" t="s">
        <v>548</v>
      </c>
      <c r="H596" s="15"/>
    </row>
    <row r="597" spans="2:8" x14ac:dyDescent="0.35">
      <c r="B597" s="15" t="s">
        <v>1</v>
      </c>
      <c r="C597" s="15">
        <v>215.46</v>
      </c>
      <c r="D597" s="15">
        <v>0.1</v>
      </c>
      <c r="E597" s="15">
        <v>1591606142.0179999</v>
      </c>
      <c r="F597" s="15" t="s">
        <v>545</v>
      </c>
      <c r="G597" s="15" t="s">
        <v>546</v>
      </c>
      <c r="H597" s="15"/>
    </row>
    <row r="598" spans="2:8" x14ac:dyDescent="0.35">
      <c r="B598" s="15" t="s">
        <v>1</v>
      </c>
      <c r="C598" s="15">
        <v>215.46</v>
      </c>
      <c r="D598" s="15">
        <v>1.85482514</v>
      </c>
      <c r="E598" s="15">
        <v>1591606152.8078001</v>
      </c>
      <c r="F598" s="15" t="s">
        <v>545</v>
      </c>
      <c r="G598" s="15" t="s">
        <v>548</v>
      </c>
      <c r="H598" s="15"/>
    </row>
    <row r="599" spans="2:8" x14ac:dyDescent="0.35">
      <c r="B599" s="15" t="s">
        <v>1</v>
      </c>
      <c r="C599" s="15">
        <v>215.46</v>
      </c>
      <c r="D599" s="15">
        <v>0.13294707</v>
      </c>
      <c r="E599" s="15">
        <v>1591606172.3350999</v>
      </c>
      <c r="F599" s="15" t="s">
        <v>545</v>
      </c>
      <c r="G599" s="15" t="s">
        <v>548</v>
      </c>
      <c r="H599" s="15"/>
    </row>
    <row r="600" spans="2:8" x14ac:dyDescent="0.35">
      <c r="B600" s="15" t="s">
        <v>1</v>
      </c>
      <c r="C600" s="15">
        <v>215.42</v>
      </c>
      <c r="D600" s="15">
        <v>4.607936E-2</v>
      </c>
      <c r="E600" s="15">
        <v>1591606212.9724</v>
      </c>
      <c r="F600" s="15" t="s">
        <v>545</v>
      </c>
      <c r="G600" s="15" t="s">
        <v>548</v>
      </c>
      <c r="H600" s="15"/>
    </row>
    <row r="601" spans="2:8" x14ac:dyDescent="0.35">
      <c r="B601" s="15" t="s">
        <v>1</v>
      </c>
      <c r="C601" s="15">
        <v>215.42</v>
      </c>
      <c r="D601" s="15">
        <v>0.46079360000000003</v>
      </c>
      <c r="E601" s="15">
        <v>1591606242.9022999</v>
      </c>
      <c r="F601" s="15" t="s">
        <v>545</v>
      </c>
      <c r="G601" s="15" t="s">
        <v>548</v>
      </c>
      <c r="H601" s="15"/>
    </row>
    <row r="602" spans="2:8" x14ac:dyDescent="0.35">
      <c r="B602" s="15" t="s">
        <v>1</v>
      </c>
      <c r="C602" s="15">
        <v>215.42</v>
      </c>
      <c r="D602" s="15">
        <v>0.56946985000000006</v>
      </c>
      <c r="E602" s="15">
        <v>1591606244.0796001</v>
      </c>
      <c r="F602" s="15" t="s">
        <v>545</v>
      </c>
      <c r="G602" s="15" t="s">
        <v>546</v>
      </c>
      <c r="H602" s="15"/>
    </row>
    <row r="603" spans="2:8" x14ac:dyDescent="0.35">
      <c r="B603" s="15" t="s">
        <v>1</v>
      </c>
      <c r="C603" s="15">
        <v>215.48</v>
      </c>
      <c r="D603" s="15">
        <v>4.5069410000000003</v>
      </c>
      <c r="E603" s="15">
        <v>1591606247.8425</v>
      </c>
      <c r="F603" s="15" t="s">
        <v>545</v>
      </c>
      <c r="G603" s="15" t="s">
        <v>548</v>
      </c>
      <c r="H603" s="15"/>
    </row>
    <row r="604" spans="2:8" x14ac:dyDescent="0.35">
      <c r="B604" s="15" t="s">
        <v>1</v>
      </c>
      <c r="C604" s="15">
        <v>215.43</v>
      </c>
      <c r="D604" s="15">
        <v>4.6420940000000001E-2</v>
      </c>
      <c r="E604" s="15">
        <v>1591606300.1882</v>
      </c>
      <c r="F604" s="15" t="s">
        <v>545</v>
      </c>
      <c r="G604" s="15" t="s">
        <v>548</v>
      </c>
      <c r="H604" s="15"/>
    </row>
    <row r="605" spans="2:8" x14ac:dyDescent="0.35">
      <c r="B605" s="15" t="s">
        <v>1</v>
      </c>
      <c r="C605" s="15">
        <v>215.42</v>
      </c>
      <c r="D605" s="15">
        <v>0.23475908000000001</v>
      </c>
      <c r="E605" s="15">
        <v>1591606317.7629001</v>
      </c>
      <c r="F605" s="15" t="s">
        <v>545</v>
      </c>
      <c r="G605" s="15" t="s">
        <v>548</v>
      </c>
      <c r="H605" s="15"/>
    </row>
    <row r="606" spans="2:8" x14ac:dyDescent="0.35">
      <c r="B606" s="15" t="s">
        <v>1</v>
      </c>
      <c r="C606" s="15">
        <v>215.42</v>
      </c>
      <c r="D606" s="15">
        <v>0.02</v>
      </c>
      <c r="E606" s="15">
        <v>1591606318.8239</v>
      </c>
      <c r="F606" s="15" t="s">
        <v>545</v>
      </c>
      <c r="G606" s="15" t="s">
        <v>548</v>
      </c>
      <c r="H606" s="15"/>
    </row>
    <row r="607" spans="2:8" x14ac:dyDescent="0.35">
      <c r="B607" s="15" t="s">
        <v>1</v>
      </c>
      <c r="C607" s="15">
        <v>215.41</v>
      </c>
      <c r="D607" s="15">
        <v>0.11265284</v>
      </c>
      <c r="E607" s="15">
        <v>1591606323.5473001</v>
      </c>
      <c r="F607" s="15" t="s">
        <v>547</v>
      </c>
      <c r="G607" s="15" t="s">
        <v>548</v>
      </c>
      <c r="H607" s="15"/>
    </row>
    <row r="608" spans="2:8" x14ac:dyDescent="0.35">
      <c r="B608" s="15" t="s">
        <v>1</v>
      </c>
      <c r="C608" s="15">
        <v>215.41</v>
      </c>
      <c r="D608" s="15">
        <v>2.6971999999999999E-4</v>
      </c>
      <c r="E608" s="15">
        <v>1591606323.5518</v>
      </c>
      <c r="F608" s="15" t="s">
        <v>547</v>
      </c>
      <c r="G608" s="15" t="s">
        <v>548</v>
      </c>
      <c r="H608" s="15"/>
    </row>
    <row r="609" spans="2:8" x14ac:dyDescent="0.35">
      <c r="B609" s="15" t="s">
        <v>1</v>
      </c>
      <c r="C609" s="15">
        <v>215.41</v>
      </c>
      <c r="D609" s="15">
        <v>6.5000000000000002E-7</v>
      </c>
      <c r="E609" s="15">
        <v>1591606323.5546</v>
      </c>
      <c r="F609" s="15" t="s">
        <v>547</v>
      </c>
      <c r="G609" s="15" t="s">
        <v>548</v>
      </c>
      <c r="H609" s="15"/>
    </row>
    <row r="610" spans="2:8" x14ac:dyDescent="0.35">
      <c r="B610" s="15" t="s">
        <v>1</v>
      </c>
      <c r="C610" s="15">
        <v>215.41</v>
      </c>
      <c r="D610" s="15">
        <v>4.7544679999999999E-2</v>
      </c>
      <c r="E610" s="15">
        <v>1591606334.5402</v>
      </c>
      <c r="F610" s="15" t="s">
        <v>547</v>
      </c>
      <c r="G610" s="15" t="s">
        <v>546</v>
      </c>
      <c r="H610" s="15"/>
    </row>
    <row r="611" spans="2:8" x14ac:dyDescent="0.35">
      <c r="B611" s="15" t="s">
        <v>1</v>
      </c>
      <c r="C611" s="15">
        <v>215.44</v>
      </c>
      <c r="D611" s="15">
        <v>0.23035401999999999</v>
      </c>
      <c r="E611" s="15">
        <v>1591606358.2379</v>
      </c>
      <c r="F611" s="15" t="s">
        <v>545</v>
      </c>
      <c r="G611" s="15" t="s">
        <v>548</v>
      </c>
      <c r="H611" s="15"/>
    </row>
    <row r="612" spans="2:8" x14ac:dyDescent="0.35">
      <c r="B612" s="15" t="s">
        <v>1</v>
      </c>
      <c r="C612" s="15">
        <v>215.44</v>
      </c>
      <c r="D612" s="15">
        <v>2.8065670300000001</v>
      </c>
      <c r="E612" s="15">
        <v>1591606363.5936999</v>
      </c>
      <c r="F612" s="15" t="s">
        <v>545</v>
      </c>
      <c r="G612" s="15" t="s">
        <v>548</v>
      </c>
      <c r="H612" s="15"/>
    </row>
    <row r="613" spans="2:8" x14ac:dyDescent="0.35">
      <c r="B613" s="15" t="s">
        <v>1</v>
      </c>
      <c r="C613" s="15">
        <v>215.44</v>
      </c>
      <c r="D613" s="15">
        <v>3.43297E-3</v>
      </c>
      <c r="E613" s="15">
        <v>1591606363.6408999</v>
      </c>
      <c r="F613" s="15" t="s">
        <v>545</v>
      </c>
      <c r="G613" s="15" t="s">
        <v>548</v>
      </c>
      <c r="H613" s="15"/>
    </row>
    <row r="614" spans="2:8" x14ac:dyDescent="0.35">
      <c r="B614" s="15" t="s">
        <v>1</v>
      </c>
      <c r="C614" s="15">
        <v>215.44</v>
      </c>
      <c r="D614" s="15">
        <v>4.0833300000000003E-2</v>
      </c>
      <c r="E614" s="15">
        <v>1591606369.8912001</v>
      </c>
      <c r="F614" s="15" t="s">
        <v>545</v>
      </c>
      <c r="G614" s="15" t="s">
        <v>548</v>
      </c>
      <c r="H614" s="15"/>
    </row>
    <row r="615" spans="2:8" x14ac:dyDescent="0.35">
      <c r="B615" s="15" t="s">
        <v>1</v>
      </c>
      <c r="C615" s="15">
        <v>215.43</v>
      </c>
      <c r="D615" s="15">
        <v>8.3389460799999995</v>
      </c>
      <c r="E615" s="15">
        <v>1591606379.0230999</v>
      </c>
      <c r="F615" s="15" t="s">
        <v>547</v>
      </c>
      <c r="G615" s="15" t="s">
        <v>546</v>
      </c>
      <c r="H615" s="15"/>
    </row>
    <row r="616" spans="2:8" x14ac:dyDescent="0.35">
      <c r="B616" s="15" t="s">
        <v>1</v>
      </c>
      <c r="C616" s="15">
        <v>215.43</v>
      </c>
      <c r="D616" s="15">
        <v>11.661053920000001</v>
      </c>
      <c r="E616" s="15">
        <v>1591606379.0555</v>
      </c>
      <c r="F616" s="15" t="s">
        <v>547</v>
      </c>
      <c r="G616" s="15" t="s">
        <v>546</v>
      </c>
      <c r="H616" s="15"/>
    </row>
    <row r="617" spans="2:8" x14ac:dyDescent="0.35">
      <c r="B617" s="15" t="s">
        <v>1</v>
      </c>
      <c r="C617" s="15">
        <v>215.41</v>
      </c>
      <c r="D617" s="15">
        <v>23.05103575</v>
      </c>
      <c r="E617" s="15">
        <v>1591606379.0581</v>
      </c>
      <c r="F617" s="15" t="s">
        <v>547</v>
      </c>
      <c r="G617" s="15" t="s">
        <v>546</v>
      </c>
      <c r="H617" s="15"/>
    </row>
    <row r="618" spans="2:8" x14ac:dyDescent="0.35">
      <c r="B618" s="15" t="s">
        <v>1</v>
      </c>
      <c r="C618" s="15">
        <v>215.41</v>
      </c>
      <c r="D618" s="15">
        <v>60</v>
      </c>
      <c r="E618" s="15">
        <v>1591606379.0596001</v>
      </c>
      <c r="F618" s="15" t="s">
        <v>547</v>
      </c>
      <c r="G618" s="15" t="s">
        <v>546</v>
      </c>
      <c r="H618" s="15"/>
    </row>
    <row r="619" spans="2:8" x14ac:dyDescent="0.35">
      <c r="B619" s="15" t="s">
        <v>1</v>
      </c>
      <c r="C619" s="15">
        <v>215.35</v>
      </c>
      <c r="D619" s="15">
        <v>5.8199999900000003</v>
      </c>
      <c r="E619" s="15">
        <v>1591606379.0613</v>
      </c>
      <c r="F619" s="15" t="s">
        <v>547</v>
      </c>
      <c r="G619" s="15" t="s">
        <v>546</v>
      </c>
      <c r="H619" s="15"/>
    </row>
    <row r="620" spans="2:8" x14ac:dyDescent="0.35">
      <c r="B620" s="15" t="s">
        <v>1</v>
      </c>
      <c r="C620" s="15">
        <v>215.34</v>
      </c>
      <c r="D620" s="15">
        <v>1.8</v>
      </c>
      <c r="E620" s="15">
        <v>1591606379.063</v>
      </c>
      <c r="F620" s="15" t="s">
        <v>547</v>
      </c>
      <c r="G620" s="15" t="s">
        <v>546</v>
      </c>
      <c r="H620" s="15"/>
    </row>
    <row r="621" spans="2:8" x14ac:dyDescent="0.35">
      <c r="B621" s="15" t="s">
        <v>1</v>
      </c>
      <c r="C621" s="15">
        <v>215.32</v>
      </c>
      <c r="D621" s="15">
        <v>9.1787904499999993</v>
      </c>
      <c r="E621" s="15">
        <v>1591606379.0648</v>
      </c>
      <c r="F621" s="15" t="s">
        <v>547</v>
      </c>
      <c r="G621" s="15" t="s">
        <v>546</v>
      </c>
      <c r="H621" s="15"/>
    </row>
    <row r="622" spans="2:8" x14ac:dyDescent="0.35">
      <c r="B622" s="15" t="s">
        <v>1</v>
      </c>
      <c r="C622" s="15">
        <v>215.32</v>
      </c>
      <c r="D622" s="15">
        <v>2.017381E-2</v>
      </c>
      <c r="E622" s="15">
        <v>1591606379.0662</v>
      </c>
      <c r="F622" s="15" t="s">
        <v>547</v>
      </c>
      <c r="G622" s="15" t="s">
        <v>546</v>
      </c>
      <c r="H622" s="15"/>
    </row>
    <row r="623" spans="2:8" x14ac:dyDescent="0.35">
      <c r="B623" s="15" t="s">
        <v>1</v>
      </c>
      <c r="C623" s="15">
        <v>215.33</v>
      </c>
      <c r="D623" s="15">
        <v>0.83161499999999999</v>
      </c>
      <c r="E623" s="15">
        <v>1591606394.4277999</v>
      </c>
      <c r="F623" s="15" t="s">
        <v>547</v>
      </c>
      <c r="G623" s="15" t="s">
        <v>548</v>
      </c>
      <c r="H623" s="15"/>
    </row>
    <row r="624" spans="2:8" x14ac:dyDescent="0.35">
      <c r="B624" s="15" t="s">
        <v>1</v>
      </c>
      <c r="C624" s="15">
        <v>215.37</v>
      </c>
      <c r="D624" s="15">
        <v>1</v>
      </c>
      <c r="E624" s="15">
        <v>1591606394.5325999</v>
      </c>
      <c r="F624" s="15" t="s">
        <v>545</v>
      </c>
      <c r="G624" s="15" t="s">
        <v>548</v>
      </c>
      <c r="H624" s="15"/>
    </row>
    <row r="625" spans="2:8" x14ac:dyDescent="0.35">
      <c r="B625" s="15" t="s">
        <v>1</v>
      </c>
      <c r="C625" s="15">
        <v>215.34</v>
      </c>
      <c r="D625" s="15">
        <v>10.147</v>
      </c>
      <c r="E625" s="15">
        <v>1591606398.9816</v>
      </c>
      <c r="F625" s="15" t="s">
        <v>547</v>
      </c>
      <c r="G625" s="15" t="s">
        <v>548</v>
      </c>
      <c r="H625" s="15"/>
    </row>
    <row r="626" spans="2:8" x14ac:dyDescent="0.35">
      <c r="B626" s="15" t="s">
        <v>1</v>
      </c>
      <c r="C626" s="15">
        <v>215.32</v>
      </c>
      <c r="D626" s="15">
        <v>0.02</v>
      </c>
      <c r="E626" s="15">
        <v>1591606438.4741001</v>
      </c>
      <c r="F626" s="15" t="s">
        <v>547</v>
      </c>
      <c r="G626" s="15" t="s">
        <v>548</v>
      </c>
      <c r="H626" s="15"/>
    </row>
    <row r="627" spans="2:8" x14ac:dyDescent="0.35">
      <c r="B627" s="15" t="s">
        <v>1</v>
      </c>
      <c r="C627" s="15">
        <v>215.33</v>
      </c>
      <c r="D627" s="15">
        <v>0.02</v>
      </c>
      <c r="E627" s="15">
        <v>1591606455.4244001</v>
      </c>
      <c r="F627" s="15" t="s">
        <v>547</v>
      </c>
      <c r="G627" s="15" t="s">
        <v>548</v>
      </c>
      <c r="H627" s="15"/>
    </row>
    <row r="628" spans="2:8" x14ac:dyDescent="0.35">
      <c r="B628" s="15" t="s">
        <v>1</v>
      </c>
      <c r="C628" s="15">
        <v>215.35</v>
      </c>
      <c r="D628" s="15">
        <v>0.02</v>
      </c>
      <c r="E628" s="15">
        <v>1591606477.1366</v>
      </c>
      <c r="F628" s="15" t="s">
        <v>547</v>
      </c>
      <c r="G628" s="15" t="s">
        <v>548</v>
      </c>
      <c r="H628" s="15"/>
    </row>
    <row r="629" spans="2:8" x14ac:dyDescent="0.35">
      <c r="B629" s="15" t="s">
        <v>1</v>
      </c>
      <c r="C629" s="15">
        <v>215.36</v>
      </c>
      <c r="D629" s="15">
        <v>4.6087910000000003E-2</v>
      </c>
      <c r="E629" s="15">
        <v>1591606477.6324999</v>
      </c>
      <c r="F629" s="15" t="s">
        <v>545</v>
      </c>
      <c r="G629" s="15" t="s">
        <v>548</v>
      </c>
      <c r="H629" s="15"/>
    </row>
    <row r="630" spans="2:8" x14ac:dyDescent="0.35">
      <c r="B630" s="15" t="s">
        <v>1</v>
      </c>
      <c r="C630" s="15">
        <v>215.36</v>
      </c>
      <c r="D630" s="15">
        <v>7</v>
      </c>
      <c r="E630" s="15">
        <v>1591606479.8710001</v>
      </c>
      <c r="F630" s="15" t="s">
        <v>545</v>
      </c>
      <c r="G630" s="15" t="s">
        <v>548</v>
      </c>
      <c r="H630" s="15"/>
    </row>
    <row r="631" spans="2:8" x14ac:dyDescent="0.35">
      <c r="B631" s="15" t="s">
        <v>1</v>
      </c>
      <c r="C631" s="15">
        <v>215.35</v>
      </c>
      <c r="D631" s="15">
        <v>0.105</v>
      </c>
      <c r="E631" s="15">
        <v>1591606488.3297999</v>
      </c>
      <c r="F631" s="15" t="s">
        <v>547</v>
      </c>
      <c r="G631" s="15" t="s">
        <v>548</v>
      </c>
      <c r="H631" s="15"/>
    </row>
    <row r="632" spans="2:8" x14ac:dyDescent="0.35">
      <c r="B632" s="15" t="s">
        <v>1</v>
      </c>
      <c r="C632" s="15">
        <v>215.35</v>
      </c>
      <c r="D632" s="15">
        <v>0.02</v>
      </c>
      <c r="E632" s="15">
        <v>1591606490.1789999</v>
      </c>
      <c r="F632" s="15" t="s">
        <v>547</v>
      </c>
      <c r="G632" s="15" t="s">
        <v>548</v>
      </c>
      <c r="H632" s="15"/>
    </row>
    <row r="633" spans="2:8" x14ac:dyDescent="0.35">
      <c r="B633" s="15" t="s">
        <v>1</v>
      </c>
      <c r="C633" s="15">
        <v>215.36</v>
      </c>
      <c r="D633" s="15">
        <v>1</v>
      </c>
      <c r="E633" s="15">
        <v>1591606496.0639</v>
      </c>
      <c r="F633" s="15" t="s">
        <v>545</v>
      </c>
      <c r="G633" s="15" t="s">
        <v>548</v>
      </c>
      <c r="H633" s="15"/>
    </row>
    <row r="634" spans="2:8" x14ac:dyDescent="0.35">
      <c r="B634" s="15" t="s">
        <v>1</v>
      </c>
      <c r="C634" s="15">
        <v>215.36</v>
      </c>
      <c r="D634" s="15">
        <v>0.34743213000000001</v>
      </c>
      <c r="E634" s="15">
        <v>1591606511.7066</v>
      </c>
      <c r="F634" s="15" t="s">
        <v>545</v>
      </c>
      <c r="G634" s="15" t="s">
        <v>548</v>
      </c>
      <c r="H634" s="15"/>
    </row>
    <row r="635" spans="2:8" x14ac:dyDescent="0.35">
      <c r="B635" s="15" t="s">
        <v>1</v>
      </c>
      <c r="C635" s="15">
        <v>215.35</v>
      </c>
      <c r="D635" s="15">
        <v>2.4550000000000001</v>
      </c>
      <c r="E635" s="15">
        <v>1591606538.6793001</v>
      </c>
      <c r="F635" s="15" t="s">
        <v>547</v>
      </c>
      <c r="G635" s="15" t="s">
        <v>546</v>
      </c>
      <c r="H635" s="15"/>
    </row>
    <row r="636" spans="2:8" x14ac:dyDescent="0.35">
      <c r="B636" s="15" t="s">
        <v>1</v>
      </c>
      <c r="C636" s="15">
        <v>215.35</v>
      </c>
      <c r="D636" s="15">
        <v>4.6434956200000004</v>
      </c>
      <c r="E636" s="15">
        <v>1591606538.6987</v>
      </c>
      <c r="F636" s="15" t="s">
        <v>547</v>
      </c>
      <c r="G636" s="15" t="s">
        <v>546</v>
      </c>
      <c r="H636" s="15"/>
    </row>
    <row r="637" spans="2:8" x14ac:dyDescent="0.35">
      <c r="B637" s="15" t="s">
        <v>1</v>
      </c>
      <c r="C637" s="15">
        <v>215.35</v>
      </c>
      <c r="D637" s="15">
        <v>6.2392716300000002</v>
      </c>
      <c r="E637" s="15">
        <v>1591606538.701</v>
      </c>
      <c r="F637" s="15" t="s">
        <v>547</v>
      </c>
      <c r="G637" s="15" t="s">
        <v>546</v>
      </c>
      <c r="H637" s="15"/>
    </row>
    <row r="638" spans="2:8" x14ac:dyDescent="0.35">
      <c r="B638" s="15" t="s">
        <v>1</v>
      </c>
      <c r="C638" s="15">
        <v>215.36</v>
      </c>
      <c r="D638" s="15">
        <v>4.6087910000000003E-2</v>
      </c>
      <c r="E638" s="15">
        <v>1591606542.1837001</v>
      </c>
      <c r="F638" s="15" t="s">
        <v>545</v>
      </c>
      <c r="G638" s="15" t="s">
        <v>548</v>
      </c>
      <c r="H638" s="15"/>
    </row>
    <row r="639" spans="2:8" x14ac:dyDescent="0.35">
      <c r="B639" s="15" t="s">
        <v>1</v>
      </c>
      <c r="C639" s="15">
        <v>215.35</v>
      </c>
      <c r="D639" s="15">
        <v>2.5118497400000002</v>
      </c>
      <c r="E639" s="15">
        <v>1591606566.8369999</v>
      </c>
      <c r="F639" s="15" t="s">
        <v>547</v>
      </c>
      <c r="G639" s="15" t="s">
        <v>548</v>
      </c>
      <c r="H639" s="15"/>
    </row>
    <row r="640" spans="2:8" x14ac:dyDescent="0.35">
      <c r="B640" s="15" t="s">
        <v>1</v>
      </c>
      <c r="C640" s="15">
        <v>215.36</v>
      </c>
      <c r="D640" s="15">
        <v>0.02</v>
      </c>
      <c r="E640" s="15">
        <v>1591606586.9338</v>
      </c>
      <c r="F640" s="15" t="s">
        <v>545</v>
      </c>
      <c r="G640" s="15" t="s">
        <v>548</v>
      </c>
      <c r="H640" s="15"/>
    </row>
    <row r="641" spans="2:8" x14ac:dyDescent="0.35">
      <c r="B641" s="15" t="s">
        <v>1</v>
      </c>
      <c r="C641" s="15">
        <v>215.35</v>
      </c>
      <c r="D641" s="15">
        <v>0.27360000000000001</v>
      </c>
      <c r="E641" s="15">
        <v>1591606591.2722001</v>
      </c>
      <c r="F641" s="15" t="s">
        <v>547</v>
      </c>
      <c r="G641" s="15" t="s">
        <v>546</v>
      </c>
      <c r="H641" s="15"/>
    </row>
    <row r="642" spans="2:8" x14ac:dyDescent="0.35">
      <c r="B642" s="15" t="s">
        <v>1</v>
      </c>
      <c r="C642" s="15">
        <v>215.35</v>
      </c>
      <c r="D642" s="15">
        <v>2.64E-2</v>
      </c>
      <c r="E642" s="15">
        <v>1591606591.2902</v>
      </c>
      <c r="F642" s="15" t="s">
        <v>547</v>
      </c>
      <c r="G642" s="15" t="s">
        <v>546</v>
      </c>
      <c r="H642" s="15"/>
    </row>
    <row r="643" spans="2:8" x14ac:dyDescent="0.35">
      <c r="B643" s="15" t="s">
        <v>1</v>
      </c>
      <c r="C643" s="15">
        <v>215.36</v>
      </c>
      <c r="D643" s="15">
        <v>1.80622493</v>
      </c>
      <c r="E643" s="15">
        <v>1591606594.3747001</v>
      </c>
      <c r="F643" s="15" t="s">
        <v>545</v>
      </c>
      <c r="G643" s="15" t="s">
        <v>546</v>
      </c>
      <c r="H643" s="15"/>
    </row>
    <row r="644" spans="2:8" x14ac:dyDescent="0.35">
      <c r="B644" s="15" t="s">
        <v>1</v>
      </c>
      <c r="C644" s="15">
        <v>215.35</v>
      </c>
      <c r="D644" s="15">
        <v>0.02</v>
      </c>
      <c r="E644" s="15">
        <v>1591606604.0120001</v>
      </c>
      <c r="F644" s="15" t="s">
        <v>547</v>
      </c>
      <c r="G644" s="15" t="s">
        <v>548</v>
      </c>
      <c r="H644" s="15"/>
    </row>
    <row r="645" spans="2:8" x14ac:dyDescent="0.35">
      <c r="B645" s="15" t="s">
        <v>1</v>
      </c>
      <c r="C645" s="15">
        <v>215.35</v>
      </c>
      <c r="D645" s="15">
        <v>0.02</v>
      </c>
      <c r="E645" s="15">
        <v>1591606620.5123999</v>
      </c>
      <c r="F645" s="15" t="s">
        <v>545</v>
      </c>
      <c r="G645" s="15" t="s">
        <v>548</v>
      </c>
      <c r="H645" s="15"/>
    </row>
    <row r="646" spans="2:8" x14ac:dyDescent="0.35">
      <c r="B646" s="15" t="s">
        <v>1</v>
      </c>
      <c r="C646" s="15">
        <v>215.36</v>
      </c>
      <c r="D646" s="15">
        <v>4.4639699999999997E-2</v>
      </c>
      <c r="E646" s="15">
        <v>1591606629.8369999</v>
      </c>
      <c r="F646" s="15" t="s">
        <v>545</v>
      </c>
      <c r="G646" s="15" t="s">
        <v>548</v>
      </c>
      <c r="H646" s="15"/>
    </row>
    <row r="647" spans="2:8" x14ac:dyDescent="0.35">
      <c r="B647" s="15" t="s">
        <v>1</v>
      </c>
      <c r="C647" s="15">
        <v>215.36</v>
      </c>
      <c r="D647" s="15">
        <v>0.05</v>
      </c>
      <c r="E647" s="15">
        <v>1591606643.3699</v>
      </c>
      <c r="F647" s="15" t="s">
        <v>545</v>
      </c>
      <c r="G647" s="15" t="s">
        <v>546</v>
      </c>
      <c r="H647" s="15"/>
    </row>
    <row r="648" spans="2:8" x14ac:dyDescent="0.35">
      <c r="B648" s="15" t="s">
        <v>1</v>
      </c>
      <c r="C648" s="15">
        <v>215.35</v>
      </c>
      <c r="D648" s="15">
        <v>0.02</v>
      </c>
      <c r="E648" s="15">
        <v>1591606679.2676001</v>
      </c>
      <c r="F648" s="15" t="s">
        <v>547</v>
      </c>
      <c r="G648" s="15" t="s">
        <v>548</v>
      </c>
      <c r="H648" s="15"/>
    </row>
    <row r="649" spans="2:8" x14ac:dyDescent="0.35">
      <c r="B649" s="15" t="s">
        <v>1</v>
      </c>
      <c r="C649" s="15">
        <v>215.35</v>
      </c>
      <c r="D649" s="15">
        <v>0.13272011</v>
      </c>
      <c r="E649" s="15">
        <v>1591606686.3281</v>
      </c>
      <c r="F649" s="15" t="s">
        <v>547</v>
      </c>
      <c r="G649" s="15" t="s">
        <v>548</v>
      </c>
      <c r="H649" s="15"/>
    </row>
    <row r="650" spans="2:8" x14ac:dyDescent="0.35">
      <c r="B650" s="15" t="s">
        <v>1</v>
      </c>
      <c r="C650" s="15">
        <v>215.35</v>
      </c>
      <c r="D650" s="15">
        <v>5.9826024499999999</v>
      </c>
      <c r="E650" s="15">
        <v>1591606726.4524</v>
      </c>
      <c r="F650" s="15" t="s">
        <v>547</v>
      </c>
      <c r="G650" s="15" t="s">
        <v>548</v>
      </c>
      <c r="H650" s="15"/>
    </row>
    <row r="651" spans="2:8" x14ac:dyDescent="0.35">
      <c r="B651" s="15" t="s">
        <v>1</v>
      </c>
      <c r="C651" s="15">
        <v>215.35</v>
      </c>
      <c r="D651" s="15">
        <v>1.5514429999999999E-2</v>
      </c>
      <c r="E651" s="15">
        <v>1591606726.4572999</v>
      </c>
      <c r="F651" s="15" t="s">
        <v>547</v>
      </c>
      <c r="G651" s="15" t="s">
        <v>548</v>
      </c>
      <c r="H651" s="15"/>
    </row>
    <row r="652" spans="2:8" x14ac:dyDescent="0.35">
      <c r="B652" s="15" t="s">
        <v>1</v>
      </c>
      <c r="C652" s="15">
        <v>215.35</v>
      </c>
      <c r="D652" s="15">
        <v>3.3120000000000001E-5</v>
      </c>
      <c r="E652" s="15">
        <v>1591606726.4586999</v>
      </c>
      <c r="F652" s="15" t="s">
        <v>547</v>
      </c>
      <c r="G652" s="15" t="s">
        <v>548</v>
      </c>
      <c r="H652" s="15"/>
    </row>
    <row r="653" spans="2:8" x14ac:dyDescent="0.35">
      <c r="B653" s="15" t="s">
        <v>1</v>
      </c>
      <c r="C653" s="15">
        <v>215.36</v>
      </c>
      <c r="D653" s="15">
        <v>1.9379322299999999</v>
      </c>
      <c r="E653" s="15">
        <v>1591606745.2158</v>
      </c>
      <c r="F653" s="15" t="s">
        <v>545</v>
      </c>
      <c r="G653" s="15" t="s">
        <v>546</v>
      </c>
      <c r="H653" s="15"/>
    </row>
    <row r="654" spans="2:8" x14ac:dyDescent="0.35">
      <c r="B654" s="15" t="s">
        <v>1</v>
      </c>
      <c r="C654" s="15">
        <v>215.36</v>
      </c>
      <c r="D654" s="15">
        <v>3.0951899999999998E-3</v>
      </c>
      <c r="E654" s="15">
        <v>1591606745.2235999</v>
      </c>
      <c r="F654" s="15" t="s">
        <v>545</v>
      </c>
      <c r="G654" s="15" t="s">
        <v>546</v>
      </c>
      <c r="H654" s="15"/>
    </row>
    <row r="655" spans="2:8" x14ac:dyDescent="0.35">
      <c r="B655" s="15" t="s">
        <v>1</v>
      </c>
      <c r="C655" s="15">
        <v>215.36</v>
      </c>
      <c r="D655" s="15">
        <v>0.54441419000000002</v>
      </c>
      <c r="E655" s="15">
        <v>1591606745.2263999</v>
      </c>
      <c r="F655" s="15" t="s">
        <v>545</v>
      </c>
      <c r="G655" s="15" t="s">
        <v>546</v>
      </c>
      <c r="H655" s="15"/>
    </row>
    <row r="656" spans="2:8" x14ac:dyDescent="0.35">
      <c r="B656" s="15" t="s">
        <v>1</v>
      </c>
      <c r="C656" s="15">
        <v>215.36</v>
      </c>
      <c r="D656" s="15">
        <v>0.23300936</v>
      </c>
      <c r="E656" s="15">
        <v>1591606752.8227999</v>
      </c>
      <c r="F656" s="15" t="s">
        <v>545</v>
      </c>
      <c r="G656" s="15" t="s">
        <v>546</v>
      </c>
      <c r="H656" s="15"/>
    </row>
    <row r="657" spans="2:8" x14ac:dyDescent="0.35">
      <c r="B657" s="15" t="s">
        <v>1</v>
      </c>
      <c r="C657" s="15">
        <v>215.35</v>
      </c>
      <c r="D657" s="15">
        <v>0.60507560000000005</v>
      </c>
      <c r="E657" s="15">
        <v>1591606866.8461001</v>
      </c>
      <c r="F657" s="15" t="s">
        <v>547</v>
      </c>
      <c r="G657" s="15" t="s">
        <v>548</v>
      </c>
      <c r="H657" s="15"/>
    </row>
    <row r="658" spans="2:8" x14ac:dyDescent="0.35">
      <c r="B658" s="15" t="s">
        <v>1</v>
      </c>
      <c r="C658" s="15">
        <v>215.36</v>
      </c>
      <c r="D658" s="15">
        <v>0.21457641999999999</v>
      </c>
      <c r="E658" s="15">
        <v>1591606871.8755</v>
      </c>
      <c r="F658" s="15" t="s">
        <v>545</v>
      </c>
      <c r="G658" s="15" t="s">
        <v>546</v>
      </c>
      <c r="H658" s="15"/>
    </row>
    <row r="659" spans="2:8" x14ac:dyDescent="0.35">
      <c r="B659" s="15" t="s">
        <v>1</v>
      </c>
      <c r="C659" s="15">
        <v>215.6</v>
      </c>
      <c r="D659" s="15">
        <v>1.1651440399999999</v>
      </c>
      <c r="E659" s="15">
        <v>1591606925.8784001</v>
      </c>
      <c r="F659" s="15" t="s">
        <v>545</v>
      </c>
      <c r="G659" s="15" t="s">
        <v>548</v>
      </c>
      <c r="H659" s="15"/>
    </row>
    <row r="660" spans="2:8" x14ac:dyDescent="0.35">
      <c r="B660" s="15" t="s">
        <v>1</v>
      </c>
      <c r="C660" s="15">
        <v>215.6</v>
      </c>
      <c r="D660" s="15">
        <v>1.8</v>
      </c>
      <c r="E660" s="15">
        <v>1591606925.8854001</v>
      </c>
      <c r="F660" s="15" t="s">
        <v>545</v>
      </c>
      <c r="G660" s="15" t="s">
        <v>548</v>
      </c>
      <c r="H660" s="15"/>
    </row>
    <row r="661" spans="2:8" x14ac:dyDescent="0.35">
      <c r="B661" s="15" t="s">
        <v>1</v>
      </c>
      <c r="C661" s="15">
        <v>215.64</v>
      </c>
      <c r="D661" s="15">
        <v>3.7046444599999999</v>
      </c>
      <c r="E661" s="15">
        <v>1591606925.8868999</v>
      </c>
      <c r="F661" s="15" t="s">
        <v>545</v>
      </c>
      <c r="G661" s="15" t="s">
        <v>548</v>
      </c>
      <c r="H661" s="15"/>
    </row>
    <row r="662" spans="2:8" x14ac:dyDescent="0.35">
      <c r="B662" s="15" t="s">
        <v>1</v>
      </c>
      <c r="C662" s="15">
        <v>215.58</v>
      </c>
      <c r="D662" s="15">
        <v>16.140364630000001</v>
      </c>
      <c r="E662" s="15">
        <v>1591606985.5752001</v>
      </c>
      <c r="F662" s="15" t="s">
        <v>545</v>
      </c>
      <c r="G662" s="15" t="s">
        <v>546</v>
      </c>
      <c r="H662" s="15"/>
    </row>
    <row r="663" spans="2:8" x14ac:dyDescent="0.35">
      <c r="B663" s="15" t="s">
        <v>1</v>
      </c>
      <c r="C663" s="15">
        <v>215.59</v>
      </c>
      <c r="D663" s="15">
        <v>0.54884215000000003</v>
      </c>
      <c r="E663" s="15">
        <v>1591606990.0803001</v>
      </c>
      <c r="F663" s="15" t="s">
        <v>545</v>
      </c>
      <c r="G663" s="15" t="s">
        <v>546</v>
      </c>
      <c r="H663" s="15"/>
    </row>
    <row r="664" spans="2:8" x14ac:dyDescent="0.35">
      <c r="B664" s="15" t="s">
        <v>1</v>
      </c>
      <c r="C664" s="15">
        <v>215.57</v>
      </c>
      <c r="D664" s="15">
        <v>5.2590558400000003</v>
      </c>
      <c r="E664" s="15">
        <v>1591607027.0918</v>
      </c>
      <c r="F664" s="15" t="s">
        <v>547</v>
      </c>
      <c r="G664" s="15" t="s">
        <v>546</v>
      </c>
      <c r="H664" s="15"/>
    </row>
    <row r="665" spans="2:8" x14ac:dyDescent="0.35">
      <c r="B665" s="15" t="s">
        <v>1</v>
      </c>
      <c r="C665" s="15">
        <v>215.57</v>
      </c>
      <c r="D665" s="15">
        <v>2.2208600000000001</v>
      </c>
      <c r="E665" s="15">
        <v>1591607036.0481</v>
      </c>
      <c r="F665" s="15" t="s">
        <v>547</v>
      </c>
      <c r="G665" s="15" t="s">
        <v>546</v>
      </c>
      <c r="H665" s="15"/>
    </row>
    <row r="666" spans="2:8" x14ac:dyDescent="0.35">
      <c r="B666" s="15" t="s">
        <v>1</v>
      </c>
      <c r="C666" s="15">
        <v>215.56</v>
      </c>
      <c r="D666" s="15">
        <v>0.29912979000000001</v>
      </c>
      <c r="E666" s="15">
        <v>1591607047.9607</v>
      </c>
      <c r="F666" s="15" t="s">
        <v>547</v>
      </c>
      <c r="G666" s="15" t="s">
        <v>546</v>
      </c>
      <c r="H666" s="15"/>
    </row>
    <row r="667" spans="2:8" x14ac:dyDescent="0.35">
      <c r="B667" s="15" t="s">
        <v>1</v>
      </c>
      <c r="C667" s="15">
        <v>215.56</v>
      </c>
      <c r="D667" s="15">
        <v>6.5664E-4</v>
      </c>
      <c r="E667" s="15">
        <v>1591607047.9809999</v>
      </c>
      <c r="F667" s="15" t="s">
        <v>547</v>
      </c>
      <c r="G667" s="15" t="s">
        <v>546</v>
      </c>
      <c r="H667" s="15"/>
    </row>
    <row r="668" spans="2:8" x14ac:dyDescent="0.35">
      <c r="B668" s="15" t="s">
        <v>1</v>
      </c>
      <c r="C668" s="15">
        <v>215.56</v>
      </c>
      <c r="D668" s="15">
        <v>1.44E-6</v>
      </c>
      <c r="E668" s="15">
        <v>1591607047.9832001</v>
      </c>
      <c r="F668" s="15" t="s">
        <v>547</v>
      </c>
      <c r="G668" s="15" t="s">
        <v>546</v>
      </c>
      <c r="H668" s="15"/>
    </row>
    <row r="669" spans="2:8" x14ac:dyDescent="0.35">
      <c r="B669" s="15" t="s">
        <v>1</v>
      </c>
      <c r="C669" s="15">
        <v>215.59</v>
      </c>
      <c r="D669" s="15">
        <v>1.81497576</v>
      </c>
      <c r="E669" s="15">
        <v>1591607090.5895</v>
      </c>
      <c r="F669" s="15" t="s">
        <v>545</v>
      </c>
      <c r="G669" s="15" t="s">
        <v>548</v>
      </c>
      <c r="H669" s="15"/>
    </row>
    <row r="670" spans="2:8" x14ac:dyDescent="0.35">
      <c r="B670" s="15" t="s">
        <v>1</v>
      </c>
      <c r="C670" s="15">
        <v>215.56</v>
      </c>
      <c r="D670" s="15">
        <v>0.19352896</v>
      </c>
      <c r="E670" s="15">
        <v>1591607100.4207001</v>
      </c>
      <c r="F670" s="15" t="s">
        <v>547</v>
      </c>
      <c r="G670" s="15" t="s">
        <v>548</v>
      </c>
      <c r="H670" s="15"/>
    </row>
    <row r="671" spans="2:8" x14ac:dyDescent="0.35">
      <c r="B671" s="15" t="s">
        <v>1</v>
      </c>
      <c r="C671" s="15">
        <v>215.57</v>
      </c>
      <c r="D671" s="15">
        <v>0.18518518</v>
      </c>
      <c r="E671" s="15">
        <v>1591607108.5524001</v>
      </c>
      <c r="F671" s="15" t="s">
        <v>545</v>
      </c>
      <c r="G671" s="15" t="s">
        <v>546</v>
      </c>
      <c r="H671" s="15"/>
    </row>
    <row r="672" spans="2:8" x14ac:dyDescent="0.35">
      <c r="B672" s="15" t="s">
        <v>1</v>
      </c>
      <c r="C672" s="15">
        <v>215.56</v>
      </c>
      <c r="D672" s="15">
        <v>2.6610569399999999</v>
      </c>
      <c r="E672" s="15">
        <v>1591607111.4442999</v>
      </c>
      <c r="F672" s="15" t="s">
        <v>545</v>
      </c>
      <c r="G672" s="15" t="s">
        <v>548</v>
      </c>
      <c r="H672" s="15"/>
    </row>
    <row r="673" spans="2:8" x14ac:dyDescent="0.35">
      <c r="B673" s="15" t="s">
        <v>1</v>
      </c>
      <c r="C673" s="15">
        <v>215.61</v>
      </c>
      <c r="D673" s="15">
        <v>2.2824271600000001</v>
      </c>
      <c r="E673" s="15">
        <v>1591607123.8683</v>
      </c>
      <c r="F673" s="15" t="s">
        <v>545</v>
      </c>
      <c r="G673" s="15" t="s">
        <v>548</v>
      </c>
      <c r="H673" s="15"/>
    </row>
    <row r="674" spans="2:8" x14ac:dyDescent="0.35">
      <c r="B674" s="15" t="s">
        <v>1</v>
      </c>
      <c r="C674" s="15">
        <v>215.55</v>
      </c>
      <c r="D674" s="15">
        <v>1.1685262599999999</v>
      </c>
      <c r="E674" s="15">
        <v>1591607134.6368001</v>
      </c>
      <c r="F674" s="15" t="s">
        <v>547</v>
      </c>
      <c r="G674" s="15" t="s">
        <v>548</v>
      </c>
      <c r="H674" s="15"/>
    </row>
    <row r="675" spans="2:8" x14ac:dyDescent="0.35">
      <c r="B675" s="15" t="s">
        <v>1</v>
      </c>
      <c r="C675" s="15">
        <v>215.56</v>
      </c>
      <c r="D675" s="15">
        <v>0.46390999999999999</v>
      </c>
      <c r="E675" s="15">
        <v>1591607146.0236001</v>
      </c>
      <c r="F675" s="15" t="s">
        <v>545</v>
      </c>
      <c r="G675" s="15" t="s">
        <v>548</v>
      </c>
      <c r="H675" s="15"/>
    </row>
    <row r="676" spans="2:8" x14ac:dyDescent="0.35">
      <c r="B676" s="15" t="s">
        <v>1</v>
      </c>
      <c r="C676" s="15">
        <v>215.6</v>
      </c>
      <c r="D676" s="15">
        <v>9.2090309999999995E-2</v>
      </c>
      <c r="E676" s="15">
        <v>1591607176.3255999</v>
      </c>
      <c r="F676" s="15" t="s">
        <v>545</v>
      </c>
      <c r="G676" s="15" t="s">
        <v>548</v>
      </c>
      <c r="H676" s="15"/>
    </row>
    <row r="677" spans="2:8" x14ac:dyDescent="0.35">
      <c r="B677" s="15" t="s">
        <v>1</v>
      </c>
      <c r="C677" s="15">
        <v>215.6</v>
      </c>
      <c r="D677" s="15">
        <v>0.92073229999999995</v>
      </c>
      <c r="E677" s="15">
        <v>1591607187.2093999</v>
      </c>
      <c r="F677" s="15" t="s">
        <v>545</v>
      </c>
      <c r="G677" s="15" t="s">
        <v>548</v>
      </c>
      <c r="H677" s="15"/>
    </row>
    <row r="678" spans="2:8" x14ac:dyDescent="0.35">
      <c r="B678" s="15" t="s">
        <v>1</v>
      </c>
      <c r="C678" s="15">
        <v>215.6</v>
      </c>
      <c r="D678" s="15">
        <v>11.95412338</v>
      </c>
      <c r="E678" s="15">
        <v>1591607187.4487</v>
      </c>
      <c r="F678" s="15" t="s">
        <v>545</v>
      </c>
      <c r="G678" s="15" t="s">
        <v>548</v>
      </c>
      <c r="H678" s="15"/>
    </row>
    <row r="679" spans="2:8" x14ac:dyDescent="0.35">
      <c r="B679" s="15" t="s">
        <v>1</v>
      </c>
      <c r="C679" s="15">
        <v>215.62</v>
      </c>
      <c r="D679" s="15">
        <v>0.74858201000000002</v>
      </c>
      <c r="E679" s="15">
        <v>1591607195.6273999</v>
      </c>
      <c r="F679" s="15" t="s">
        <v>545</v>
      </c>
      <c r="G679" s="15" t="s">
        <v>548</v>
      </c>
      <c r="H679" s="15"/>
    </row>
    <row r="680" spans="2:8" x14ac:dyDescent="0.35">
      <c r="B680" s="15" t="s">
        <v>1</v>
      </c>
      <c r="C680" s="15">
        <v>215.59</v>
      </c>
      <c r="D680" s="15">
        <v>4.5179999999999998E-2</v>
      </c>
      <c r="E680" s="15">
        <v>1591607229.1505001</v>
      </c>
      <c r="F680" s="15" t="s">
        <v>547</v>
      </c>
      <c r="G680" s="15" t="s">
        <v>548</v>
      </c>
      <c r="H680" s="15"/>
    </row>
    <row r="681" spans="2:8" x14ac:dyDescent="0.35">
      <c r="B681" s="15" t="s">
        <v>1</v>
      </c>
      <c r="C681" s="15">
        <v>215.64</v>
      </c>
      <c r="D681" s="15">
        <v>0.64635297999999997</v>
      </c>
      <c r="E681" s="15">
        <v>1591607297.5418999</v>
      </c>
      <c r="F681" s="15" t="s">
        <v>547</v>
      </c>
      <c r="G681" s="15" t="s">
        <v>546</v>
      </c>
      <c r="H681" s="15"/>
    </row>
    <row r="682" spans="2:8" x14ac:dyDescent="0.35">
      <c r="B682" s="15" t="s">
        <v>1</v>
      </c>
      <c r="C682" s="15">
        <v>215.68</v>
      </c>
      <c r="D682" s="15">
        <v>2.3013618199999999</v>
      </c>
      <c r="E682" s="15">
        <v>1591607336.0676</v>
      </c>
      <c r="F682" s="15" t="s">
        <v>545</v>
      </c>
      <c r="G682" s="15" t="s">
        <v>548</v>
      </c>
      <c r="H682" s="15"/>
    </row>
    <row r="683" spans="2:8" x14ac:dyDescent="0.35">
      <c r="B683" s="15" t="s">
        <v>1</v>
      </c>
      <c r="C683" s="15">
        <v>215.68</v>
      </c>
      <c r="D683" s="15">
        <v>0.11503818</v>
      </c>
      <c r="E683" s="15">
        <v>1591607336.6292</v>
      </c>
      <c r="F683" s="15" t="s">
        <v>545</v>
      </c>
      <c r="G683" s="15" t="s">
        <v>548</v>
      </c>
      <c r="H683" s="15"/>
    </row>
    <row r="684" spans="2:8" x14ac:dyDescent="0.35">
      <c r="B684" s="15" t="s">
        <v>1</v>
      </c>
      <c r="C684" s="15">
        <v>215.68</v>
      </c>
      <c r="D684" s="15">
        <v>2</v>
      </c>
      <c r="E684" s="15">
        <v>1591607336.641</v>
      </c>
      <c r="F684" s="15" t="s">
        <v>545</v>
      </c>
      <c r="G684" s="15" t="s">
        <v>548</v>
      </c>
      <c r="H684" s="15"/>
    </row>
    <row r="685" spans="2:8" x14ac:dyDescent="0.35">
      <c r="B685" s="15" t="s">
        <v>1</v>
      </c>
      <c r="C685" s="15">
        <v>215.72</v>
      </c>
      <c r="D685" s="15">
        <v>4.5199999999999997E-2</v>
      </c>
      <c r="E685" s="15">
        <v>1591607404.9844</v>
      </c>
      <c r="F685" s="15" t="s">
        <v>545</v>
      </c>
      <c r="G685" s="15" t="s">
        <v>548</v>
      </c>
      <c r="H685" s="15"/>
    </row>
    <row r="686" spans="2:8" x14ac:dyDescent="0.35">
      <c r="B686" s="15" t="s">
        <v>1</v>
      </c>
      <c r="C686" s="15">
        <v>215.76</v>
      </c>
      <c r="D686" s="15">
        <v>0.13441233999999999</v>
      </c>
      <c r="E686" s="15">
        <v>1591607468.8131001</v>
      </c>
      <c r="F686" s="15" t="s">
        <v>545</v>
      </c>
      <c r="G686" s="15" t="s">
        <v>548</v>
      </c>
      <c r="H686" s="15"/>
    </row>
    <row r="687" spans="2:8" x14ac:dyDescent="0.35">
      <c r="B687" s="15" t="s">
        <v>1</v>
      </c>
      <c r="C687" s="15">
        <v>215.76</v>
      </c>
      <c r="D687" s="15">
        <v>5.6855876500000004</v>
      </c>
      <c r="E687" s="15">
        <v>1591607470.2532001</v>
      </c>
      <c r="F687" s="15" t="s">
        <v>545</v>
      </c>
      <c r="G687" s="15" t="s">
        <v>546</v>
      </c>
      <c r="H687" s="15"/>
    </row>
    <row r="688" spans="2:8" x14ac:dyDescent="0.35">
      <c r="B688" s="15" t="s">
        <v>1</v>
      </c>
      <c r="C688" s="15">
        <v>215.76</v>
      </c>
      <c r="D688" s="15">
        <v>1.0714544699999999</v>
      </c>
      <c r="E688" s="15">
        <v>1591607470.2600999</v>
      </c>
      <c r="F688" s="15" t="s">
        <v>545</v>
      </c>
      <c r="G688" s="15" t="s">
        <v>546</v>
      </c>
      <c r="H688" s="15"/>
    </row>
    <row r="689" spans="2:8" x14ac:dyDescent="0.35">
      <c r="B689" s="15" t="s">
        <v>1</v>
      </c>
      <c r="C689" s="15">
        <v>215.77</v>
      </c>
      <c r="D689" s="15">
        <v>4.6348867900000004</v>
      </c>
      <c r="E689" s="15">
        <v>1591607470.2622001</v>
      </c>
      <c r="F689" s="15" t="s">
        <v>545</v>
      </c>
      <c r="G689" s="15" t="s">
        <v>546</v>
      </c>
      <c r="H689" s="15"/>
    </row>
    <row r="690" spans="2:8" x14ac:dyDescent="0.35">
      <c r="B690" s="15" t="s">
        <v>1</v>
      </c>
      <c r="C690" s="15">
        <v>215.8</v>
      </c>
      <c r="D690" s="15">
        <v>0.86306766000000001</v>
      </c>
      <c r="E690" s="15">
        <v>1591607470.4171</v>
      </c>
      <c r="F690" s="15" t="s">
        <v>547</v>
      </c>
      <c r="G690" s="15" t="s">
        <v>548</v>
      </c>
      <c r="H690" s="15"/>
    </row>
    <row r="691" spans="2:8" x14ac:dyDescent="0.35">
      <c r="B691" s="15" t="s">
        <v>1</v>
      </c>
      <c r="C691" s="15">
        <v>215.76</v>
      </c>
      <c r="D691" s="15">
        <v>152.5</v>
      </c>
      <c r="E691" s="15">
        <v>1591607470.4286001</v>
      </c>
      <c r="F691" s="15" t="s">
        <v>547</v>
      </c>
      <c r="G691" s="15" t="s">
        <v>548</v>
      </c>
      <c r="H691" s="15"/>
    </row>
    <row r="692" spans="2:8" x14ac:dyDescent="0.35">
      <c r="B692" s="15" t="s">
        <v>1</v>
      </c>
      <c r="C692" s="15">
        <v>215.75</v>
      </c>
      <c r="D692" s="15">
        <v>9.1750000000000007</v>
      </c>
      <c r="E692" s="15">
        <v>1591607470.4307001</v>
      </c>
      <c r="F692" s="15" t="s">
        <v>547</v>
      </c>
      <c r="G692" s="15" t="s">
        <v>548</v>
      </c>
      <c r="H692" s="15"/>
    </row>
    <row r="693" spans="2:8" x14ac:dyDescent="0.35">
      <c r="B693" s="15" t="s">
        <v>1</v>
      </c>
      <c r="C693" s="15">
        <v>215.75</v>
      </c>
      <c r="D693" s="15">
        <v>37.461932339999997</v>
      </c>
      <c r="E693" s="15">
        <v>1591607470.4326999</v>
      </c>
      <c r="F693" s="15" t="s">
        <v>547</v>
      </c>
      <c r="G693" s="15" t="s">
        <v>548</v>
      </c>
      <c r="H693" s="15"/>
    </row>
    <row r="694" spans="2:8" x14ac:dyDescent="0.35">
      <c r="B694" s="15" t="s">
        <v>1</v>
      </c>
      <c r="C694" s="15">
        <v>215.81</v>
      </c>
      <c r="D694" s="15">
        <v>0.1</v>
      </c>
      <c r="E694" s="15">
        <v>1591607472.8213999</v>
      </c>
      <c r="F694" s="15" t="s">
        <v>545</v>
      </c>
      <c r="G694" s="15" t="s">
        <v>548</v>
      </c>
      <c r="H694" s="15"/>
    </row>
    <row r="695" spans="2:8" x14ac:dyDescent="0.35">
      <c r="B695" s="15" t="s">
        <v>1</v>
      </c>
      <c r="C695" s="15">
        <v>215.75</v>
      </c>
      <c r="D695" s="15">
        <v>4.5385231700000004</v>
      </c>
      <c r="E695" s="15">
        <v>1591607487.0493</v>
      </c>
      <c r="F695" s="15" t="s">
        <v>547</v>
      </c>
      <c r="G695" s="15" t="s">
        <v>548</v>
      </c>
      <c r="H695" s="15"/>
    </row>
    <row r="696" spans="2:8" x14ac:dyDescent="0.35">
      <c r="B696" s="15" t="s">
        <v>1</v>
      </c>
      <c r="C696" s="15">
        <v>215.78</v>
      </c>
      <c r="D696" s="15">
        <v>0.02</v>
      </c>
      <c r="E696" s="15">
        <v>1591607495.3743</v>
      </c>
      <c r="F696" s="15" t="s">
        <v>545</v>
      </c>
      <c r="G696" s="15" t="s">
        <v>548</v>
      </c>
      <c r="H696" s="15"/>
    </row>
    <row r="697" spans="2:8" x14ac:dyDescent="0.35">
      <c r="B697" s="15" t="s">
        <v>1</v>
      </c>
      <c r="C697" s="15">
        <v>215.78</v>
      </c>
      <c r="D697" s="15">
        <v>1.1332614299999999</v>
      </c>
      <c r="E697" s="15">
        <v>1591607516.7302999</v>
      </c>
      <c r="F697" s="15" t="s">
        <v>545</v>
      </c>
      <c r="G697" s="15" t="s">
        <v>548</v>
      </c>
      <c r="H697" s="15"/>
    </row>
    <row r="698" spans="2:8" x14ac:dyDescent="0.35">
      <c r="B698" s="15" t="s">
        <v>1</v>
      </c>
      <c r="C698" s="15">
        <v>215.79</v>
      </c>
      <c r="D698" s="15">
        <v>4.4067772999999999</v>
      </c>
      <c r="E698" s="15">
        <v>1591607523.6335001</v>
      </c>
      <c r="F698" s="15" t="s">
        <v>545</v>
      </c>
      <c r="G698" s="15" t="s">
        <v>548</v>
      </c>
      <c r="H698" s="15"/>
    </row>
    <row r="699" spans="2:8" x14ac:dyDescent="0.35">
      <c r="B699" s="15" t="s">
        <v>1</v>
      </c>
      <c r="C699" s="15">
        <v>215.78</v>
      </c>
      <c r="D699" s="15">
        <v>0.02</v>
      </c>
      <c r="E699" s="15">
        <v>1591607534.3096001</v>
      </c>
      <c r="F699" s="15" t="s">
        <v>547</v>
      </c>
      <c r="G699" s="15" t="s">
        <v>548</v>
      </c>
      <c r="H699" s="15"/>
    </row>
    <row r="700" spans="2:8" x14ac:dyDescent="0.35">
      <c r="B700" s="15" t="s">
        <v>1</v>
      </c>
      <c r="C700" s="15">
        <v>215.76</v>
      </c>
      <c r="D700" s="15">
        <v>2.2998040000000001E-2</v>
      </c>
      <c r="E700" s="15">
        <v>1591607539.5506001</v>
      </c>
      <c r="F700" s="15" t="s">
        <v>545</v>
      </c>
      <c r="G700" s="15" t="s">
        <v>548</v>
      </c>
      <c r="H700" s="15"/>
    </row>
    <row r="701" spans="2:8" x14ac:dyDescent="0.35">
      <c r="B701" s="15" t="s">
        <v>1</v>
      </c>
      <c r="C701" s="15">
        <v>215.76</v>
      </c>
      <c r="D701" s="15">
        <v>0.02</v>
      </c>
      <c r="E701" s="15">
        <v>1591607543.3032999</v>
      </c>
      <c r="F701" s="15" t="s">
        <v>545</v>
      </c>
      <c r="G701" s="15" t="s">
        <v>548</v>
      </c>
      <c r="H701" s="15"/>
    </row>
    <row r="702" spans="2:8" x14ac:dyDescent="0.35">
      <c r="B702" s="15" t="s">
        <v>1</v>
      </c>
      <c r="C702" s="15">
        <v>215.75</v>
      </c>
      <c r="D702" s="15">
        <v>2</v>
      </c>
      <c r="E702" s="15">
        <v>1591607545.4152</v>
      </c>
      <c r="F702" s="15" t="s">
        <v>547</v>
      </c>
      <c r="G702" s="15" t="s">
        <v>548</v>
      </c>
      <c r="H702" s="15"/>
    </row>
    <row r="703" spans="2:8" x14ac:dyDescent="0.35">
      <c r="B703" s="15" t="s">
        <v>1</v>
      </c>
      <c r="C703" s="15">
        <v>215.73</v>
      </c>
      <c r="D703" s="15">
        <v>0.02</v>
      </c>
      <c r="E703" s="15">
        <v>1591607559.6565001</v>
      </c>
      <c r="F703" s="15" t="s">
        <v>547</v>
      </c>
      <c r="G703" s="15" t="s">
        <v>548</v>
      </c>
      <c r="H703" s="15"/>
    </row>
    <row r="704" spans="2:8" x14ac:dyDescent="0.35">
      <c r="B704" s="15" t="s">
        <v>1</v>
      </c>
      <c r="C704" s="15">
        <v>215.74</v>
      </c>
      <c r="D704" s="15">
        <v>0.02</v>
      </c>
      <c r="E704" s="15">
        <v>1591607569.3427</v>
      </c>
      <c r="F704" s="15" t="s">
        <v>545</v>
      </c>
      <c r="G704" s="15" t="s">
        <v>548</v>
      </c>
      <c r="H704" s="15"/>
    </row>
    <row r="705" spans="2:8" x14ac:dyDescent="0.35">
      <c r="B705" s="15" t="s">
        <v>1</v>
      </c>
      <c r="C705" s="15">
        <v>215.73</v>
      </c>
      <c r="D705" s="15">
        <v>0.02</v>
      </c>
      <c r="E705" s="15">
        <v>1591607580.7630999</v>
      </c>
      <c r="F705" s="15" t="s">
        <v>547</v>
      </c>
      <c r="G705" s="15" t="s">
        <v>548</v>
      </c>
      <c r="H705" s="15"/>
    </row>
    <row r="706" spans="2:8" x14ac:dyDescent="0.35">
      <c r="B706" s="15" t="s">
        <v>1</v>
      </c>
      <c r="C706" s="15">
        <v>215.74</v>
      </c>
      <c r="D706" s="15">
        <v>4.5170000000000002E-2</v>
      </c>
      <c r="E706" s="15">
        <v>1591607588.1615</v>
      </c>
      <c r="F706" s="15" t="s">
        <v>545</v>
      </c>
      <c r="G706" s="15" t="s">
        <v>548</v>
      </c>
      <c r="H706" s="15"/>
    </row>
    <row r="707" spans="2:8" x14ac:dyDescent="0.35">
      <c r="B707" s="15" t="s">
        <v>1</v>
      </c>
      <c r="C707" s="15">
        <v>215.74</v>
      </c>
      <c r="D707" s="15">
        <v>0.02</v>
      </c>
      <c r="E707" s="15">
        <v>1591607592.5840001</v>
      </c>
      <c r="F707" s="15" t="s">
        <v>545</v>
      </c>
      <c r="G707" s="15" t="s">
        <v>548</v>
      </c>
      <c r="H707" s="15"/>
    </row>
    <row r="708" spans="2:8" x14ac:dyDescent="0.35">
      <c r="B708" s="15" t="s">
        <v>1</v>
      </c>
      <c r="C708" s="15">
        <v>215.74</v>
      </c>
      <c r="D708" s="15">
        <v>0.15</v>
      </c>
      <c r="E708" s="15">
        <v>1591607604.9986</v>
      </c>
      <c r="F708" s="15" t="s">
        <v>545</v>
      </c>
      <c r="G708" s="15" t="s">
        <v>546</v>
      </c>
      <c r="H708" s="15"/>
    </row>
    <row r="709" spans="2:8" x14ac:dyDescent="0.35">
      <c r="B709" s="15" t="s">
        <v>1</v>
      </c>
      <c r="C709" s="15">
        <v>215.73</v>
      </c>
      <c r="D709" s="15">
        <v>0.02</v>
      </c>
      <c r="E709" s="15">
        <v>1591607606.5562999</v>
      </c>
      <c r="F709" s="15" t="s">
        <v>547</v>
      </c>
      <c r="G709" s="15" t="s">
        <v>548</v>
      </c>
      <c r="H709" s="15"/>
    </row>
    <row r="710" spans="2:8" x14ac:dyDescent="0.35">
      <c r="B710" s="15" t="s">
        <v>1</v>
      </c>
      <c r="C710" s="15">
        <v>215.73</v>
      </c>
      <c r="D710" s="15">
        <v>25.35781356</v>
      </c>
      <c r="E710" s="15">
        <v>1591607610.5349</v>
      </c>
      <c r="F710" s="15" t="s">
        <v>547</v>
      </c>
      <c r="G710" s="15" t="s">
        <v>546</v>
      </c>
      <c r="H710" s="15"/>
    </row>
    <row r="711" spans="2:8" x14ac:dyDescent="0.35">
      <c r="B711" s="15" t="s">
        <v>1</v>
      </c>
      <c r="C711" s="15">
        <v>215.73</v>
      </c>
      <c r="D711" s="15">
        <v>5.5664730000000003E-2</v>
      </c>
      <c r="E711" s="15">
        <v>1591607610.5385001</v>
      </c>
      <c r="F711" s="15" t="s">
        <v>547</v>
      </c>
      <c r="G711" s="15" t="s">
        <v>546</v>
      </c>
      <c r="H711" s="15"/>
    </row>
    <row r="712" spans="2:8" x14ac:dyDescent="0.35">
      <c r="B712" s="15" t="s">
        <v>1</v>
      </c>
      <c r="C712" s="15">
        <v>215.73</v>
      </c>
      <c r="D712" s="15">
        <v>1.2218999999999999E-4</v>
      </c>
      <c r="E712" s="15">
        <v>1591607610.54</v>
      </c>
      <c r="F712" s="15" t="s">
        <v>547</v>
      </c>
      <c r="G712" s="15" t="s">
        <v>546</v>
      </c>
      <c r="H712" s="15"/>
    </row>
    <row r="713" spans="2:8" x14ac:dyDescent="0.35">
      <c r="B713" s="15" t="s">
        <v>1</v>
      </c>
      <c r="C713" s="15">
        <v>215.73</v>
      </c>
      <c r="D713" s="15">
        <v>2.6E-7</v>
      </c>
      <c r="E713" s="15">
        <v>1591607610.5415001</v>
      </c>
      <c r="F713" s="15" t="s">
        <v>547</v>
      </c>
      <c r="G713" s="15" t="s">
        <v>546</v>
      </c>
      <c r="H713" s="15"/>
    </row>
    <row r="714" spans="2:8" x14ac:dyDescent="0.35">
      <c r="B714" s="15" t="s">
        <v>1</v>
      </c>
      <c r="C714" s="15">
        <v>215.74</v>
      </c>
      <c r="D714" s="15">
        <v>0.02</v>
      </c>
      <c r="E714" s="15">
        <v>1591607623.4730999</v>
      </c>
      <c r="F714" s="15" t="s">
        <v>545</v>
      </c>
      <c r="G714" s="15" t="s">
        <v>548</v>
      </c>
      <c r="H714" s="15"/>
    </row>
    <row r="715" spans="2:8" x14ac:dyDescent="0.35">
      <c r="B715" s="15" t="s">
        <v>1</v>
      </c>
      <c r="C715" s="15">
        <v>215.74</v>
      </c>
      <c r="D715" s="15">
        <v>1.1557972599999999</v>
      </c>
      <c r="E715" s="15">
        <v>1591607628.6408</v>
      </c>
      <c r="F715" s="15" t="s">
        <v>545</v>
      </c>
      <c r="G715" s="15" t="s">
        <v>548</v>
      </c>
      <c r="H715" s="15"/>
    </row>
    <row r="716" spans="2:8" x14ac:dyDescent="0.35">
      <c r="B716" s="15" t="s">
        <v>1</v>
      </c>
      <c r="C716" s="15">
        <v>215.73</v>
      </c>
      <c r="D716" s="15">
        <v>0.02</v>
      </c>
      <c r="E716" s="15">
        <v>1591607634.4733</v>
      </c>
      <c r="F716" s="15" t="s">
        <v>547</v>
      </c>
      <c r="G716" s="15" t="s">
        <v>548</v>
      </c>
      <c r="H716" s="15"/>
    </row>
    <row r="717" spans="2:8" x14ac:dyDescent="0.35">
      <c r="B717" s="15" t="s">
        <v>1</v>
      </c>
      <c r="C717" s="15">
        <v>215.74</v>
      </c>
      <c r="D717" s="15">
        <v>0.02</v>
      </c>
      <c r="E717" s="15">
        <v>1591607684.5950999</v>
      </c>
      <c r="F717" s="15" t="s">
        <v>545</v>
      </c>
      <c r="G717" s="15" t="s">
        <v>548</v>
      </c>
      <c r="H717" s="15"/>
    </row>
    <row r="718" spans="2:8" x14ac:dyDescent="0.35">
      <c r="B718" s="15" t="s">
        <v>1</v>
      </c>
      <c r="C718" s="15">
        <v>215.73</v>
      </c>
      <c r="D718" s="15">
        <v>3.9562090000000001E-2</v>
      </c>
      <c r="E718" s="15">
        <v>1591607709.8090999</v>
      </c>
      <c r="F718" s="15" t="s">
        <v>547</v>
      </c>
      <c r="G718" s="15" t="s">
        <v>548</v>
      </c>
      <c r="H718" s="15"/>
    </row>
    <row r="719" spans="2:8" x14ac:dyDescent="0.35">
      <c r="B719" s="15" t="s">
        <v>1</v>
      </c>
      <c r="C719" s="15">
        <v>215.74</v>
      </c>
      <c r="D719" s="15">
        <v>0.1</v>
      </c>
      <c r="E719" s="15">
        <v>1591607724.8320999</v>
      </c>
      <c r="F719" s="15" t="s">
        <v>545</v>
      </c>
      <c r="G719" s="15" t="s">
        <v>546</v>
      </c>
      <c r="H719" s="15"/>
    </row>
    <row r="720" spans="2:8" x14ac:dyDescent="0.35">
      <c r="B720" s="15" t="s">
        <v>1</v>
      </c>
      <c r="C720" s="15">
        <v>215.74</v>
      </c>
      <c r="D720" s="15">
        <v>3.1044566499999999</v>
      </c>
      <c r="E720" s="15">
        <v>1591607733.9807999</v>
      </c>
      <c r="F720" s="15" t="s">
        <v>545</v>
      </c>
      <c r="G720" s="15" t="s">
        <v>548</v>
      </c>
      <c r="H720" s="15"/>
    </row>
    <row r="721" spans="2:8" x14ac:dyDescent="0.35">
      <c r="B721" s="15" t="s">
        <v>1</v>
      </c>
      <c r="C721" s="15">
        <v>215.74</v>
      </c>
      <c r="D721" s="15">
        <v>3.5150000000000001</v>
      </c>
      <c r="E721" s="15">
        <v>1591607733.9858</v>
      </c>
      <c r="F721" s="15" t="s">
        <v>545</v>
      </c>
      <c r="G721" s="15" t="s">
        <v>548</v>
      </c>
      <c r="H721" s="15"/>
    </row>
    <row r="722" spans="2:8" x14ac:dyDescent="0.35">
      <c r="B722" s="15" t="s">
        <v>1</v>
      </c>
      <c r="C722" s="15">
        <v>215.76</v>
      </c>
      <c r="D722" s="15">
        <v>6.1370019600000001</v>
      </c>
      <c r="E722" s="15">
        <v>1591607733.9874001</v>
      </c>
      <c r="F722" s="15" t="s">
        <v>545</v>
      </c>
      <c r="G722" s="15" t="s">
        <v>548</v>
      </c>
      <c r="H722" s="15"/>
    </row>
    <row r="723" spans="2:8" x14ac:dyDescent="0.35">
      <c r="B723" s="15" t="s">
        <v>1</v>
      </c>
      <c r="C723" s="15">
        <v>215.78</v>
      </c>
      <c r="D723" s="15">
        <v>37.22</v>
      </c>
      <c r="E723" s="15">
        <v>1591607733.9897001</v>
      </c>
      <c r="F723" s="15" t="s">
        <v>545</v>
      </c>
      <c r="G723" s="15" t="s">
        <v>548</v>
      </c>
      <c r="H723" s="15"/>
    </row>
    <row r="724" spans="2:8" x14ac:dyDescent="0.35">
      <c r="B724" s="15" t="s">
        <v>1</v>
      </c>
      <c r="C724" s="15">
        <v>215.78</v>
      </c>
      <c r="D724" s="15">
        <v>1.8</v>
      </c>
      <c r="E724" s="15">
        <v>1591607733.9912</v>
      </c>
      <c r="F724" s="15" t="s">
        <v>545</v>
      </c>
      <c r="G724" s="15" t="s">
        <v>548</v>
      </c>
      <c r="H724" s="15"/>
    </row>
    <row r="725" spans="2:8" x14ac:dyDescent="0.35">
      <c r="B725" s="15" t="s">
        <v>1</v>
      </c>
      <c r="C725" s="15">
        <v>215.82</v>
      </c>
      <c r="D725" s="15">
        <v>1</v>
      </c>
      <c r="E725" s="15">
        <v>1591607733.9935</v>
      </c>
      <c r="F725" s="15" t="s">
        <v>545</v>
      </c>
      <c r="G725" s="15" t="s">
        <v>548</v>
      </c>
      <c r="H725" s="15"/>
    </row>
    <row r="726" spans="2:8" x14ac:dyDescent="0.35">
      <c r="B726" s="15" t="s">
        <v>1</v>
      </c>
      <c r="C726" s="15">
        <v>215.82</v>
      </c>
      <c r="D726" s="15">
        <v>1</v>
      </c>
      <c r="E726" s="15">
        <v>1591607734.0007</v>
      </c>
      <c r="F726" s="15" t="s">
        <v>545</v>
      </c>
      <c r="G726" s="15" t="s">
        <v>548</v>
      </c>
      <c r="H726" s="15"/>
    </row>
    <row r="727" spans="2:8" x14ac:dyDescent="0.35">
      <c r="B727" s="15" t="s">
        <v>1</v>
      </c>
      <c r="C727" s="15">
        <v>215.86</v>
      </c>
      <c r="D727" s="15">
        <v>0.71414378999999995</v>
      </c>
      <c r="E727" s="15">
        <v>1591607734.003</v>
      </c>
      <c r="F727" s="15" t="s">
        <v>545</v>
      </c>
      <c r="G727" s="15" t="s">
        <v>548</v>
      </c>
      <c r="H727" s="15"/>
    </row>
    <row r="728" spans="2:8" x14ac:dyDescent="0.35">
      <c r="B728" s="15" t="s">
        <v>1</v>
      </c>
      <c r="C728" s="15">
        <v>215.88</v>
      </c>
      <c r="D728" s="15">
        <v>1.45</v>
      </c>
      <c r="E728" s="15">
        <v>1591607734.0044999</v>
      </c>
      <c r="F728" s="15" t="s">
        <v>545</v>
      </c>
      <c r="G728" s="15" t="s">
        <v>548</v>
      </c>
      <c r="H728" s="15"/>
    </row>
    <row r="729" spans="2:8" x14ac:dyDescent="0.35">
      <c r="B729" s="15" t="s">
        <v>1</v>
      </c>
      <c r="C729" s="15">
        <v>215.88</v>
      </c>
      <c r="D729" s="15">
        <v>3.5703983699999999</v>
      </c>
      <c r="E729" s="15">
        <v>1591607734.0067999</v>
      </c>
      <c r="F729" s="15" t="s">
        <v>545</v>
      </c>
      <c r="G729" s="15" t="s">
        <v>548</v>
      </c>
      <c r="H729" s="15"/>
    </row>
    <row r="730" spans="2:8" x14ac:dyDescent="0.35">
      <c r="B730" s="15" t="s">
        <v>1</v>
      </c>
      <c r="C730" s="15">
        <v>215.88</v>
      </c>
      <c r="D730" s="15">
        <v>5.9959076099999997</v>
      </c>
      <c r="E730" s="15">
        <v>1591607734.0086</v>
      </c>
      <c r="F730" s="15" t="s">
        <v>545</v>
      </c>
      <c r="G730" s="15" t="s">
        <v>548</v>
      </c>
      <c r="H730" s="15"/>
    </row>
    <row r="731" spans="2:8" x14ac:dyDescent="0.35">
      <c r="B731" s="15" t="s">
        <v>1</v>
      </c>
      <c r="C731" s="15">
        <v>215.89</v>
      </c>
      <c r="D731" s="15">
        <v>50.373321619999999</v>
      </c>
      <c r="E731" s="15">
        <v>1591607734.0102</v>
      </c>
      <c r="F731" s="15" t="s">
        <v>545</v>
      </c>
      <c r="G731" s="15" t="s">
        <v>548</v>
      </c>
      <c r="H731" s="15"/>
    </row>
    <row r="732" spans="2:8" x14ac:dyDescent="0.35">
      <c r="B732" s="15" t="s">
        <v>1</v>
      </c>
      <c r="C732" s="15">
        <v>215.72</v>
      </c>
      <c r="D732" s="15">
        <v>0.11261652</v>
      </c>
      <c r="E732" s="15">
        <v>1591607765.5759001</v>
      </c>
      <c r="F732" s="15" t="s">
        <v>545</v>
      </c>
      <c r="G732" s="15" t="s">
        <v>548</v>
      </c>
      <c r="H732" s="15"/>
    </row>
    <row r="733" spans="2:8" x14ac:dyDescent="0.35">
      <c r="B733" s="15" t="s">
        <v>1</v>
      </c>
      <c r="C733" s="15">
        <v>215.72</v>
      </c>
      <c r="D733" s="15">
        <v>2.0824631999999998</v>
      </c>
      <c r="E733" s="15">
        <v>1591607778.4454999</v>
      </c>
      <c r="F733" s="15" t="s">
        <v>545</v>
      </c>
      <c r="G733" s="15" t="s">
        <v>546</v>
      </c>
      <c r="H733" s="15"/>
    </row>
    <row r="734" spans="2:8" x14ac:dyDescent="0.35">
      <c r="B734" s="15" t="s">
        <v>1</v>
      </c>
      <c r="C734" s="15">
        <v>215.71</v>
      </c>
      <c r="D734" s="15">
        <v>0.02</v>
      </c>
      <c r="E734" s="15">
        <v>1591607788.6608</v>
      </c>
      <c r="F734" s="15" t="s">
        <v>547</v>
      </c>
      <c r="G734" s="15" t="s">
        <v>548</v>
      </c>
      <c r="H734" s="15"/>
    </row>
    <row r="735" spans="2:8" x14ac:dyDescent="0.35">
      <c r="B735" s="15" t="s">
        <v>1</v>
      </c>
      <c r="C735" s="15">
        <v>215.72</v>
      </c>
      <c r="D735" s="15">
        <v>4.6654817199999998</v>
      </c>
      <c r="E735" s="15">
        <v>1591607797.4408</v>
      </c>
      <c r="F735" s="15" t="s">
        <v>545</v>
      </c>
      <c r="G735" s="15" t="s">
        <v>546</v>
      </c>
      <c r="H735" s="15"/>
    </row>
    <row r="736" spans="2:8" x14ac:dyDescent="0.35">
      <c r="B736" s="15" t="s">
        <v>1</v>
      </c>
      <c r="C736" s="15">
        <v>215.72</v>
      </c>
      <c r="D736" s="15">
        <v>1.15291454</v>
      </c>
      <c r="E736" s="15">
        <v>1591607801.1494999</v>
      </c>
      <c r="F736" s="15" t="s">
        <v>545</v>
      </c>
      <c r="G736" s="15" t="s">
        <v>548</v>
      </c>
      <c r="H736" s="15"/>
    </row>
    <row r="737" spans="2:8" x14ac:dyDescent="0.35">
      <c r="B737" s="15" t="s">
        <v>1</v>
      </c>
      <c r="C737" s="15">
        <v>215.73</v>
      </c>
      <c r="D737" s="15">
        <v>4.6268191700000001</v>
      </c>
      <c r="E737" s="15">
        <v>1591607801.8752</v>
      </c>
      <c r="F737" s="15" t="s">
        <v>545</v>
      </c>
      <c r="G737" s="15" t="s">
        <v>546</v>
      </c>
      <c r="H737" s="15"/>
    </row>
    <row r="738" spans="2:8" x14ac:dyDescent="0.35">
      <c r="B738" s="15" t="s">
        <v>1</v>
      </c>
      <c r="C738" s="15">
        <v>215.73</v>
      </c>
      <c r="D738" s="15">
        <v>7.7408299999999998E-3</v>
      </c>
      <c r="E738" s="15">
        <v>1591607801.8815999</v>
      </c>
      <c r="F738" s="15" t="s">
        <v>545</v>
      </c>
      <c r="G738" s="15" t="s">
        <v>546</v>
      </c>
      <c r="H738" s="15"/>
    </row>
    <row r="739" spans="2:8" x14ac:dyDescent="0.35">
      <c r="B739" s="15" t="s">
        <v>1</v>
      </c>
      <c r="C739" s="15">
        <v>215.73</v>
      </c>
      <c r="D739" s="15">
        <v>4.6151823600000004</v>
      </c>
      <c r="E739" s="15">
        <v>1591607822.4911001</v>
      </c>
      <c r="F739" s="15" t="s">
        <v>545</v>
      </c>
      <c r="G739" s="15" t="s">
        <v>546</v>
      </c>
      <c r="H739" s="15"/>
    </row>
    <row r="740" spans="2:8" x14ac:dyDescent="0.35">
      <c r="B740" s="15" t="s">
        <v>1</v>
      </c>
      <c r="C740" s="15">
        <v>215.77</v>
      </c>
      <c r="D740" s="15">
        <v>0.02</v>
      </c>
      <c r="E740" s="15">
        <v>1591607823.6322</v>
      </c>
      <c r="F740" s="15" t="s">
        <v>545</v>
      </c>
      <c r="G740" s="15" t="s">
        <v>548</v>
      </c>
      <c r="H740" s="15"/>
    </row>
    <row r="741" spans="2:8" x14ac:dyDescent="0.35">
      <c r="B741" s="15" t="s">
        <v>1</v>
      </c>
      <c r="C741" s="15">
        <v>215.73</v>
      </c>
      <c r="D741" s="15">
        <v>4.9998229999999998E-2</v>
      </c>
      <c r="E741" s="15">
        <v>1591607829.1902001</v>
      </c>
      <c r="F741" s="15" t="s">
        <v>547</v>
      </c>
      <c r="G741" s="15" t="s">
        <v>548</v>
      </c>
      <c r="H741" s="15"/>
    </row>
    <row r="742" spans="2:8" x14ac:dyDescent="0.35">
      <c r="B742" s="15" t="s">
        <v>1</v>
      </c>
      <c r="C742" s="15">
        <v>215.73</v>
      </c>
      <c r="D742" s="15">
        <v>0.02</v>
      </c>
      <c r="E742" s="15">
        <v>1591607832.5752001</v>
      </c>
      <c r="F742" s="15" t="s">
        <v>547</v>
      </c>
      <c r="G742" s="15" t="s">
        <v>548</v>
      </c>
      <c r="H742" s="15"/>
    </row>
    <row r="743" spans="2:8" x14ac:dyDescent="0.35">
      <c r="B743" s="15" t="s">
        <v>1</v>
      </c>
      <c r="C743" s="15">
        <v>215.74</v>
      </c>
      <c r="D743" s="15">
        <v>0.02</v>
      </c>
      <c r="E743" s="15">
        <v>1591607845.0644</v>
      </c>
      <c r="F743" s="15" t="s">
        <v>545</v>
      </c>
      <c r="G743" s="15" t="s">
        <v>548</v>
      </c>
      <c r="H743" s="15"/>
    </row>
    <row r="744" spans="2:8" x14ac:dyDescent="0.35">
      <c r="B744" s="15" t="s">
        <v>1</v>
      </c>
      <c r="C744" s="15">
        <v>215.73</v>
      </c>
      <c r="D744" s="15">
        <v>0.02</v>
      </c>
      <c r="E744" s="15">
        <v>1591607857.5669</v>
      </c>
      <c r="F744" s="15" t="s">
        <v>547</v>
      </c>
      <c r="G744" s="15" t="s">
        <v>548</v>
      </c>
      <c r="H744" s="15"/>
    </row>
    <row r="745" spans="2:8" x14ac:dyDescent="0.35">
      <c r="B745" s="15" t="s">
        <v>1</v>
      </c>
      <c r="C745" s="15">
        <v>215.72</v>
      </c>
      <c r="D745" s="15">
        <v>3.1498900000000001</v>
      </c>
      <c r="E745" s="15">
        <v>1591607867.9154999</v>
      </c>
      <c r="F745" s="15" t="s">
        <v>545</v>
      </c>
      <c r="G745" s="15" t="s">
        <v>548</v>
      </c>
      <c r="H745" s="15"/>
    </row>
    <row r="746" spans="2:8" x14ac:dyDescent="0.35">
      <c r="B746" s="15" t="s">
        <v>1</v>
      </c>
      <c r="C746" s="15">
        <v>215.71</v>
      </c>
      <c r="D746" s="15">
        <v>3.2200550000000001E-2</v>
      </c>
      <c r="E746" s="15">
        <v>1591607868.3641</v>
      </c>
      <c r="F746" s="15" t="s">
        <v>547</v>
      </c>
      <c r="G746" s="15" t="s">
        <v>546</v>
      </c>
      <c r="H746" s="15"/>
    </row>
    <row r="747" spans="2:8" x14ac:dyDescent="0.35">
      <c r="B747" s="15" t="s">
        <v>1</v>
      </c>
      <c r="C747" s="15">
        <v>215.72</v>
      </c>
      <c r="D747" s="15">
        <v>0.02</v>
      </c>
      <c r="E747" s="15">
        <v>1591607870.8936999</v>
      </c>
      <c r="F747" s="15" t="s">
        <v>545</v>
      </c>
      <c r="G747" s="15" t="s">
        <v>548</v>
      </c>
      <c r="H747" s="15"/>
    </row>
    <row r="748" spans="2:8" x14ac:dyDescent="0.35">
      <c r="B748" s="15" t="s">
        <v>1</v>
      </c>
      <c r="C748" s="15">
        <v>215.71</v>
      </c>
      <c r="D748" s="15">
        <v>0.02</v>
      </c>
      <c r="E748" s="15">
        <v>1591607880.0322001</v>
      </c>
      <c r="F748" s="15" t="s">
        <v>547</v>
      </c>
      <c r="G748" s="15" t="s">
        <v>548</v>
      </c>
      <c r="H748" s="15"/>
    </row>
    <row r="749" spans="2:8" x14ac:dyDescent="0.35">
      <c r="B749" s="15" t="s">
        <v>1</v>
      </c>
      <c r="C749" s="15">
        <v>215.72</v>
      </c>
      <c r="D749" s="15">
        <v>4.5550896200000004</v>
      </c>
      <c r="E749" s="15">
        <v>1591607881.2546999</v>
      </c>
      <c r="F749" s="15" t="s">
        <v>545</v>
      </c>
      <c r="G749" s="15" t="s">
        <v>548</v>
      </c>
      <c r="H749" s="15"/>
    </row>
    <row r="750" spans="2:8" x14ac:dyDescent="0.35">
      <c r="B750" s="15" t="s">
        <v>1</v>
      </c>
      <c r="C750" s="15">
        <v>215.72</v>
      </c>
      <c r="D750" s="15">
        <v>0.15332388999999999</v>
      </c>
      <c r="E750" s="15">
        <v>1591607886.6452999</v>
      </c>
      <c r="F750" s="15" t="s">
        <v>545</v>
      </c>
      <c r="G750" s="15" t="s">
        <v>548</v>
      </c>
      <c r="H750" s="15"/>
    </row>
    <row r="751" spans="2:8" x14ac:dyDescent="0.35">
      <c r="B751" s="15" t="s">
        <v>1</v>
      </c>
      <c r="C751" s="15">
        <v>215.72</v>
      </c>
      <c r="D751" s="15">
        <v>0.02</v>
      </c>
      <c r="E751" s="15">
        <v>1591607890.6859</v>
      </c>
      <c r="F751" s="15" t="s">
        <v>545</v>
      </c>
      <c r="G751" s="15" t="s">
        <v>548</v>
      </c>
      <c r="H751" s="15"/>
    </row>
    <row r="752" spans="2:8" x14ac:dyDescent="0.35">
      <c r="B752" s="15" t="s">
        <v>1</v>
      </c>
      <c r="C752" s="15">
        <v>215.71</v>
      </c>
      <c r="D752" s="15">
        <v>4.6708550000000001E-2</v>
      </c>
      <c r="E752" s="15">
        <v>1591607926.6689</v>
      </c>
      <c r="F752" s="15" t="s">
        <v>547</v>
      </c>
      <c r="G752" s="15" t="s">
        <v>548</v>
      </c>
      <c r="H752" s="15"/>
    </row>
    <row r="753" spans="2:8" x14ac:dyDescent="0.35">
      <c r="B753" s="15" t="s">
        <v>1</v>
      </c>
      <c r="C753" s="15">
        <v>215.71</v>
      </c>
      <c r="D753" s="15">
        <v>0.19815632</v>
      </c>
      <c r="E753" s="15">
        <v>1591608022.8815999</v>
      </c>
      <c r="F753" s="15" t="s">
        <v>547</v>
      </c>
      <c r="G753" s="15" t="s">
        <v>548</v>
      </c>
      <c r="H753" s="15"/>
    </row>
    <row r="754" spans="2:8" x14ac:dyDescent="0.35">
      <c r="B754" s="15" t="s">
        <v>1</v>
      </c>
      <c r="C754" s="15">
        <v>215.71</v>
      </c>
      <c r="D754" s="15">
        <v>4.7444000000000002E-4</v>
      </c>
      <c r="E754" s="15">
        <v>1591608022.9031999</v>
      </c>
      <c r="F754" s="15" t="s">
        <v>547</v>
      </c>
      <c r="G754" s="15" t="s">
        <v>548</v>
      </c>
      <c r="H754" s="15"/>
    </row>
    <row r="755" spans="2:8" x14ac:dyDescent="0.35">
      <c r="B755" s="15" t="s">
        <v>1</v>
      </c>
      <c r="C755" s="15">
        <v>215.71</v>
      </c>
      <c r="D755" s="15">
        <v>1.13E-6</v>
      </c>
      <c r="E755" s="15">
        <v>1591608022.9070001</v>
      </c>
      <c r="F755" s="15" t="s">
        <v>547</v>
      </c>
      <c r="G755" s="15" t="s">
        <v>548</v>
      </c>
      <c r="H755" s="15"/>
    </row>
    <row r="756" spans="2:8" x14ac:dyDescent="0.35">
      <c r="B756" s="15" t="s">
        <v>1</v>
      </c>
      <c r="C756" s="15">
        <v>215.71</v>
      </c>
      <c r="D756" s="15">
        <v>8.0581590900000002</v>
      </c>
      <c r="E756" s="15">
        <v>1591608023.6355</v>
      </c>
      <c r="F756" s="15" t="s">
        <v>547</v>
      </c>
      <c r="G756" s="15" t="s">
        <v>546</v>
      </c>
      <c r="H756" s="15"/>
    </row>
    <row r="757" spans="2:8" x14ac:dyDescent="0.35">
      <c r="B757" s="15" t="s">
        <v>1</v>
      </c>
      <c r="C757" s="15">
        <v>215.71</v>
      </c>
      <c r="D757" s="15">
        <v>1.7689030000000001E-2</v>
      </c>
      <c r="E757" s="15">
        <v>1591608023.6594999</v>
      </c>
      <c r="F757" s="15" t="s">
        <v>547</v>
      </c>
      <c r="G757" s="15" t="s">
        <v>546</v>
      </c>
      <c r="H757" s="15"/>
    </row>
    <row r="758" spans="2:8" x14ac:dyDescent="0.35">
      <c r="B758" s="15" t="s">
        <v>1</v>
      </c>
      <c r="C758" s="15">
        <v>215.71</v>
      </c>
      <c r="D758" s="15">
        <v>3.8829999999999999E-5</v>
      </c>
      <c r="E758" s="15">
        <v>1591608023.6642001</v>
      </c>
      <c r="F758" s="15" t="s">
        <v>547</v>
      </c>
      <c r="G758" s="15" t="s">
        <v>546</v>
      </c>
      <c r="H758" s="15"/>
    </row>
    <row r="759" spans="2:8" x14ac:dyDescent="0.35">
      <c r="B759" s="15" t="s">
        <v>1</v>
      </c>
      <c r="C759" s="15">
        <v>215.91</v>
      </c>
      <c r="D759" s="15">
        <v>3.1134792600000001</v>
      </c>
      <c r="E759" s="15">
        <v>1591608059.0931001</v>
      </c>
      <c r="F759" s="15" t="s">
        <v>547</v>
      </c>
      <c r="G759" s="15" t="s">
        <v>546</v>
      </c>
      <c r="H759" s="15"/>
    </row>
    <row r="760" spans="2:8" x14ac:dyDescent="0.35">
      <c r="B760" s="15" t="s">
        <v>1</v>
      </c>
      <c r="C760" s="15">
        <v>215.91</v>
      </c>
      <c r="D760" s="15">
        <v>8.0740599999999992E-3</v>
      </c>
      <c r="E760" s="15">
        <v>1591608059.0953</v>
      </c>
      <c r="F760" s="15" t="s">
        <v>547</v>
      </c>
      <c r="G760" s="15" t="s">
        <v>546</v>
      </c>
      <c r="H760" s="15"/>
    </row>
    <row r="761" spans="2:8" x14ac:dyDescent="0.35">
      <c r="B761" s="15" t="s">
        <v>1</v>
      </c>
      <c r="C761" s="15">
        <v>215.91</v>
      </c>
      <c r="D761" s="15">
        <v>2.0939999999999999E-5</v>
      </c>
      <c r="E761" s="15">
        <v>1591608059.0971</v>
      </c>
      <c r="F761" s="15" t="s">
        <v>547</v>
      </c>
      <c r="G761" s="15" t="s">
        <v>546</v>
      </c>
      <c r="H761" s="15"/>
    </row>
    <row r="762" spans="2:8" x14ac:dyDescent="0.35">
      <c r="B762" s="15" t="s">
        <v>1</v>
      </c>
      <c r="C762" s="15">
        <v>215.91</v>
      </c>
      <c r="D762" s="15">
        <v>0.9</v>
      </c>
      <c r="E762" s="15">
        <v>1591608059.1024001</v>
      </c>
      <c r="F762" s="15" t="s">
        <v>547</v>
      </c>
      <c r="G762" s="15" t="s">
        <v>548</v>
      </c>
      <c r="H762" s="15"/>
    </row>
    <row r="763" spans="2:8" x14ac:dyDescent="0.35">
      <c r="B763" s="15" t="s">
        <v>1</v>
      </c>
      <c r="C763" s="15">
        <v>215.92</v>
      </c>
      <c r="D763" s="15">
        <v>22.278946080000001</v>
      </c>
      <c r="E763" s="15">
        <v>1591608059.9082</v>
      </c>
      <c r="F763" s="15" t="s">
        <v>545</v>
      </c>
      <c r="G763" s="15" t="s">
        <v>546</v>
      </c>
      <c r="H763" s="15"/>
    </row>
    <row r="764" spans="2:8" x14ac:dyDescent="0.35">
      <c r="B764" s="15" t="s">
        <v>1</v>
      </c>
      <c r="C764" s="15">
        <v>215.92</v>
      </c>
      <c r="D764" s="15">
        <v>9.2010539199999997</v>
      </c>
      <c r="E764" s="15">
        <v>1591608059.9130001</v>
      </c>
      <c r="F764" s="15" t="s">
        <v>545</v>
      </c>
      <c r="G764" s="15" t="s">
        <v>546</v>
      </c>
      <c r="H764" s="15"/>
    </row>
    <row r="765" spans="2:8" x14ac:dyDescent="0.35">
      <c r="B765" s="15" t="s">
        <v>1</v>
      </c>
      <c r="C765" s="15">
        <v>215.92</v>
      </c>
      <c r="D765" s="15">
        <v>20.97</v>
      </c>
      <c r="E765" s="15">
        <v>1591608060.5204999</v>
      </c>
      <c r="F765" s="15" t="s">
        <v>545</v>
      </c>
      <c r="G765" s="15" t="s">
        <v>546</v>
      </c>
      <c r="H765" s="15"/>
    </row>
    <row r="766" spans="2:8" x14ac:dyDescent="0.35">
      <c r="B766" s="15" t="s">
        <v>1</v>
      </c>
      <c r="C766" s="15">
        <v>216</v>
      </c>
      <c r="D766" s="15">
        <v>20</v>
      </c>
      <c r="E766" s="15">
        <v>1591608060.8770001</v>
      </c>
      <c r="F766" s="15" t="s">
        <v>545</v>
      </c>
      <c r="G766" s="15" t="s">
        <v>546</v>
      </c>
      <c r="H766" s="15"/>
    </row>
    <row r="767" spans="2:8" x14ac:dyDescent="0.35">
      <c r="B767" s="15" t="s">
        <v>1</v>
      </c>
      <c r="C767" s="15">
        <v>216</v>
      </c>
      <c r="D767" s="15">
        <v>0.65008023999999998</v>
      </c>
      <c r="E767" s="15">
        <v>1591608060.8793001</v>
      </c>
      <c r="F767" s="15" t="s">
        <v>545</v>
      </c>
      <c r="G767" s="15" t="s">
        <v>546</v>
      </c>
      <c r="H767" s="15"/>
    </row>
    <row r="768" spans="2:8" x14ac:dyDescent="0.35">
      <c r="B768" s="15" t="s">
        <v>1</v>
      </c>
      <c r="C768" s="15">
        <v>216.26</v>
      </c>
      <c r="D768" s="15">
        <v>4.5100000000000001E-2</v>
      </c>
      <c r="E768" s="15">
        <v>1591608071.8631999</v>
      </c>
      <c r="F768" s="15" t="s">
        <v>547</v>
      </c>
      <c r="G768" s="15" t="s">
        <v>548</v>
      </c>
      <c r="H768" s="15"/>
    </row>
    <row r="769" spans="2:8" x14ac:dyDescent="0.35">
      <c r="B769" s="15" t="s">
        <v>1</v>
      </c>
      <c r="C769" s="15">
        <v>216.3</v>
      </c>
      <c r="D769" s="15">
        <v>1</v>
      </c>
      <c r="E769" s="15">
        <v>1591608078.5596001</v>
      </c>
      <c r="F769" s="15" t="s">
        <v>545</v>
      </c>
      <c r="G769" s="15" t="s">
        <v>548</v>
      </c>
      <c r="H769" s="15"/>
    </row>
    <row r="770" spans="2:8" x14ac:dyDescent="0.35">
      <c r="B770" s="15" t="s">
        <v>1</v>
      </c>
      <c r="C770" s="15">
        <v>216.29</v>
      </c>
      <c r="D770" s="15">
        <v>0.21459918</v>
      </c>
      <c r="E770" s="15">
        <v>1591608116.2574999</v>
      </c>
      <c r="F770" s="15" t="s">
        <v>547</v>
      </c>
      <c r="G770" s="15" t="s">
        <v>546</v>
      </c>
      <c r="H770" s="15"/>
    </row>
    <row r="771" spans="2:8" x14ac:dyDescent="0.35">
      <c r="B771" s="15" t="s">
        <v>1</v>
      </c>
      <c r="C771" s="15">
        <v>216.29</v>
      </c>
      <c r="D771" s="15">
        <v>6.42</v>
      </c>
      <c r="E771" s="15">
        <v>1591608116.2637</v>
      </c>
      <c r="F771" s="15" t="s">
        <v>547</v>
      </c>
      <c r="G771" s="15" t="s">
        <v>546</v>
      </c>
      <c r="H771" s="15"/>
    </row>
    <row r="772" spans="2:8" x14ac:dyDescent="0.35">
      <c r="B772" s="15" t="s">
        <v>1</v>
      </c>
      <c r="C772" s="15">
        <v>216.26</v>
      </c>
      <c r="D772" s="15">
        <v>26.78</v>
      </c>
      <c r="E772" s="15">
        <v>1591608116.4272001</v>
      </c>
      <c r="F772" s="15" t="s">
        <v>547</v>
      </c>
      <c r="G772" s="15" t="s">
        <v>546</v>
      </c>
      <c r="H772" s="15"/>
    </row>
    <row r="773" spans="2:8" x14ac:dyDescent="0.35">
      <c r="B773" s="15" t="s">
        <v>1</v>
      </c>
      <c r="C773" s="15">
        <v>216.27</v>
      </c>
      <c r="D773" s="15">
        <v>0.35079801999999999</v>
      </c>
      <c r="E773" s="15">
        <v>1591608122.573</v>
      </c>
      <c r="F773" s="15" t="s">
        <v>545</v>
      </c>
      <c r="G773" s="15" t="s">
        <v>548</v>
      </c>
      <c r="H773" s="15"/>
    </row>
    <row r="774" spans="2:8" x14ac:dyDescent="0.35">
      <c r="B774" s="15" t="s">
        <v>1</v>
      </c>
      <c r="C774" s="15">
        <v>216.17</v>
      </c>
      <c r="D774" s="15">
        <v>0.21855013000000001</v>
      </c>
      <c r="E774" s="15">
        <v>1591608126.974</v>
      </c>
      <c r="F774" s="15" t="s">
        <v>547</v>
      </c>
      <c r="G774" s="15" t="s">
        <v>548</v>
      </c>
      <c r="H774" s="15"/>
    </row>
    <row r="775" spans="2:8" x14ac:dyDescent="0.35">
      <c r="B775" s="15" t="s">
        <v>1</v>
      </c>
      <c r="C775" s="15">
        <v>216.3</v>
      </c>
      <c r="D775" s="15">
        <v>4.5887629499999996</v>
      </c>
      <c r="E775" s="15">
        <v>1591608152.5569999</v>
      </c>
      <c r="F775" s="15" t="s">
        <v>545</v>
      </c>
      <c r="G775" s="15" t="s">
        <v>548</v>
      </c>
      <c r="H775" s="15"/>
    </row>
    <row r="776" spans="2:8" x14ac:dyDescent="0.35">
      <c r="B776" s="15" t="s">
        <v>1</v>
      </c>
      <c r="C776" s="15">
        <v>216.3</v>
      </c>
      <c r="D776" s="15">
        <v>15.668360229999999</v>
      </c>
      <c r="E776" s="15">
        <v>1591608152.9784999</v>
      </c>
      <c r="F776" s="15" t="s">
        <v>545</v>
      </c>
      <c r="G776" s="15" t="s">
        <v>546</v>
      </c>
      <c r="H776" s="15"/>
    </row>
    <row r="777" spans="2:8" x14ac:dyDescent="0.35">
      <c r="B777" s="15" t="s">
        <v>1</v>
      </c>
      <c r="C777" s="15">
        <v>216.3</v>
      </c>
      <c r="D777" s="15">
        <v>2.1905029999999999E-2</v>
      </c>
      <c r="E777" s="15">
        <v>1591608152.9825001</v>
      </c>
      <c r="F777" s="15" t="s">
        <v>545</v>
      </c>
      <c r="G777" s="15" t="s">
        <v>546</v>
      </c>
      <c r="H777" s="15"/>
    </row>
    <row r="778" spans="2:8" x14ac:dyDescent="0.35">
      <c r="B778" s="15" t="s">
        <v>1</v>
      </c>
      <c r="C778" s="15">
        <v>216.3</v>
      </c>
      <c r="D778" s="15">
        <v>2.179E-5</v>
      </c>
      <c r="E778" s="15">
        <v>1591608152.9841001</v>
      </c>
      <c r="F778" s="15" t="s">
        <v>545</v>
      </c>
      <c r="G778" s="15" t="s">
        <v>546</v>
      </c>
      <c r="H778" s="15"/>
    </row>
    <row r="779" spans="2:8" x14ac:dyDescent="0.35">
      <c r="B779" s="15" t="s">
        <v>1</v>
      </c>
      <c r="C779" s="15">
        <v>216.33</v>
      </c>
      <c r="D779" s="15">
        <v>6.4628840000000007E-2</v>
      </c>
      <c r="E779" s="15">
        <v>1591608152.9863999</v>
      </c>
      <c r="F779" s="15" t="s">
        <v>545</v>
      </c>
      <c r="G779" s="15" t="s">
        <v>546</v>
      </c>
      <c r="H779" s="15"/>
    </row>
    <row r="780" spans="2:8" x14ac:dyDescent="0.35">
      <c r="B780" s="15" t="s">
        <v>1</v>
      </c>
      <c r="C780" s="15">
        <v>216.39</v>
      </c>
      <c r="D780" s="15">
        <v>5.9726728800000002</v>
      </c>
      <c r="E780" s="15">
        <v>1591608152.9881999</v>
      </c>
      <c r="F780" s="15" t="s">
        <v>545</v>
      </c>
      <c r="G780" s="15" t="s">
        <v>546</v>
      </c>
      <c r="H780" s="15"/>
    </row>
    <row r="781" spans="2:8" x14ac:dyDescent="0.35">
      <c r="B781" s="15" t="s">
        <v>1</v>
      </c>
      <c r="C781" s="15">
        <v>216.39</v>
      </c>
      <c r="D781" s="15">
        <v>0.02</v>
      </c>
      <c r="E781" s="15">
        <v>1591608154.0448999</v>
      </c>
      <c r="F781" s="15" t="s">
        <v>547</v>
      </c>
      <c r="G781" s="15" t="s">
        <v>548</v>
      </c>
      <c r="H781" s="15"/>
    </row>
    <row r="782" spans="2:8" x14ac:dyDescent="0.35">
      <c r="B782" s="15" t="s">
        <v>1</v>
      </c>
      <c r="C782" s="15">
        <v>216.4</v>
      </c>
      <c r="D782" s="15">
        <v>3.5917640400000002</v>
      </c>
      <c r="E782" s="15">
        <v>1591608162.4335001</v>
      </c>
      <c r="F782" s="15" t="s">
        <v>545</v>
      </c>
      <c r="G782" s="15" t="s">
        <v>546</v>
      </c>
      <c r="H782" s="15"/>
    </row>
    <row r="783" spans="2:8" x14ac:dyDescent="0.35">
      <c r="B783" s="15" t="s">
        <v>1</v>
      </c>
      <c r="C783" s="15">
        <v>216.4</v>
      </c>
      <c r="D783" s="15">
        <v>5.9999359600000002</v>
      </c>
      <c r="E783" s="15">
        <v>1591608162.4351001</v>
      </c>
      <c r="F783" s="15" t="s">
        <v>545</v>
      </c>
      <c r="G783" s="15" t="s">
        <v>546</v>
      </c>
      <c r="H783" s="15"/>
    </row>
    <row r="784" spans="2:8" x14ac:dyDescent="0.35">
      <c r="B784" s="15" t="s">
        <v>1</v>
      </c>
      <c r="C784" s="15">
        <v>216.55</v>
      </c>
      <c r="D784" s="15">
        <v>0.02</v>
      </c>
      <c r="E784" s="15">
        <v>1591608163.4590001</v>
      </c>
      <c r="F784" s="15" t="s">
        <v>545</v>
      </c>
      <c r="G784" s="15" t="s">
        <v>548</v>
      </c>
      <c r="H784" s="15"/>
    </row>
    <row r="785" spans="2:8" x14ac:dyDescent="0.35">
      <c r="B785" s="15" t="s">
        <v>1</v>
      </c>
      <c r="C785" s="15">
        <v>216.53</v>
      </c>
      <c r="D785" s="15">
        <v>1.5700108699999999</v>
      </c>
      <c r="E785" s="15">
        <v>1591608164.1185999</v>
      </c>
      <c r="F785" s="15" t="s">
        <v>547</v>
      </c>
      <c r="G785" s="15" t="s">
        <v>546</v>
      </c>
      <c r="H785" s="15"/>
    </row>
    <row r="786" spans="2:8" x14ac:dyDescent="0.35">
      <c r="B786" s="15" t="s">
        <v>1</v>
      </c>
      <c r="C786" s="15">
        <v>216.54</v>
      </c>
      <c r="D786" s="15">
        <v>6.78</v>
      </c>
      <c r="E786" s="15">
        <v>1591608166.4804001</v>
      </c>
      <c r="F786" s="15" t="s">
        <v>547</v>
      </c>
      <c r="G786" s="15" t="s">
        <v>546</v>
      </c>
      <c r="H786" s="15"/>
    </row>
    <row r="787" spans="2:8" x14ac:dyDescent="0.35">
      <c r="B787" s="15" t="s">
        <v>1</v>
      </c>
      <c r="C787" s="15">
        <v>216.53</v>
      </c>
      <c r="D787" s="15">
        <v>6.06</v>
      </c>
      <c r="E787" s="15">
        <v>1591608172.4535999</v>
      </c>
      <c r="F787" s="15" t="s">
        <v>545</v>
      </c>
      <c r="G787" s="15" t="s">
        <v>546</v>
      </c>
      <c r="H787" s="15"/>
    </row>
    <row r="788" spans="2:8" x14ac:dyDescent="0.35">
      <c r="B788" s="15" t="s">
        <v>1</v>
      </c>
      <c r="C788" s="15">
        <v>216.51</v>
      </c>
      <c r="D788" s="15">
        <v>0.02</v>
      </c>
      <c r="E788" s="15">
        <v>1591608176.5395</v>
      </c>
      <c r="F788" s="15" t="s">
        <v>547</v>
      </c>
      <c r="G788" s="15" t="s">
        <v>548</v>
      </c>
      <c r="H788" s="15"/>
    </row>
    <row r="789" spans="2:8" x14ac:dyDescent="0.35">
      <c r="B789" s="15" t="s">
        <v>1</v>
      </c>
      <c r="C789" s="15">
        <v>216.52</v>
      </c>
      <c r="D789" s="15">
        <v>3.0049999999999999</v>
      </c>
      <c r="E789" s="15">
        <v>1591608177.5715001</v>
      </c>
      <c r="F789" s="15" t="s">
        <v>547</v>
      </c>
      <c r="G789" s="15" t="s">
        <v>546</v>
      </c>
      <c r="H789" s="15"/>
    </row>
    <row r="790" spans="2:8" x14ac:dyDescent="0.35">
      <c r="B790" s="15" t="s">
        <v>1</v>
      </c>
      <c r="C790" s="15">
        <v>216.55</v>
      </c>
      <c r="D790" s="15">
        <v>0.23454941000000001</v>
      </c>
      <c r="E790" s="15">
        <v>1591608183.2685001</v>
      </c>
      <c r="F790" s="15" t="s">
        <v>545</v>
      </c>
      <c r="G790" s="15" t="s">
        <v>546</v>
      </c>
      <c r="H790" s="15"/>
    </row>
    <row r="791" spans="2:8" x14ac:dyDescent="0.35">
      <c r="B791" s="15" t="s">
        <v>1</v>
      </c>
      <c r="C791" s="15">
        <v>216.55</v>
      </c>
      <c r="D791" s="15">
        <v>1.5514369299999999</v>
      </c>
      <c r="E791" s="15">
        <v>1591608183.2723999</v>
      </c>
      <c r="F791" s="15" t="s">
        <v>545</v>
      </c>
      <c r="G791" s="15" t="s">
        <v>546</v>
      </c>
      <c r="H791" s="15"/>
    </row>
    <row r="792" spans="2:8" x14ac:dyDescent="0.35">
      <c r="B792" s="15" t="s">
        <v>1</v>
      </c>
      <c r="C792" s="15">
        <v>216.55</v>
      </c>
      <c r="D792" s="15">
        <v>9.2207330000000004E-2</v>
      </c>
      <c r="E792" s="15">
        <v>1591608183.2751999</v>
      </c>
      <c r="F792" s="15" t="s">
        <v>545</v>
      </c>
      <c r="G792" s="15" t="s">
        <v>546</v>
      </c>
      <c r="H792" s="15"/>
    </row>
    <row r="793" spans="2:8" x14ac:dyDescent="0.35">
      <c r="B793" s="15" t="s">
        <v>1</v>
      </c>
      <c r="C793" s="15">
        <v>216.55</v>
      </c>
      <c r="D793" s="15">
        <v>0.17207855</v>
      </c>
      <c r="E793" s="15">
        <v>1591608183.2781</v>
      </c>
      <c r="F793" s="15" t="s">
        <v>545</v>
      </c>
      <c r="G793" s="15" t="s">
        <v>546</v>
      </c>
      <c r="H793" s="15"/>
    </row>
    <row r="794" spans="2:8" x14ac:dyDescent="0.35">
      <c r="B794" s="15" t="s">
        <v>1</v>
      </c>
      <c r="C794" s="15">
        <v>216.55</v>
      </c>
      <c r="D794" s="15">
        <v>1.9497277799999999</v>
      </c>
      <c r="E794" s="15">
        <v>1591608183.2809</v>
      </c>
      <c r="F794" s="15" t="s">
        <v>545</v>
      </c>
      <c r="G794" s="15" t="s">
        <v>546</v>
      </c>
      <c r="H794" s="15"/>
    </row>
    <row r="795" spans="2:8" x14ac:dyDescent="0.35">
      <c r="B795" s="15" t="s">
        <v>1</v>
      </c>
      <c r="C795" s="15">
        <v>216.61</v>
      </c>
      <c r="D795" s="15">
        <v>0.02</v>
      </c>
      <c r="E795" s="15">
        <v>1591608189.3168001</v>
      </c>
      <c r="F795" s="15" t="s">
        <v>545</v>
      </c>
      <c r="G795" s="15" t="s">
        <v>548</v>
      </c>
      <c r="H795" s="15"/>
    </row>
    <row r="796" spans="2:8" x14ac:dyDescent="0.35">
      <c r="B796" s="15" t="s">
        <v>1</v>
      </c>
      <c r="C796" s="15">
        <v>216.45</v>
      </c>
      <c r="D796" s="15">
        <v>1.8</v>
      </c>
      <c r="E796" s="15">
        <v>1591608194.2068999</v>
      </c>
      <c r="F796" s="15" t="s">
        <v>547</v>
      </c>
      <c r="G796" s="15" t="s">
        <v>546</v>
      </c>
      <c r="H796" s="15"/>
    </row>
    <row r="797" spans="2:8" x14ac:dyDescent="0.35">
      <c r="B797" s="15" t="s">
        <v>1</v>
      </c>
      <c r="C797" s="15">
        <v>216.38</v>
      </c>
      <c r="D797" s="15">
        <v>0.24492343</v>
      </c>
      <c r="E797" s="15">
        <v>1591608195.8461001</v>
      </c>
      <c r="F797" s="15" t="s">
        <v>547</v>
      </c>
      <c r="G797" s="15" t="s">
        <v>546</v>
      </c>
      <c r="H797" s="15"/>
    </row>
    <row r="798" spans="2:8" x14ac:dyDescent="0.35">
      <c r="B798" s="15" t="s">
        <v>1</v>
      </c>
      <c r="C798" s="15">
        <v>216.49</v>
      </c>
      <c r="D798" s="15">
        <v>10.83085191</v>
      </c>
      <c r="E798" s="15">
        <v>1591608197.7044001</v>
      </c>
      <c r="F798" s="15" t="s">
        <v>547</v>
      </c>
      <c r="G798" s="15" t="s">
        <v>548</v>
      </c>
      <c r="H798" s="15"/>
    </row>
    <row r="799" spans="2:8" x14ac:dyDescent="0.35">
      <c r="B799" s="15" t="s">
        <v>1</v>
      </c>
      <c r="C799" s="15">
        <v>216.41</v>
      </c>
      <c r="D799" s="15">
        <v>0.02</v>
      </c>
      <c r="E799" s="15">
        <v>1591608201.2079999</v>
      </c>
      <c r="F799" s="15" t="s">
        <v>547</v>
      </c>
      <c r="G799" s="15" t="s">
        <v>548</v>
      </c>
      <c r="H799" s="15"/>
    </row>
    <row r="800" spans="2:8" x14ac:dyDescent="0.35">
      <c r="B800" s="15" t="s">
        <v>1</v>
      </c>
      <c r="C800" s="15">
        <v>216.5</v>
      </c>
      <c r="D800" s="15">
        <v>0.71133884000000003</v>
      </c>
      <c r="E800" s="15">
        <v>1591608202.2326</v>
      </c>
      <c r="F800" s="15" t="s">
        <v>545</v>
      </c>
      <c r="G800" s="15" t="s">
        <v>546</v>
      </c>
      <c r="H800" s="15"/>
    </row>
    <row r="801" spans="2:8" x14ac:dyDescent="0.35">
      <c r="B801" s="15" t="s">
        <v>1</v>
      </c>
      <c r="C801" s="15">
        <v>216.64</v>
      </c>
      <c r="D801" s="15">
        <v>0.02</v>
      </c>
      <c r="E801" s="15">
        <v>1591608217.6424999</v>
      </c>
      <c r="F801" s="15" t="s">
        <v>545</v>
      </c>
      <c r="G801" s="15" t="s">
        <v>548</v>
      </c>
      <c r="H801" s="15"/>
    </row>
    <row r="802" spans="2:8" x14ac:dyDescent="0.35">
      <c r="B802" s="15" t="s">
        <v>1</v>
      </c>
      <c r="C802" s="15">
        <v>216.63</v>
      </c>
      <c r="D802" s="15">
        <v>0.24492343</v>
      </c>
      <c r="E802" s="15">
        <v>1591608222.9856999</v>
      </c>
      <c r="F802" s="15" t="s">
        <v>547</v>
      </c>
      <c r="G802" s="15" t="s">
        <v>546</v>
      </c>
      <c r="H802" s="15"/>
    </row>
    <row r="803" spans="2:8" x14ac:dyDescent="0.35">
      <c r="B803" s="15" t="s">
        <v>1</v>
      </c>
      <c r="C803" s="15">
        <v>216.64</v>
      </c>
      <c r="D803" s="15">
        <v>0.18587841999999999</v>
      </c>
      <c r="E803" s="15">
        <v>1591608227.4496</v>
      </c>
      <c r="F803" s="15" t="s">
        <v>545</v>
      </c>
      <c r="G803" s="15" t="s">
        <v>548</v>
      </c>
      <c r="H803" s="15"/>
    </row>
    <row r="804" spans="2:8" x14ac:dyDescent="0.35">
      <c r="B804" s="15" t="s">
        <v>1</v>
      </c>
      <c r="C804" s="15">
        <v>216.63</v>
      </c>
      <c r="D804" s="15">
        <v>0.02</v>
      </c>
      <c r="E804" s="15">
        <v>1591608231.0678999</v>
      </c>
      <c r="F804" s="15" t="s">
        <v>547</v>
      </c>
      <c r="G804" s="15" t="s">
        <v>548</v>
      </c>
      <c r="H804" s="15"/>
    </row>
    <row r="805" spans="2:8" x14ac:dyDescent="0.35">
      <c r="B805" s="15" t="s">
        <v>1</v>
      </c>
      <c r="C805" s="15">
        <v>216.61</v>
      </c>
      <c r="D805" s="15">
        <v>0.02</v>
      </c>
      <c r="E805" s="15">
        <v>1591608245.2320001</v>
      </c>
      <c r="F805" s="15" t="s">
        <v>545</v>
      </c>
      <c r="G805" s="15" t="s">
        <v>548</v>
      </c>
      <c r="H805" s="15"/>
    </row>
    <row r="806" spans="2:8" x14ac:dyDescent="0.35">
      <c r="B806" s="15" t="s">
        <v>1</v>
      </c>
      <c r="C806" s="15">
        <v>216.59</v>
      </c>
      <c r="D806" s="15">
        <v>0.92375678000000006</v>
      </c>
      <c r="E806" s="15">
        <v>1591608246.4772999</v>
      </c>
      <c r="F806" s="15" t="s">
        <v>545</v>
      </c>
      <c r="G806" s="15" t="s">
        <v>546</v>
      </c>
      <c r="H806" s="15"/>
    </row>
    <row r="807" spans="2:8" x14ac:dyDescent="0.35">
      <c r="B807" s="15" t="s">
        <v>1</v>
      </c>
      <c r="C807" s="15">
        <v>216.46</v>
      </c>
      <c r="D807" s="15">
        <v>1.40519792</v>
      </c>
      <c r="E807" s="15">
        <v>1591608259.8915999</v>
      </c>
      <c r="F807" s="15" t="s">
        <v>547</v>
      </c>
      <c r="G807" s="15" t="s">
        <v>548</v>
      </c>
      <c r="H807" s="15"/>
    </row>
    <row r="808" spans="2:8" x14ac:dyDescent="0.35">
      <c r="B808" s="15" t="s">
        <v>1</v>
      </c>
      <c r="C808" s="15">
        <v>216.41</v>
      </c>
      <c r="D808" s="15">
        <v>0.02</v>
      </c>
      <c r="E808" s="15">
        <v>1591608261.4993</v>
      </c>
      <c r="F808" s="15" t="s">
        <v>547</v>
      </c>
      <c r="G808" s="15" t="s">
        <v>548</v>
      </c>
      <c r="H808" s="15"/>
    </row>
    <row r="809" spans="2:8" x14ac:dyDescent="0.35">
      <c r="B809" s="15" t="s">
        <v>1</v>
      </c>
      <c r="C809" s="15">
        <v>216.32</v>
      </c>
      <c r="D809" s="15">
        <v>6.06</v>
      </c>
      <c r="E809" s="15">
        <v>1591608265.5214</v>
      </c>
      <c r="F809" s="15" t="s">
        <v>547</v>
      </c>
      <c r="G809" s="15" t="s">
        <v>546</v>
      </c>
      <c r="H809" s="15"/>
    </row>
    <row r="810" spans="2:8" x14ac:dyDescent="0.35">
      <c r="B810" s="15" t="s">
        <v>1</v>
      </c>
      <c r="C810" s="15">
        <v>216.32</v>
      </c>
      <c r="D810" s="15">
        <v>8</v>
      </c>
      <c r="E810" s="15">
        <v>1591608266.4574001</v>
      </c>
      <c r="F810" s="15" t="s">
        <v>547</v>
      </c>
      <c r="G810" s="15" t="s">
        <v>546</v>
      </c>
      <c r="H810" s="15"/>
    </row>
    <row r="811" spans="2:8" x14ac:dyDescent="0.35">
      <c r="B811" s="15" t="s">
        <v>1</v>
      </c>
      <c r="C811" s="15">
        <v>216.29</v>
      </c>
      <c r="D811" s="15">
        <v>23.41</v>
      </c>
      <c r="E811" s="15">
        <v>1591608266.503</v>
      </c>
      <c r="F811" s="15" t="s">
        <v>547</v>
      </c>
      <c r="G811" s="15" t="s">
        <v>546</v>
      </c>
      <c r="H811" s="15"/>
    </row>
    <row r="812" spans="2:8" x14ac:dyDescent="0.35">
      <c r="B812" s="15" t="s">
        <v>1</v>
      </c>
      <c r="C812" s="15">
        <v>216.29</v>
      </c>
      <c r="D812" s="15">
        <v>9.2149999999999999</v>
      </c>
      <c r="E812" s="15">
        <v>1591608267.3247001</v>
      </c>
      <c r="F812" s="15" t="s">
        <v>547</v>
      </c>
      <c r="G812" s="15" t="s">
        <v>546</v>
      </c>
      <c r="H812" s="15"/>
    </row>
    <row r="813" spans="2:8" x14ac:dyDescent="0.35">
      <c r="B813" s="15" t="s">
        <v>1</v>
      </c>
      <c r="C813" s="15">
        <v>216.13</v>
      </c>
      <c r="D813" s="15">
        <v>0.02</v>
      </c>
      <c r="E813" s="15">
        <v>1591608280.2098</v>
      </c>
      <c r="F813" s="15" t="s">
        <v>545</v>
      </c>
      <c r="G813" s="15" t="s">
        <v>548</v>
      </c>
      <c r="H813" s="15"/>
    </row>
    <row r="814" spans="2:8" x14ac:dyDescent="0.35">
      <c r="B814" s="15" t="s">
        <v>1</v>
      </c>
      <c r="C814" s="15">
        <v>216.06</v>
      </c>
      <c r="D814" s="15">
        <v>6.8500000000000005E-2</v>
      </c>
      <c r="E814" s="15">
        <v>1591608286.1008999</v>
      </c>
      <c r="F814" s="15" t="s">
        <v>545</v>
      </c>
      <c r="G814" s="15" t="s">
        <v>546</v>
      </c>
      <c r="H814" s="15"/>
    </row>
    <row r="815" spans="2:8" x14ac:dyDescent="0.35">
      <c r="B815" s="15" t="s">
        <v>1</v>
      </c>
      <c r="C815" s="15">
        <v>216.05</v>
      </c>
      <c r="D815" s="15">
        <v>0.71837611000000001</v>
      </c>
      <c r="E815" s="15">
        <v>1591608286.1891</v>
      </c>
      <c r="F815" s="15" t="s">
        <v>547</v>
      </c>
      <c r="G815" s="15" t="s">
        <v>546</v>
      </c>
      <c r="H815" s="15"/>
    </row>
    <row r="816" spans="2:8" x14ac:dyDescent="0.35">
      <c r="B816" s="15" t="s">
        <v>1</v>
      </c>
      <c r="C816" s="15">
        <v>216.05</v>
      </c>
      <c r="D816" s="15">
        <v>1.5769600000000001E-3</v>
      </c>
      <c r="E816" s="15">
        <v>1591608286.1925001</v>
      </c>
      <c r="F816" s="15" t="s">
        <v>547</v>
      </c>
      <c r="G816" s="15" t="s">
        <v>546</v>
      </c>
      <c r="H816" s="15"/>
    </row>
    <row r="817" spans="2:8" x14ac:dyDescent="0.35">
      <c r="B817" s="15" t="s">
        <v>1</v>
      </c>
      <c r="C817" s="15">
        <v>216.05</v>
      </c>
      <c r="D817" s="15">
        <v>3.4599999999999999E-6</v>
      </c>
      <c r="E817" s="15">
        <v>1591608286.1938</v>
      </c>
      <c r="F817" s="15" t="s">
        <v>547</v>
      </c>
      <c r="G817" s="15" t="s">
        <v>546</v>
      </c>
      <c r="H817" s="15"/>
    </row>
    <row r="818" spans="2:8" x14ac:dyDescent="0.35">
      <c r="B818" s="15" t="s">
        <v>1</v>
      </c>
      <c r="C818" s="15">
        <v>216.01</v>
      </c>
      <c r="D818" s="15">
        <v>0.02</v>
      </c>
      <c r="E818" s="15">
        <v>1591608291.9495001</v>
      </c>
      <c r="F818" s="15" t="s">
        <v>547</v>
      </c>
      <c r="G818" s="15" t="s">
        <v>548</v>
      </c>
      <c r="H818" s="15"/>
    </row>
    <row r="819" spans="2:8" x14ac:dyDescent="0.35">
      <c r="B819" s="15" t="s">
        <v>1</v>
      </c>
      <c r="C819" s="15">
        <v>216.09</v>
      </c>
      <c r="D819" s="15">
        <v>1.36973251</v>
      </c>
      <c r="E819" s="15">
        <v>1591608293.7414999</v>
      </c>
      <c r="F819" s="15" t="s">
        <v>545</v>
      </c>
      <c r="G819" s="15" t="s">
        <v>546</v>
      </c>
      <c r="H819" s="15"/>
    </row>
    <row r="820" spans="2:8" x14ac:dyDescent="0.35">
      <c r="B820" s="15" t="s">
        <v>1</v>
      </c>
      <c r="C820" s="15">
        <v>216.02</v>
      </c>
      <c r="D820" s="15">
        <v>1.4078759999999999</v>
      </c>
      <c r="E820" s="15">
        <v>1591608302.3318999</v>
      </c>
      <c r="F820" s="15" t="s">
        <v>547</v>
      </c>
      <c r="G820" s="15" t="s">
        <v>548</v>
      </c>
      <c r="H820" s="15"/>
    </row>
    <row r="821" spans="2:8" x14ac:dyDescent="0.35">
      <c r="B821" s="15" t="s">
        <v>1</v>
      </c>
      <c r="C821" s="15">
        <v>216</v>
      </c>
      <c r="D821" s="15">
        <v>9.6001005900000003</v>
      </c>
      <c r="E821" s="15">
        <v>1591608307.4579</v>
      </c>
      <c r="F821" s="15" t="s">
        <v>547</v>
      </c>
      <c r="G821" s="15" t="s">
        <v>546</v>
      </c>
      <c r="H821" s="15"/>
    </row>
    <row r="822" spans="2:8" x14ac:dyDescent="0.35">
      <c r="B822" s="15" t="s">
        <v>1</v>
      </c>
      <c r="C822" s="15">
        <v>216</v>
      </c>
      <c r="D822" s="15">
        <v>8.1497219999999995E-2</v>
      </c>
      <c r="E822" s="15">
        <v>1591608307.4605999</v>
      </c>
      <c r="F822" s="15" t="s">
        <v>547</v>
      </c>
      <c r="G822" s="15" t="s">
        <v>546</v>
      </c>
      <c r="H822" s="15"/>
    </row>
    <row r="823" spans="2:8" x14ac:dyDescent="0.35">
      <c r="B823" s="15" t="s">
        <v>1</v>
      </c>
      <c r="C823" s="15">
        <v>215.98</v>
      </c>
      <c r="D823" s="15">
        <v>0.02</v>
      </c>
      <c r="E823" s="15">
        <v>1591608308.4507</v>
      </c>
      <c r="F823" s="15" t="s">
        <v>545</v>
      </c>
      <c r="G823" s="15" t="s">
        <v>548</v>
      </c>
      <c r="H823" s="15"/>
    </row>
    <row r="824" spans="2:8" x14ac:dyDescent="0.35">
      <c r="B824" s="15" t="s">
        <v>1</v>
      </c>
      <c r="C824" s="15">
        <v>215.97</v>
      </c>
      <c r="D824" s="15">
        <v>2.98</v>
      </c>
      <c r="E824" s="15">
        <v>1591608309.5794001</v>
      </c>
      <c r="F824" s="15" t="s">
        <v>545</v>
      </c>
      <c r="G824" s="15" t="s">
        <v>546</v>
      </c>
      <c r="H824" s="15"/>
    </row>
    <row r="825" spans="2:8" x14ac:dyDescent="0.35">
      <c r="B825" s="15" t="s">
        <v>1</v>
      </c>
      <c r="C825" s="15">
        <v>215.84</v>
      </c>
      <c r="D825" s="15">
        <v>0.40516000000000002</v>
      </c>
      <c r="E825" s="15">
        <v>1591608313.7915001</v>
      </c>
      <c r="F825" s="15" t="s">
        <v>547</v>
      </c>
      <c r="G825" s="15" t="s">
        <v>548</v>
      </c>
      <c r="H825" s="15"/>
    </row>
    <row r="826" spans="2:8" x14ac:dyDescent="0.35">
      <c r="B826" s="15" t="s">
        <v>1</v>
      </c>
      <c r="C826" s="15">
        <v>215.99</v>
      </c>
      <c r="D826" s="15">
        <v>20.43</v>
      </c>
      <c r="E826" s="15">
        <v>1591608324.4567001</v>
      </c>
      <c r="F826" s="15" t="s">
        <v>547</v>
      </c>
      <c r="G826" s="15" t="s">
        <v>546</v>
      </c>
      <c r="H826" s="15"/>
    </row>
    <row r="827" spans="2:8" x14ac:dyDescent="0.35">
      <c r="B827" s="15" t="s">
        <v>1</v>
      </c>
      <c r="C827" s="15">
        <v>215.89</v>
      </c>
      <c r="D827" s="15">
        <v>3.74</v>
      </c>
      <c r="E827" s="15">
        <v>1591608325.2894001</v>
      </c>
      <c r="F827" s="15" t="s">
        <v>547</v>
      </c>
      <c r="G827" s="15" t="s">
        <v>546</v>
      </c>
      <c r="H827" s="15"/>
    </row>
    <row r="828" spans="2:8" x14ac:dyDescent="0.35">
      <c r="B828" s="15" t="s">
        <v>1</v>
      </c>
      <c r="C828" s="15">
        <v>215.89</v>
      </c>
      <c r="D828" s="15">
        <v>8.8849999999999998</v>
      </c>
      <c r="E828" s="15">
        <v>1591608325.4045999</v>
      </c>
      <c r="F828" s="15" t="s">
        <v>547</v>
      </c>
      <c r="G828" s="15" t="s">
        <v>546</v>
      </c>
      <c r="H828" s="15"/>
    </row>
    <row r="829" spans="2:8" x14ac:dyDescent="0.35">
      <c r="B829" s="15" t="s">
        <v>1</v>
      </c>
      <c r="C829" s="15">
        <v>215.88</v>
      </c>
      <c r="D829" s="15">
        <v>0.31605391999999999</v>
      </c>
      <c r="E829" s="15">
        <v>1591608325.4075999</v>
      </c>
      <c r="F829" s="15" t="s">
        <v>547</v>
      </c>
      <c r="G829" s="15" t="s">
        <v>546</v>
      </c>
      <c r="H829" s="15"/>
    </row>
    <row r="830" spans="2:8" x14ac:dyDescent="0.35">
      <c r="B830" s="15" t="s">
        <v>1</v>
      </c>
      <c r="C830" s="15">
        <v>215.88</v>
      </c>
      <c r="D830" s="15">
        <v>7.6839460800000001</v>
      </c>
      <c r="E830" s="15">
        <v>1591608325.4112</v>
      </c>
      <c r="F830" s="15" t="s">
        <v>547</v>
      </c>
      <c r="G830" s="15" t="s">
        <v>546</v>
      </c>
      <c r="H830" s="15"/>
    </row>
    <row r="831" spans="2:8" x14ac:dyDescent="0.35">
      <c r="B831" s="15" t="s">
        <v>1</v>
      </c>
      <c r="C831" s="15">
        <v>215.88</v>
      </c>
      <c r="D831" s="15">
        <v>12.625</v>
      </c>
      <c r="E831" s="15">
        <v>1591608325.4130001</v>
      </c>
      <c r="F831" s="15" t="s">
        <v>547</v>
      </c>
      <c r="G831" s="15" t="s">
        <v>546</v>
      </c>
      <c r="H831" s="15"/>
    </row>
    <row r="832" spans="2:8" x14ac:dyDescent="0.35">
      <c r="B832" s="15" t="s">
        <v>1</v>
      </c>
      <c r="C832" s="15">
        <v>215.87</v>
      </c>
      <c r="D832" s="15">
        <v>0.34113416000000002</v>
      </c>
      <c r="E832" s="15">
        <v>1591608325.4149001</v>
      </c>
      <c r="F832" s="15" t="s">
        <v>547</v>
      </c>
      <c r="G832" s="15" t="s">
        <v>546</v>
      </c>
      <c r="H832" s="15"/>
    </row>
    <row r="833" spans="2:8" x14ac:dyDescent="0.35">
      <c r="B833" s="15" t="s">
        <v>1</v>
      </c>
      <c r="C833" s="15">
        <v>215.87</v>
      </c>
      <c r="D833" s="15">
        <v>18.28886584</v>
      </c>
      <c r="E833" s="15">
        <v>1591608325.418</v>
      </c>
      <c r="F833" s="15" t="s">
        <v>547</v>
      </c>
      <c r="G833" s="15" t="s">
        <v>546</v>
      </c>
      <c r="H833" s="15"/>
    </row>
    <row r="834" spans="2:8" x14ac:dyDescent="0.35">
      <c r="B834" s="15" t="s">
        <v>1</v>
      </c>
      <c r="C834" s="15">
        <v>216.17</v>
      </c>
      <c r="D834" s="15">
        <v>2.29327456</v>
      </c>
      <c r="E834" s="15">
        <v>1591608352.2701001</v>
      </c>
      <c r="F834" s="15" t="s">
        <v>545</v>
      </c>
      <c r="G834" s="15" t="s">
        <v>548</v>
      </c>
      <c r="H834" s="15"/>
    </row>
    <row r="835" spans="2:8" x14ac:dyDescent="0.35">
      <c r="B835" s="15" t="s">
        <v>1</v>
      </c>
      <c r="C835" s="15">
        <v>216.21</v>
      </c>
      <c r="D835" s="15">
        <v>3.36</v>
      </c>
      <c r="E835" s="15">
        <v>1591608358.8457999</v>
      </c>
      <c r="F835" s="15" t="s">
        <v>547</v>
      </c>
      <c r="G835" s="15" t="s">
        <v>546</v>
      </c>
      <c r="H835" s="15"/>
    </row>
    <row r="836" spans="2:8" x14ac:dyDescent="0.35">
      <c r="B836" s="15" t="s">
        <v>1</v>
      </c>
      <c r="C836" s="15">
        <v>216.26</v>
      </c>
      <c r="D836" s="15">
        <v>4.65E-2</v>
      </c>
      <c r="E836" s="15">
        <v>1591608372.1682999</v>
      </c>
      <c r="F836" s="15" t="s">
        <v>547</v>
      </c>
      <c r="G836" s="15" t="s">
        <v>548</v>
      </c>
      <c r="H836" s="15"/>
    </row>
    <row r="837" spans="2:8" x14ac:dyDescent="0.35">
      <c r="B837" s="15" t="s">
        <v>1</v>
      </c>
      <c r="C837" s="15">
        <v>216.1</v>
      </c>
      <c r="D837" s="15">
        <v>1.4092848</v>
      </c>
      <c r="E837" s="15">
        <v>1591608386.4442</v>
      </c>
      <c r="F837" s="15" t="s">
        <v>547</v>
      </c>
      <c r="G837" s="15" t="s">
        <v>548</v>
      </c>
      <c r="H837" s="15"/>
    </row>
    <row r="838" spans="2:8" x14ac:dyDescent="0.35">
      <c r="B838" s="15" t="s">
        <v>1</v>
      </c>
      <c r="C838" s="15">
        <v>216.28</v>
      </c>
      <c r="D838" s="15">
        <v>0.14661931</v>
      </c>
      <c r="E838" s="15">
        <v>1591608436.3153</v>
      </c>
      <c r="F838" s="15" t="s">
        <v>545</v>
      </c>
      <c r="G838" s="15" t="s">
        <v>548</v>
      </c>
      <c r="H838" s="15"/>
    </row>
    <row r="839" spans="2:8" x14ac:dyDescent="0.35">
      <c r="B839" s="15" t="s">
        <v>1</v>
      </c>
      <c r="C839" s="15">
        <v>216.14</v>
      </c>
      <c r="D839" s="15">
        <v>1.4087730000000001</v>
      </c>
      <c r="E839" s="15">
        <v>1591608478.2695</v>
      </c>
      <c r="F839" s="15" t="s">
        <v>547</v>
      </c>
      <c r="G839" s="15" t="s">
        <v>548</v>
      </c>
      <c r="H839" s="15"/>
    </row>
    <row r="840" spans="2:8" x14ac:dyDescent="0.35">
      <c r="B840" s="15" t="s">
        <v>1</v>
      </c>
      <c r="C840" s="15">
        <v>216.13</v>
      </c>
      <c r="D840" s="15">
        <v>2.2799999999999998</v>
      </c>
      <c r="E840" s="15">
        <v>1591608481.6083</v>
      </c>
      <c r="F840" s="15" t="s">
        <v>545</v>
      </c>
      <c r="G840" s="15" t="s">
        <v>548</v>
      </c>
      <c r="H840" s="15"/>
    </row>
    <row r="841" spans="2:8" x14ac:dyDescent="0.35">
      <c r="B841" s="15" t="s">
        <v>1</v>
      </c>
      <c r="C841" s="15">
        <v>216.14</v>
      </c>
      <c r="D841" s="15">
        <v>4.6272731499999997</v>
      </c>
      <c r="E841" s="15">
        <v>1591608481.6312001</v>
      </c>
      <c r="F841" s="15" t="s">
        <v>545</v>
      </c>
      <c r="G841" s="15" t="s">
        <v>548</v>
      </c>
      <c r="H841" s="15"/>
    </row>
    <row r="842" spans="2:8" x14ac:dyDescent="0.35">
      <c r="B842" s="15" t="s">
        <v>1</v>
      </c>
      <c r="C842" s="15">
        <v>216.14</v>
      </c>
      <c r="D842" s="15">
        <v>60</v>
      </c>
      <c r="E842" s="15">
        <v>1591608481.6336</v>
      </c>
      <c r="F842" s="15" t="s">
        <v>545</v>
      </c>
      <c r="G842" s="15" t="s">
        <v>548</v>
      </c>
      <c r="H842" s="15"/>
    </row>
    <row r="843" spans="2:8" x14ac:dyDescent="0.35">
      <c r="B843" s="15" t="s">
        <v>1</v>
      </c>
      <c r="C843" s="15">
        <v>216.16</v>
      </c>
      <c r="D843" s="15">
        <v>3.2768953600000001</v>
      </c>
      <c r="E843" s="15">
        <v>1591608481.635</v>
      </c>
      <c r="F843" s="15" t="s">
        <v>545</v>
      </c>
      <c r="G843" s="15" t="s">
        <v>548</v>
      </c>
      <c r="H843" s="15"/>
    </row>
    <row r="844" spans="2:8" x14ac:dyDescent="0.35">
      <c r="B844" s="15" t="s">
        <v>1</v>
      </c>
      <c r="C844" s="15">
        <v>216.06</v>
      </c>
      <c r="D844" s="15">
        <v>1.409394</v>
      </c>
      <c r="E844" s="15">
        <v>1591608505.3364999</v>
      </c>
      <c r="F844" s="15" t="s">
        <v>547</v>
      </c>
      <c r="G844" s="15" t="s">
        <v>548</v>
      </c>
      <c r="H844" s="15"/>
    </row>
    <row r="845" spans="2:8" x14ac:dyDescent="0.35">
      <c r="B845" s="15" t="s">
        <v>1</v>
      </c>
      <c r="C845" s="15">
        <v>216.11</v>
      </c>
      <c r="D845" s="15">
        <v>2.3699000000000001E-2</v>
      </c>
      <c r="E845" s="15">
        <v>1591608540.6486001</v>
      </c>
      <c r="F845" s="15" t="s">
        <v>545</v>
      </c>
      <c r="G845" s="15" t="s">
        <v>548</v>
      </c>
      <c r="H845" s="15"/>
    </row>
    <row r="846" spans="2:8" x14ac:dyDescent="0.35">
      <c r="B846" s="15" t="s">
        <v>1</v>
      </c>
      <c r="C846" s="15">
        <v>216.2</v>
      </c>
      <c r="D846" s="15">
        <v>2.6814279999999999E-2</v>
      </c>
      <c r="E846" s="15">
        <v>1591608540.7040999</v>
      </c>
      <c r="F846" s="15" t="s">
        <v>545</v>
      </c>
      <c r="G846" s="15" t="s">
        <v>548</v>
      </c>
      <c r="H846" s="15"/>
    </row>
    <row r="847" spans="2:8" x14ac:dyDescent="0.35">
      <c r="B847" s="15" t="s">
        <v>1</v>
      </c>
      <c r="C847" s="15">
        <v>216.12</v>
      </c>
      <c r="D847" s="15">
        <v>9.1838947700000002</v>
      </c>
      <c r="E847" s="15">
        <v>1591608560.6134</v>
      </c>
      <c r="F847" s="15" t="s">
        <v>545</v>
      </c>
      <c r="G847" s="15" t="s">
        <v>548</v>
      </c>
      <c r="H847" s="15"/>
    </row>
    <row r="848" spans="2:8" x14ac:dyDescent="0.35">
      <c r="B848" s="15" t="s">
        <v>1</v>
      </c>
      <c r="C848" s="15">
        <v>216.23</v>
      </c>
      <c r="D848" s="15">
        <v>5.9988798599999997</v>
      </c>
      <c r="E848" s="15">
        <v>1591608567.6303999</v>
      </c>
      <c r="F848" s="15" t="s">
        <v>545</v>
      </c>
      <c r="G848" s="15" t="s">
        <v>548</v>
      </c>
      <c r="H848" s="15"/>
    </row>
    <row r="849" spans="2:8" x14ac:dyDescent="0.35">
      <c r="B849" s="15" t="s">
        <v>1</v>
      </c>
      <c r="C849" s="15">
        <v>216.23</v>
      </c>
      <c r="D849" s="15">
        <v>7.7771878000000001</v>
      </c>
      <c r="E849" s="15">
        <v>1591608567.6401999</v>
      </c>
      <c r="F849" s="15" t="s">
        <v>545</v>
      </c>
      <c r="G849" s="15" t="s">
        <v>548</v>
      </c>
      <c r="H849" s="15"/>
    </row>
    <row r="850" spans="2:8" x14ac:dyDescent="0.35">
      <c r="B850" s="15" t="s">
        <v>1</v>
      </c>
      <c r="C850" s="15">
        <v>216.12</v>
      </c>
      <c r="D850" s="15">
        <v>1.4100095800000001</v>
      </c>
      <c r="E850" s="15">
        <v>1591608570.8577001</v>
      </c>
      <c r="F850" s="15" t="s">
        <v>547</v>
      </c>
      <c r="G850" s="15" t="s">
        <v>548</v>
      </c>
      <c r="H850" s="15"/>
    </row>
    <row r="851" spans="2:8" x14ac:dyDescent="0.35">
      <c r="B851" s="15" t="s">
        <v>1</v>
      </c>
      <c r="C851" s="15">
        <v>216.18</v>
      </c>
      <c r="D851" s="15">
        <v>0.26527288999999998</v>
      </c>
      <c r="E851" s="15">
        <v>1591608581.1726999</v>
      </c>
      <c r="F851" s="15" t="s">
        <v>545</v>
      </c>
      <c r="G851" s="15" t="s">
        <v>546</v>
      </c>
      <c r="H851" s="15"/>
    </row>
    <row r="852" spans="2:8" x14ac:dyDescent="0.35">
      <c r="B852" s="15" t="s">
        <v>1</v>
      </c>
      <c r="C852" s="15">
        <v>216.14</v>
      </c>
      <c r="D852" s="15">
        <v>0.14000000000000001</v>
      </c>
      <c r="E852" s="15">
        <v>1591608587.9075</v>
      </c>
      <c r="F852" s="15" t="s">
        <v>545</v>
      </c>
      <c r="G852" s="15" t="s">
        <v>548</v>
      </c>
      <c r="H852" s="15"/>
    </row>
    <row r="853" spans="2:8" x14ac:dyDescent="0.35">
      <c r="B853" s="15" t="s">
        <v>1</v>
      </c>
      <c r="C853" s="15">
        <v>216.08</v>
      </c>
      <c r="D853" s="15">
        <v>1.4094441200000001</v>
      </c>
      <c r="E853" s="15">
        <v>1591608590.7451999</v>
      </c>
      <c r="F853" s="15" t="s">
        <v>547</v>
      </c>
      <c r="G853" s="15" t="s">
        <v>548</v>
      </c>
      <c r="H853" s="15"/>
    </row>
    <row r="854" spans="2:8" x14ac:dyDescent="0.35">
      <c r="B854" s="15" t="s">
        <v>1</v>
      </c>
      <c r="C854" s="15">
        <v>216.08</v>
      </c>
      <c r="D854" s="15">
        <v>1.40966163</v>
      </c>
      <c r="E854" s="15">
        <v>1591608604.582</v>
      </c>
      <c r="F854" s="15" t="s">
        <v>547</v>
      </c>
      <c r="G854" s="15" t="s">
        <v>548</v>
      </c>
      <c r="H854" s="15"/>
    </row>
    <row r="855" spans="2:8" x14ac:dyDescent="0.35">
      <c r="B855" s="15" t="s">
        <v>1</v>
      </c>
      <c r="C855" s="15">
        <v>216.09</v>
      </c>
      <c r="D855" s="15">
        <v>0.42723</v>
      </c>
      <c r="E855" s="15">
        <v>1591608605.5594001</v>
      </c>
      <c r="F855" s="15" t="s">
        <v>547</v>
      </c>
      <c r="G855" s="15" t="s">
        <v>548</v>
      </c>
      <c r="H855" s="15"/>
    </row>
    <row r="856" spans="2:8" x14ac:dyDescent="0.35">
      <c r="B856" s="15" t="s">
        <v>1</v>
      </c>
      <c r="C856" s="15">
        <v>216.21</v>
      </c>
      <c r="D856" s="15">
        <v>1.41034332</v>
      </c>
      <c r="E856" s="15">
        <v>1591608617.9714999</v>
      </c>
      <c r="F856" s="15" t="s">
        <v>547</v>
      </c>
      <c r="G856" s="15" t="s">
        <v>548</v>
      </c>
      <c r="H856" s="15"/>
    </row>
    <row r="857" spans="2:8" x14ac:dyDescent="0.35">
      <c r="B857" s="15" t="s">
        <v>1</v>
      </c>
      <c r="C857" s="15">
        <v>216.3</v>
      </c>
      <c r="D857" s="15">
        <v>0.02</v>
      </c>
      <c r="E857" s="15">
        <v>1591608646.5258</v>
      </c>
      <c r="F857" s="15" t="s">
        <v>547</v>
      </c>
      <c r="G857" s="15" t="s">
        <v>548</v>
      </c>
      <c r="H857" s="15"/>
    </row>
    <row r="858" spans="2:8" x14ac:dyDescent="0.35">
      <c r="B858" s="15" t="s">
        <v>1</v>
      </c>
      <c r="C858" s="15">
        <v>216.3</v>
      </c>
      <c r="D858" s="15">
        <v>0.45</v>
      </c>
      <c r="E858" s="15">
        <v>1591608649.1659999</v>
      </c>
      <c r="F858" s="15" t="s">
        <v>547</v>
      </c>
      <c r="G858" s="15" t="s">
        <v>548</v>
      </c>
      <c r="H858" s="15"/>
    </row>
    <row r="859" spans="2:8" x14ac:dyDescent="0.35">
      <c r="B859" s="15" t="s">
        <v>1</v>
      </c>
      <c r="C859" s="15">
        <v>216.3</v>
      </c>
      <c r="D859" s="15">
        <v>0.14008322000000001</v>
      </c>
      <c r="E859" s="15">
        <v>1591608659.8485</v>
      </c>
      <c r="F859" s="15" t="s">
        <v>547</v>
      </c>
      <c r="G859" s="15" t="s">
        <v>546</v>
      </c>
      <c r="H859" s="15"/>
    </row>
    <row r="860" spans="2:8" x14ac:dyDescent="0.35">
      <c r="B860" s="15" t="s">
        <v>1</v>
      </c>
      <c r="C860" s="15">
        <v>216.3</v>
      </c>
      <c r="D860" s="15">
        <v>0.1</v>
      </c>
      <c r="E860" s="15">
        <v>1591608663.3940001</v>
      </c>
      <c r="F860" s="15" t="s">
        <v>547</v>
      </c>
      <c r="G860" s="15" t="s">
        <v>546</v>
      </c>
      <c r="H860" s="15"/>
    </row>
    <row r="861" spans="2:8" x14ac:dyDescent="0.35">
      <c r="B861" s="15" t="s">
        <v>1</v>
      </c>
      <c r="C861" s="15">
        <v>216.22</v>
      </c>
      <c r="D861" s="15">
        <v>0.48798111999999999</v>
      </c>
      <c r="E861" s="15">
        <v>1591608673.4724</v>
      </c>
      <c r="F861" s="15" t="s">
        <v>547</v>
      </c>
      <c r="G861" s="15" t="s">
        <v>548</v>
      </c>
      <c r="H861" s="15"/>
    </row>
    <row r="862" spans="2:8" x14ac:dyDescent="0.35">
      <c r="B862" s="15" t="s">
        <v>1</v>
      </c>
      <c r="C862" s="15">
        <v>216.3</v>
      </c>
      <c r="D862" s="15">
        <v>0.1</v>
      </c>
      <c r="E862" s="15">
        <v>1591608687.2785001</v>
      </c>
      <c r="F862" s="15" t="s">
        <v>547</v>
      </c>
      <c r="G862" s="15" t="s">
        <v>546</v>
      </c>
      <c r="H862" s="15"/>
    </row>
    <row r="863" spans="2:8" x14ac:dyDescent="0.35">
      <c r="B863" s="15" t="s">
        <v>1</v>
      </c>
      <c r="C863" s="15">
        <v>216.31</v>
      </c>
      <c r="D863" s="15">
        <v>7.7695E-2</v>
      </c>
      <c r="E863" s="15">
        <v>1591608706.438</v>
      </c>
      <c r="F863" s="15" t="s">
        <v>545</v>
      </c>
      <c r="G863" s="15" t="s">
        <v>548</v>
      </c>
      <c r="H863" s="15"/>
    </row>
    <row r="864" spans="2:8" x14ac:dyDescent="0.35">
      <c r="B864" s="15" t="s">
        <v>1</v>
      </c>
      <c r="C864" s="15">
        <v>216.39</v>
      </c>
      <c r="D864" s="15">
        <v>0.97355186000000005</v>
      </c>
      <c r="E864" s="15">
        <v>1591608706.4525001</v>
      </c>
      <c r="F864" s="15" t="s">
        <v>545</v>
      </c>
      <c r="G864" s="15" t="s">
        <v>548</v>
      </c>
      <c r="H864" s="15"/>
    </row>
    <row r="865" spans="2:8" x14ac:dyDescent="0.35">
      <c r="B865" s="15" t="s">
        <v>1</v>
      </c>
      <c r="C865" s="15">
        <v>216.38</v>
      </c>
      <c r="D865" s="15">
        <v>1</v>
      </c>
      <c r="E865" s="15">
        <v>1591608721.4475999</v>
      </c>
      <c r="F865" s="15" t="s">
        <v>547</v>
      </c>
      <c r="G865" s="15" t="s">
        <v>548</v>
      </c>
      <c r="H865" s="15"/>
    </row>
    <row r="866" spans="2:8" x14ac:dyDescent="0.35">
      <c r="B866" s="15" t="s">
        <v>1</v>
      </c>
      <c r="C866" s="15">
        <v>216.39</v>
      </c>
      <c r="D866" s="15">
        <v>2.2653721600000001</v>
      </c>
      <c r="E866" s="15">
        <v>1591608722.8636999</v>
      </c>
      <c r="F866" s="15" t="s">
        <v>545</v>
      </c>
      <c r="G866" s="15" t="s">
        <v>548</v>
      </c>
      <c r="H866" s="15"/>
    </row>
    <row r="867" spans="2:8" x14ac:dyDescent="0.35">
      <c r="B867" s="15" t="s">
        <v>1</v>
      </c>
      <c r="C867" s="15">
        <v>216.39</v>
      </c>
      <c r="D867" s="15">
        <v>0.42999908999999997</v>
      </c>
      <c r="E867" s="15">
        <v>1591608725.1933999</v>
      </c>
      <c r="F867" s="15" t="s">
        <v>545</v>
      </c>
      <c r="G867" s="15" t="s">
        <v>548</v>
      </c>
      <c r="H867" s="15"/>
    </row>
    <row r="868" spans="2:8" x14ac:dyDescent="0.35">
      <c r="B868" s="15" t="s">
        <v>1</v>
      </c>
      <c r="C868" s="15">
        <v>216.38</v>
      </c>
      <c r="D868" s="15">
        <v>0.1</v>
      </c>
      <c r="E868" s="15">
        <v>1591608726.7658999</v>
      </c>
      <c r="F868" s="15" t="s">
        <v>547</v>
      </c>
      <c r="G868" s="15" t="s">
        <v>546</v>
      </c>
      <c r="H868" s="15"/>
    </row>
    <row r="869" spans="2:8" x14ac:dyDescent="0.35">
      <c r="B869" s="15" t="s">
        <v>1</v>
      </c>
      <c r="C869" s="15">
        <v>216.39</v>
      </c>
      <c r="D869" s="15">
        <v>0.5</v>
      </c>
      <c r="E869" s="15">
        <v>1591608739.4782</v>
      </c>
      <c r="F869" s="15" t="s">
        <v>545</v>
      </c>
      <c r="G869" s="15" t="s">
        <v>548</v>
      </c>
      <c r="H869" s="15"/>
    </row>
    <row r="870" spans="2:8" x14ac:dyDescent="0.35">
      <c r="B870" s="15" t="s">
        <v>1</v>
      </c>
      <c r="C870" s="15">
        <v>216.39</v>
      </c>
      <c r="D870" s="15">
        <v>2.2934272</v>
      </c>
      <c r="E870" s="15">
        <v>1591608836.2219999</v>
      </c>
      <c r="F870" s="15" t="s">
        <v>545</v>
      </c>
      <c r="G870" s="15" t="s">
        <v>548</v>
      </c>
      <c r="H870" s="15"/>
    </row>
    <row r="871" spans="2:8" x14ac:dyDescent="0.35">
      <c r="B871" s="15" t="s">
        <v>1</v>
      </c>
      <c r="C871" s="15">
        <v>216.33</v>
      </c>
      <c r="D871" s="15">
        <v>5.4283799999999998</v>
      </c>
      <c r="E871" s="15">
        <v>1591608845.8475001</v>
      </c>
      <c r="F871" s="15" t="s">
        <v>547</v>
      </c>
      <c r="G871" s="15" t="s">
        <v>548</v>
      </c>
      <c r="H871" s="15"/>
    </row>
    <row r="872" spans="2:8" x14ac:dyDescent="0.35">
      <c r="B872" s="15" t="s">
        <v>1</v>
      </c>
      <c r="C872" s="15">
        <v>216.39</v>
      </c>
      <c r="D872" s="15">
        <v>11.87577469</v>
      </c>
      <c r="E872" s="15">
        <v>1591608863.0337999</v>
      </c>
      <c r="F872" s="15" t="s">
        <v>545</v>
      </c>
      <c r="G872" s="15" t="s">
        <v>546</v>
      </c>
      <c r="H872" s="15"/>
    </row>
    <row r="873" spans="2:8" x14ac:dyDescent="0.35">
      <c r="B873" s="15" t="s">
        <v>1</v>
      </c>
      <c r="C873" s="15">
        <v>216.4</v>
      </c>
      <c r="D873" s="15">
        <v>3.72422531</v>
      </c>
      <c r="E873" s="15">
        <v>1591608863.0545001</v>
      </c>
      <c r="F873" s="15" t="s">
        <v>545</v>
      </c>
      <c r="G873" s="15" t="s">
        <v>546</v>
      </c>
      <c r="H873" s="15"/>
    </row>
    <row r="874" spans="2:8" x14ac:dyDescent="0.35">
      <c r="B874" s="15" t="s">
        <v>1</v>
      </c>
      <c r="C874" s="15">
        <v>216.4</v>
      </c>
      <c r="D874" s="15">
        <v>11.275700000000001</v>
      </c>
      <c r="E874" s="15">
        <v>1591608863.2263</v>
      </c>
      <c r="F874" s="15" t="s">
        <v>545</v>
      </c>
      <c r="G874" s="15" t="s">
        <v>546</v>
      </c>
      <c r="H874" s="15"/>
    </row>
    <row r="875" spans="2:8" x14ac:dyDescent="0.35">
      <c r="B875" s="15" t="s">
        <v>1</v>
      </c>
      <c r="C875" s="15">
        <v>216.4</v>
      </c>
      <c r="D875" s="15">
        <v>7.4690000000000005E-5</v>
      </c>
      <c r="E875" s="15">
        <v>1591608863.5710001</v>
      </c>
      <c r="F875" s="15" t="s">
        <v>545</v>
      </c>
      <c r="G875" s="15" t="s">
        <v>546</v>
      </c>
      <c r="H875" s="15"/>
    </row>
    <row r="876" spans="2:8" x14ac:dyDescent="0.35">
      <c r="B876" s="15" t="s">
        <v>1</v>
      </c>
      <c r="C876" s="15">
        <v>216.47</v>
      </c>
      <c r="D876" s="15">
        <v>0.35</v>
      </c>
      <c r="E876" s="15">
        <v>1591608873.1663001</v>
      </c>
      <c r="F876" s="15" t="s">
        <v>545</v>
      </c>
      <c r="G876" s="15" t="s">
        <v>548</v>
      </c>
      <c r="H876" s="15"/>
    </row>
    <row r="877" spans="2:8" x14ac:dyDescent="0.35">
      <c r="B877" s="15" t="s">
        <v>1</v>
      </c>
      <c r="C877" s="15">
        <v>216.47</v>
      </c>
      <c r="D877" s="15">
        <v>5.7735370000000001E-2</v>
      </c>
      <c r="E877" s="15">
        <v>1591608912.8840001</v>
      </c>
      <c r="F877" s="15" t="s">
        <v>545</v>
      </c>
      <c r="G877" s="15" t="s">
        <v>548</v>
      </c>
      <c r="H877" s="15"/>
    </row>
    <row r="878" spans="2:8" x14ac:dyDescent="0.35">
      <c r="B878" s="15" t="s">
        <v>1</v>
      </c>
      <c r="C878" s="15">
        <v>216.47</v>
      </c>
      <c r="D878" s="15">
        <v>8.4629999999999994E-5</v>
      </c>
      <c r="E878" s="15">
        <v>1591608912.8921001</v>
      </c>
      <c r="F878" s="15" t="s">
        <v>545</v>
      </c>
      <c r="G878" s="15" t="s">
        <v>548</v>
      </c>
      <c r="H878" s="15"/>
    </row>
    <row r="879" spans="2:8" x14ac:dyDescent="0.35">
      <c r="B879" s="15" t="s">
        <v>1</v>
      </c>
      <c r="C879" s="15">
        <v>216.59</v>
      </c>
      <c r="D879" s="15">
        <v>0.24580212000000001</v>
      </c>
      <c r="E879" s="15">
        <v>1591608912.8949001</v>
      </c>
      <c r="F879" s="15" t="s">
        <v>545</v>
      </c>
      <c r="G879" s="15" t="s">
        <v>548</v>
      </c>
      <c r="H879" s="15"/>
    </row>
    <row r="880" spans="2:8" x14ac:dyDescent="0.35">
      <c r="B880" s="15" t="s">
        <v>1</v>
      </c>
      <c r="C880" s="15">
        <v>216.6</v>
      </c>
      <c r="D880" s="15">
        <v>1</v>
      </c>
      <c r="E880" s="15">
        <v>1591608915.1939001</v>
      </c>
      <c r="F880" s="15" t="s">
        <v>547</v>
      </c>
      <c r="G880" s="15" t="s">
        <v>548</v>
      </c>
      <c r="H880" s="15"/>
    </row>
    <row r="881" spans="2:8" x14ac:dyDescent="0.35">
      <c r="B881" s="15" t="s">
        <v>1</v>
      </c>
      <c r="C881" s="15">
        <v>216.63</v>
      </c>
      <c r="D881" s="15">
        <v>4.0578546099999997</v>
      </c>
      <c r="E881" s="15">
        <v>1591608929.9251001</v>
      </c>
      <c r="F881" s="15" t="s">
        <v>547</v>
      </c>
      <c r="G881" s="15" t="s">
        <v>546</v>
      </c>
      <c r="H881" s="15"/>
    </row>
    <row r="882" spans="2:8" x14ac:dyDescent="0.35">
      <c r="B882" s="15" t="s">
        <v>1</v>
      </c>
      <c r="C882" s="15">
        <v>216.63</v>
      </c>
      <c r="D882" s="15">
        <v>9.7155399999999999E-3</v>
      </c>
      <c r="E882" s="15">
        <v>1591608929.9649</v>
      </c>
      <c r="F882" s="15" t="s">
        <v>547</v>
      </c>
      <c r="G882" s="15" t="s">
        <v>546</v>
      </c>
      <c r="H882" s="15"/>
    </row>
    <row r="883" spans="2:8" x14ac:dyDescent="0.35">
      <c r="B883" s="15" t="s">
        <v>1</v>
      </c>
      <c r="C883" s="15">
        <v>216.63</v>
      </c>
      <c r="D883" s="15">
        <v>1.9850000000000001E-5</v>
      </c>
      <c r="E883" s="15">
        <v>1591608929.9667001</v>
      </c>
      <c r="F883" s="15" t="s">
        <v>547</v>
      </c>
      <c r="G883" s="15" t="s">
        <v>546</v>
      </c>
      <c r="H883" s="15"/>
    </row>
    <row r="884" spans="2:8" x14ac:dyDescent="0.35">
      <c r="B884" s="15" t="s">
        <v>1</v>
      </c>
      <c r="C884" s="15">
        <v>216.64</v>
      </c>
      <c r="D884" s="15">
        <v>1.412158E-2</v>
      </c>
      <c r="E884" s="15">
        <v>1591608936.7381999</v>
      </c>
      <c r="F884" s="15" t="s">
        <v>545</v>
      </c>
      <c r="G884" s="15" t="s">
        <v>548</v>
      </c>
      <c r="H884" s="15"/>
    </row>
    <row r="885" spans="2:8" x14ac:dyDescent="0.35">
      <c r="B885" s="15" t="s">
        <v>1</v>
      </c>
      <c r="C885" s="15">
        <v>216.66</v>
      </c>
      <c r="D885" s="15">
        <v>1.802134E-2</v>
      </c>
      <c r="E885" s="15">
        <v>1591608936.7447</v>
      </c>
      <c r="F885" s="15" t="s">
        <v>545</v>
      </c>
      <c r="G885" s="15" t="s">
        <v>548</v>
      </c>
      <c r="H885" s="15"/>
    </row>
    <row r="886" spans="2:8" x14ac:dyDescent="0.35">
      <c r="B886" s="15" t="s">
        <v>1</v>
      </c>
      <c r="C886" s="15">
        <v>216.61</v>
      </c>
      <c r="D886" s="15">
        <v>3.5</v>
      </c>
      <c r="E886" s="15">
        <v>1591608941.3196001</v>
      </c>
      <c r="F886" s="15" t="s">
        <v>547</v>
      </c>
      <c r="G886" s="15" t="s">
        <v>548</v>
      </c>
      <c r="H886" s="15"/>
    </row>
    <row r="887" spans="2:8" x14ac:dyDescent="0.35">
      <c r="B887" s="15" t="s">
        <v>1</v>
      </c>
      <c r="C887" s="15">
        <v>216.6</v>
      </c>
      <c r="D887" s="15">
        <v>6.6660887500000001</v>
      </c>
      <c r="E887" s="15">
        <v>1591608941.3318999</v>
      </c>
      <c r="F887" s="15" t="s">
        <v>547</v>
      </c>
      <c r="G887" s="15" t="s">
        <v>548</v>
      </c>
      <c r="H887" s="15"/>
    </row>
    <row r="888" spans="2:8" x14ac:dyDescent="0.35">
      <c r="B888" s="15" t="s">
        <v>1</v>
      </c>
      <c r="C888" s="15">
        <v>216.6</v>
      </c>
      <c r="D888" s="15">
        <v>1.7286880000000001E-2</v>
      </c>
      <c r="E888" s="15">
        <v>1591608941.3336999</v>
      </c>
      <c r="F888" s="15" t="s">
        <v>547</v>
      </c>
      <c r="G888" s="15" t="s">
        <v>548</v>
      </c>
      <c r="H888" s="15"/>
    </row>
    <row r="889" spans="2:8" x14ac:dyDescent="0.35">
      <c r="B889" s="15" t="s">
        <v>1</v>
      </c>
      <c r="C889" s="15">
        <v>216.6</v>
      </c>
      <c r="D889" s="15">
        <v>4.4830000000000003E-5</v>
      </c>
      <c r="E889" s="15">
        <v>1591608941.3354001</v>
      </c>
      <c r="F889" s="15" t="s">
        <v>547</v>
      </c>
      <c r="G889" s="15" t="s">
        <v>548</v>
      </c>
      <c r="H889" s="15"/>
    </row>
    <row r="890" spans="2:8" x14ac:dyDescent="0.35">
      <c r="B890" s="15" t="s">
        <v>1</v>
      </c>
      <c r="C890" s="15">
        <v>216.6</v>
      </c>
      <c r="D890" s="15">
        <v>1.1999999999999999E-7</v>
      </c>
      <c r="E890" s="15">
        <v>1591608941.3374</v>
      </c>
      <c r="F890" s="15" t="s">
        <v>547</v>
      </c>
      <c r="G890" s="15" t="s">
        <v>548</v>
      </c>
      <c r="H890" s="15"/>
    </row>
    <row r="891" spans="2:8" x14ac:dyDescent="0.35">
      <c r="B891" s="15" t="s">
        <v>1</v>
      </c>
      <c r="C891" s="15">
        <v>216.5</v>
      </c>
      <c r="D891" s="15">
        <v>0.45834652999999997</v>
      </c>
      <c r="E891" s="15">
        <v>1591608973.8989</v>
      </c>
      <c r="F891" s="15" t="s">
        <v>545</v>
      </c>
      <c r="G891" s="15" t="s">
        <v>548</v>
      </c>
      <c r="H891" s="15"/>
    </row>
    <row r="892" spans="2:8" x14ac:dyDescent="0.35">
      <c r="B892" s="15" t="s">
        <v>1</v>
      </c>
      <c r="C892" s="15">
        <v>216.57</v>
      </c>
      <c r="D892" s="15">
        <v>2.2621367700000001</v>
      </c>
      <c r="E892" s="15">
        <v>1591609029.7439001</v>
      </c>
      <c r="F892" s="15" t="s">
        <v>545</v>
      </c>
      <c r="G892" s="15" t="s">
        <v>548</v>
      </c>
      <c r="H892" s="15"/>
    </row>
    <row r="893" spans="2:8" x14ac:dyDescent="0.35">
      <c r="B893" s="15" t="s">
        <v>1</v>
      </c>
      <c r="C893" s="15">
        <v>216.57</v>
      </c>
      <c r="D893" s="15">
        <v>0.13754842</v>
      </c>
      <c r="E893" s="15">
        <v>1591609035.5100999</v>
      </c>
      <c r="F893" s="15" t="s">
        <v>545</v>
      </c>
      <c r="G893" s="15" t="s">
        <v>548</v>
      </c>
      <c r="H893" s="15"/>
    </row>
    <row r="894" spans="2:8" x14ac:dyDescent="0.35">
      <c r="B894" s="15" t="s">
        <v>1</v>
      </c>
      <c r="C894" s="15">
        <v>216.58</v>
      </c>
      <c r="D894" s="15">
        <v>0.22105</v>
      </c>
      <c r="E894" s="15">
        <v>1591609063.3083</v>
      </c>
      <c r="F894" s="15" t="s">
        <v>545</v>
      </c>
      <c r="G894" s="15" t="s">
        <v>546</v>
      </c>
      <c r="H894" s="15"/>
    </row>
    <row r="895" spans="2:8" x14ac:dyDescent="0.35">
      <c r="B895" s="15" t="s">
        <v>1</v>
      </c>
      <c r="C895" s="15">
        <v>216.4</v>
      </c>
      <c r="D895" s="15">
        <v>0.94</v>
      </c>
      <c r="E895" s="15">
        <v>1591609077.0478001</v>
      </c>
      <c r="F895" s="15" t="s">
        <v>545</v>
      </c>
      <c r="G895" s="15" t="s">
        <v>546</v>
      </c>
      <c r="H895" s="15"/>
    </row>
    <row r="896" spans="2:8" x14ac:dyDescent="0.35">
      <c r="B896" s="15" t="s">
        <v>1</v>
      </c>
      <c r="C896" s="15">
        <v>216.39</v>
      </c>
      <c r="D896" s="15">
        <v>0.05</v>
      </c>
      <c r="E896" s="15">
        <v>1591609078.0724001</v>
      </c>
      <c r="F896" s="15" t="s">
        <v>547</v>
      </c>
      <c r="G896" s="15" t="s">
        <v>546</v>
      </c>
      <c r="H896" s="15"/>
    </row>
    <row r="897" spans="2:8" x14ac:dyDescent="0.35">
      <c r="B897" s="15" t="s">
        <v>1</v>
      </c>
      <c r="C897" s="15">
        <v>216.37</v>
      </c>
      <c r="D897" s="15">
        <v>6.24</v>
      </c>
      <c r="E897" s="15">
        <v>1591609078.1822</v>
      </c>
      <c r="F897" s="15" t="s">
        <v>547</v>
      </c>
      <c r="G897" s="15" t="s">
        <v>546</v>
      </c>
      <c r="H897" s="15"/>
    </row>
    <row r="898" spans="2:8" x14ac:dyDescent="0.35">
      <c r="B898" s="15" t="s">
        <v>1</v>
      </c>
      <c r="C898" s="15">
        <v>216.26</v>
      </c>
      <c r="D898" s="15">
        <v>7.58848974</v>
      </c>
      <c r="E898" s="15">
        <v>1591609078.1863999</v>
      </c>
      <c r="F898" s="15" t="s">
        <v>547</v>
      </c>
      <c r="G898" s="15" t="s">
        <v>546</v>
      </c>
      <c r="H898" s="15"/>
    </row>
    <row r="899" spans="2:8" x14ac:dyDescent="0.35">
      <c r="B899" s="15" t="s">
        <v>1</v>
      </c>
      <c r="C899" s="15">
        <v>216.47</v>
      </c>
      <c r="D899" s="15">
        <v>0.14775582000000001</v>
      </c>
      <c r="E899" s="15">
        <v>1591609094.8309</v>
      </c>
      <c r="F899" s="15" t="s">
        <v>545</v>
      </c>
      <c r="G899" s="15" t="s">
        <v>548</v>
      </c>
      <c r="H899" s="15"/>
    </row>
    <row r="900" spans="2:8" x14ac:dyDescent="0.35">
      <c r="B900" s="15" t="s">
        <v>1</v>
      </c>
      <c r="C900" s="15">
        <v>216.46</v>
      </c>
      <c r="D900" s="15">
        <v>0.03</v>
      </c>
      <c r="E900" s="15">
        <v>1591609099.7151999</v>
      </c>
      <c r="F900" s="15" t="s">
        <v>545</v>
      </c>
      <c r="G900" s="15" t="s">
        <v>548</v>
      </c>
      <c r="H900" s="15"/>
    </row>
    <row r="901" spans="2:8" x14ac:dyDescent="0.35">
      <c r="B901" s="15" t="s">
        <v>1</v>
      </c>
      <c r="C901" s="15">
        <v>216.38</v>
      </c>
      <c r="D901" s="15">
        <v>0.49896103000000003</v>
      </c>
      <c r="E901" s="15">
        <v>1591609108.8620999</v>
      </c>
      <c r="F901" s="15" t="s">
        <v>547</v>
      </c>
      <c r="G901" s="15" t="s">
        <v>548</v>
      </c>
      <c r="H901" s="15"/>
    </row>
    <row r="902" spans="2:8" x14ac:dyDescent="0.35">
      <c r="B902" s="15" t="s">
        <v>1</v>
      </c>
      <c r="C902" s="15">
        <v>216.38</v>
      </c>
      <c r="D902" s="15">
        <v>1.1946299999999999E-3</v>
      </c>
      <c r="E902" s="15">
        <v>1591609108.8706</v>
      </c>
      <c r="F902" s="15" t="s">
        <v>547</v>
      </c>
      <c r="G902" s="15" t="s">
        <v>548</v>
      </c>
      <c r="H902" s="15"/>
    </row>
    <row r="903" spans="2:8" x14ac:dyDescent="0.35">
      <c r="B903" s="15" t="s">
        <v>1</v>
      </c>
      <c r="C903" s="15">
        <v>216.38</v>
      </c>
      <c r="D903" s="15">
        <v>2.8600000000000001E-6</v>
      </c>
      <c r="E903" s="15">
        <v>1591609108.8724</v>
      </c>
      <c r="F903" s="15" t="s">
        <v>547</v>
      </c>
      <c r="G903" s="15" t="s">
        <v>548</v>
      </c>
      <c r="H903" s="15"/>
    </row>
    <row r="904" spans="2:8" x14ac:dyDescent="0.35">
      <c r="B904" s="15" t="s">
        <v>1</v>
      </c>
      <c r="C904" s="15">
        <v>216.33</v>
      </c>
      <c r="D904" s="15">
        <v>0.23146860999999999</v>
      </c>
      <c r="E904" s="15">
        <v>1591609160.3376999</v>
      </c>
      <c r="F904" s="15" t="s">
        <v>547</v>
      </c>
      <c r="G904" s="15" t="s">
        <v>548</v>
      </c>
      <c r="H904" s="15"/>
    </row>
    <row r="905" spans="2:8" x14ac:dyDescent="0.35">
      <c r="B905" s="15" t="s">
        <v>1</v>
      </c>
      <c r="C905" s="15">
        <v>216.33</v>
      </c>
      <c r="D905" s="15">
        <v>1.1099200300000001</v>
      </c>
      <c r="E905" s="15">
        <v>1591609160.3578</v>
      </c>
      <c r="F905" s="15" t="s">
        <v>547</v>
      </c>
      <c r="G905" s="15" t="s">
        <v>548</v>
      </c>
      <c r="H905" s="15"/>
    </row>
    <row r="906" spans="2:8" x14ac:dyDescent="0.35">
      <c r="B906" s="15" t="s">
        <v>1</v>
      </c>
      <c r="C906" s="15">
        <v>216.33</v>
      </c>
      <c r="D906" s="15">
        <v>2.8783099999999998E-3</v>
      </c>
      <c r="E906" s="15">
        <v>1591609160.3606</v>
      </c>
      <c r="F906" s="15" t="s">
        <v>547</v>
      </c>
      <c r="G906" s="15" t="s">
        <v>548</v>
      </c>
      <c r="H906" s="15"/>
    </row>
    <row r="907" spans="2:8" x14ac:dyDescent="0.35">
      <c r="B907" s="15" t="s">
        <v>1</v>
      </c>
      <c r="C907" s="15">
        <v>216.33</v>
      </c>
      <c r="D907" s="15">
        <v>7.4599999999999997E-6</v>
      </c>
      <c r="E907" s="15">
        <v>1591609160.3629999</v>
      </c>
      <c r="F907" s="15" t="s">
        <v>547</v>
      </c>
      <c r="G907" s="15" t="s">
        <v>548</v>
      </c>
      <c r="H907" s="15"/>
    </row>
    <row r="908" spans="2:8" x14ac:dyDescent="0.35">
      <c r="B908" s="15" t="s">
        <v>1</v>
      </c>
      <c r="C908" s="15">
        <v>216.41</v>
      </c>
      <c r="D908" s="15">
        <v>0.24798638000000001</v>
      </c>
      <c r="E908" s="15">
        <v>1591609163.4511001</v>
      </c>
      <c r="F908" s="15" t="s">
        <v>547</v>
      </c>
      <c r="G908" s="15" t="s">
        <v>546</v>
      </c>
      <c r="H908" s="15"/>
    </row>
    <row r="909" spans="2:8" x14ac:dyDescent="0.35">
      <c r="B909" s="15" t="s">
        <v>1</v>
      </c>
      <c r="C909" s="15">
        <v>216.47</v>
      </c>
      <c r="D909" s="15">
        <v>4.5849470000000003E-2</v>
      </c>
      <c r="E909" s="15">
        <v>1591609168.5251999</v>
      </c>
      <c r="F909" s="15" t="s">
        <v>545</v>
      </c>
      <c r="G909" s="15" t="s">
        <v>548</v>
      </c>
      <c r="H909" s="15"/>
    </row>
    <row r="910" spans="2:8" x14ac:dyDescent="0.35">
      <c r="B910" s="15" t="s">
        <v>1</v>
      </c>
      <c r="C910" s="15">
        <v>216.53</v>
      </c>
      <c r="D910" s="15">
        <v>0.02</v>
      </c>
      <c r="E910" s="15">
        <v>1591609172.1847999</v>
      </c>
      <c r="F910" s="15" t="s">
        <v>545</v>
      </c>
      <c r="G910" s="15" t="s">
        <v>548</v>
      </c>
      <c r="H910" s="15"/>
    </row>
    <row r="911" spans="2:8" x14ac:dyDescent="0.35">
      <c r="B911" s="15" t="s">
        <v>1</v>
      </c>
      <c r="C911" s="15">
        <v>216.56</v>
      </c>
      <c r="D911" s="15">
        <v>0.69129247999999999</v>
      </c>
      <c r="E911" s="15">
        <v>1591609184.4751999</v>
      </c>
      <c r="F911" s="15" t="s">
        <v>545</v>
      </c>
      <c r="G911" s="15" t="s">
        <v>548</v>
      </c>
      <c r="H911" s="15"/>
    </row>
    <row r="912" spans="2:8" x14ac:dyDescent="0.35">
      <c r="B912" s="15" t="s">
        <v>1</v>
      </c>
      <c r="C912" s="15">
        <v>216.56</v>
      </c>
      <c r="D912" s="15">
        <v>1.7075199999999999E-3</v>
      </c>
      <c r="E912" s="15">
        <v>1591609184.4934001</v>
      </c>
      <c r="F912" s="15" t="s">
        <v>545</v>
      </c>
      <c r="G912" s="15" t="s">
        <v>548</v>
      </c>
      <c r="H912" s="15"/>
    </row>
    <row r="913" spans="2:8" x14ac:dyDescent="0.35">
      <c r="B913" s="15" t="s">
        <v>1</v>
      </c>
      <c r="C913" s="15">
        <v>216.52</v>
      </c>
      <c r="D913" s="15">
        <v>0.22916268000000001</v>
      </c>
      <c r="E913" s="15">
        <v>1591609195.1738999</v>
      </c>
      <c r="F913" s="15" t="s">
        <v>545</v>
      </c>
      <c r="G913" s="15" t="s">
        <v>548</v>
      </c>
      <c r="H913" s="15"/>
    </row>
    <row r="914" spans="2:8" x14ac:dyDescent="0.35">
      <c r="B914" s="15" t="s">
        <v>1</v>
      </c>
      <c r="C914" s="15">
        <v>216.5</v>
      </c>
      <c r="D914" s="15">
        <v>0.45834652999999997</v>
      </c>
      <c r="E914" s="15">
        <v>1591609200.2858</v>
      </c>
      <c r="F914" s="15" t="s">
        <v>545</v>
      </c>
      <c r="G914" s="15" t="s">
        <v>548</v>
      </c>
      <c r="H914" s="15"/>
    </row>
    <row r="915" spans="2:8" x14ac:dyDescent="0.35">
      <c r="B915" s="15" t="s">
        <v>1</v>
      </c>
      <c r="C915" s="15">
        <v>216.37</v>
      </c>
      <c r="D915" s="15">
        <v>0.02</v>
      </c>
      <c r="E915" s="15">
        <v>1591609209.7546999</v>
      </c>
      <c r="F915" s="15" t="s">
        <v>547</v>
      </c>
      <c r="G915" s="15" t="s">
        <v>548</v>
      </c>
      <c r="H915" s="15"/>
    </row>
    <row r="916" spans="2:8" x14ac:dyDescent="0.35">
      <c r="B916" s="15" t="s">
        <v>1</v>
      </c>
      <c r="C916" s="15">
        <v>216.4</v>
      </c>
      <c r="D916" s="15">
        <v>0.02</v>
      </c>
      <c r="E916" s="15">
        <v>1591609219.1017001</v>
      </c>
      <c r="F916" s="15" t="s">
        <v>545</v>
      </c>
      <c r="G916" s="15" t="s">
        <v>548</v>
      </c>
      <c r="H916" s="15"/>
    </row>
    <row r="917" spans="2:8" x14ac:dyDescent="0.35">
      <c r="B917" s="15" t="s">
        <v>1</v>
      </c>
      <c r="C917" s="15">
        <v>216.38</v>
      </c>
      <c r="D917" s="15">
        <v>0.02</v>
      </c>
      <c r="E917" s="15">
        <v>1591609227.688</v>
      </c>
      <c r="F917" s="15" t="s">
        <v>547</v>
      </c>
      <c r="G917" s="15" t="s">
        <v>548</v>
      </c>
      <c r="H917" s="15"/>
    </row>
    <row r="918" spans="2:8" x14ac:dyDescent="0.35">
      <c r="B918" s="15" t="s">
        <v>1</v>
      </c>
      <c r="C918" s="15">
        <v>216.39</v>
      </c>
      <c r="D918" s="15">
        <v>2.0030700000000001</v>
      </c>
      <c r="E918" s="15">
        <v>1591609246.8803999</v>
      </c>
      <c r="F918" s="15" t="s">
        <v>547</v>
      </c>
      <c r="G918" s="15" t="s">
        <v>548</v>
      </c>
      <c r="H918" s="15"/>
    </row>
    <row r="919" spans="2:8" x14ac:dyDescent="0.35">
      <c r="B919" s="15" t="s">
        <v>1</v>
      </c>
      <c r="C919" s="15">
        <v>216.38</v>
      </c>
      <c r="D919" s="15">
        <v>43.639902659999997</v>
      </c>
      <c r="E919" s="15">
        <v>1591609246.888</v>
      </c>
      <c r="F919" s="15" t="s">
        <v>547</v>
      </c>
      <c r="G919" s="15" t="s">
        <v>548</v>
      </c>
      <c r="H919" s="15"/>
    </row>
    <row r="920" spans="2:8" x14ac:dyDescent="0.35">
      <c r="B920" s="15" t="s">
        <v>1</v>
      </c>
      <c r="C920" s="15">
        <v>216.38</v>
      </c>
      <c r="D920" s="15">
        <v>7.5</v>
      </c>
      <c r="E920" s="15">
        <v>1591609246.8903999</v>
      </c>
      <c r="F920" s="15" t="s">
        <v>547</v>
      </c>
      <c r="G920" s="15" t="s">
        <v>548</v>
      </c>
      <c r="H920" s="15"/>
    </row>
    <row r="921" spans="2:8" x14ac:dyDescent="0.35">
      <c r="B921" s="15" t="s">
        <v>1</v>
      </c>
      <c r="C921" s="15">
        <v>216.38</v>
      </c>
      <c r="D921" s="15">
        <v>2.0030700000000001</v>
      </c>
      <c r="E921" s="15">
        <v>1591609246.8921001</v>
      </c>
      <c r="F921" s="15" t="s">
        <v>547</v>
      </c>
      <c r="G921" s="15" t="s">
        <v>548</v>
      </c>
      <c r="H921" s="15"/>
    </row>
    <row r="922" spans="2:8" x14ac:dyDescent="0.35">
      <c r="B922" s="15" t="s">
        <v>1</v>
      </c>
      <c r="C922" s="15">
        <v>216.38</v>
      </c>
      <c r="D922" s="15">
        <v>60</v>
      </c>
      <c r="E922" s="15">
        <v>1591609246.8949001</v>
      </c>
      <c r="F922" s="15" t="s">
        <v>547</v>
      </c>
      <c r="G922" s="15" t="s">
        <v>548</v>
      </c>
      <c r="H922" s="15"/>
    </row>
    <row r="923" spans="2:8" x14ac:dyDescent="0.35">
      <c r="B923" s="15" t="s">
        <v>1</v>
      </c>
      <c r="C923" s="15">
        <v>216.35</v>
      </c>
      <c r="D923" s="15">
        <v>43.657928490000003</v>
      </c>
      <c r="E923" s="15">
        <v>1591609246.8972001</v>
      </c>
      <c r="F923" s="15" t="s">
        <v>547</v>
      </c>
      <c r="G923" s="15" t="s">
        <v>548</v>
      </c>
      <c r="H923" s="15"/>
    </row>
    <row r="924" spans="2:8" x14ac:dyDescent="0.35">
      <c r="B924" s="15" t="s">
        <v>1</v>
      </c>
      <c r="C924" s="15">
        <v>216.35</v>
      </c>
      <c r="D924" s="15">
        <v>6.97411E-2</v>
      </c>
      <c r="E924" s="15">
        <v>1591609246.8985</v>
      </c>
      <c r="F924" s="15" t="s">
        <v>547</v>
      </c>
      <c r="G924" s="15" t="s">
        <v>548</v>
      </c>
      <c r="H924" s="15"/>
    </row>
    <row r="925" spans="2:8" x14ac:dyDescent="0.35">
      <c r="B925" s="15" t="s">
        <v>1</v>
      </c>
      <c r="C925" s="15">
        <v>216.35</v>
      </c>
      <c r="D925" s="15">
        <v>1.0775E-4</v>
      </c>
      <c r="E925" s="15">
        <v>1591609246.9001999</v>
      </c>
      <c r="F925" s="15" t="s">
        <v>547</v>
      </c>
      <c r="G925" s="15" t="s">
        <v>548</v>
      </c>
      <c r="H925" s="15"/>
    </row>
    <row r="926" spans="2:8" x14ac:dyDescent="0.35">
      <c r="B926" s="15" t="s">
        <v>1</v>
      </c>
      <c r="C926" s="15">
        <v>216.39</v>
      </c>
      <c r="D926" s="15">
        <v>13.759062650000001</v>
      </c>
      <c r="E926" s="15">
        <v>1591609250.1061001</v>
      </c>
      <c r="F926" s="15" t="s">
        <v>545</v>
      </c>
      <c r="G926" s="15" t="s">
        <v>548</v>
      </c>
      <c r="H926" s="15"/>
    </row>
    <row r="927" spans="2:8" x14ac:dyDescent="0.35">
      <c r="B927" s="15" t="s">
        <v>1</v>
      </c>
      <c r="C927" s="15">
        <v>216.48</v>
      </c>
      <c r="D927" s="15">
        <v>0.23106428000000001</v>
      </c>
      <c r="E927" s="15">
        <v>1591609261.1156001</v>
      </c>
      <c r="F927" s="15" t="s">
        <v>545</v>
      </c>
      <c r="G927" s="15" t="s">
        <v>548</v>
      </c>
      <c r="H927" s="15"/>
    </row>
    <row r="928" spans="2:8" x14ac:dyDescent="0.35">
      <c r="B928" s="15" t="s">
        <v>1</v>
      </c>
      <c r="C928" s="15">
        <v>216.46</v>
      </c>
      <c r="D928" s="15">
        <v>0.02</v>
      </c>
      <c r="E928" s="15">
        <v>1591609261.6222</v>
      </c>
      <c r="F928" s="15" t="s">
        <v>545</v>
      </c>
      <c r="G928" s="15" t="s">
        <v>548</v>
      </c>
      <c r="H928" s="15"/>
    </row>
    <row r="929" spans="2:8" x14ac:dyDescent="0.35">
      <c r="B929" s="15" t="s">
        <v>1</v>
      </c>
      <c r="C929" s="15">
        <v>216.37</v>
      </c>
      <c r="D929" s="15">
        <v>1.36911771</v>
      </c>
      <c r="E929" s="15">
        <v>1591609286.9870999</v>
      </c>
      <c r="F929" s="15" t="s">
        <v>545</v>
      </c>
      <c r="G929" s="15" t="s">
        <v>546</v>
      </c>
      <c r="H929" s="15"/>
    </row>
    <row r="930" spans="2:8" x14ac:dyDescent="0.35">
      <c r="B930" s="15" t="s">
        <v>1</v>
      </c>
      <c r="C930" s="15">
        <v>216.41</v>
      </c>
      <c r="D930" s="15">
        <v>0.49678259000000002</v>
      </c>
      <c r="E930" s="15">
        <v>1591609303.783</v>
      </c>
      <c r="F930" s="15" t="s">
        <v>545</v>
      </c>
      <c r="G930" s="15" t="s">
        <v>546</v>
      </c>
      <c r="H930" s="15"/>
    </row>
    <row r="931" spans="2:8" x14ac:dyDescent="0.35">
      <c r="B931" s="15" t="s">
        <v>1</v>
      </c>
      <c r="C931" s="15">
        <v>216.41</v>
      </c>
      <c r="D931" s="15">
        <v>3.21741E-3</v>
      </c>
      <c r="E931" s="15">
        <v>1591609306.9432001</v>
      </c>
      <c r="F931" s="15" t="s">
        <v>545</v>
      </c>
      <c r="G931" s="15" t="s">
        <v>546</v>
      </c>
      <c r="H931" s="15"/>
    </row>
    <row r="932" spans="2:8" x14ac:dyDescent="0.35">
      <c r="B932" s="15" t="s">
        <v>1</v>
      </c>
      <c r="C932" s="15">
        <v>216.51</v>
      </c>
      <c r="D932" s="15">
        <v>0.38662573</v>
      </c>
      <c r="E932" s="15">
        <v>1591609324.9991</v>
      </c>
      <c r="F932" s="15" t="s">
        <v>547</v>
      </c>
      <c r="G932" s="15" t="s">
        <v>546</v>
      </c>
      <c r="H932" s="15"/>
    </row>
    <row r="933" spans="2:8" x14ac:dyDescent="0.35">
      <c r="B933" s="15" t="s">
        <v>1</v>
      </c>
      <c r="C933" s="15">
        <v>216.61</v>
      </c>
      <c r="D933" s="15">
        <v>0.32865390999999999</v>
      </c>
      <c r="E933" s="15">
        <v>1591609340.6452</v>
      </c>
      <c r="F933" s="15" t="s">
        <v>545</v>
      </c>
      <c r="G933" s="15" t="s">
        <v>548</v>
      </c>
      <c r="H933" s="15"/>
    </row>
    <row r="934" spans="2:8" x14ac:dyDescent="0.35">
      <c r="B934" s="15" t="s">
        <v>1</v>
      </c>
      <c r="C934" s="15">
        <v>216.64</v>
      </c>
      <c r="D934" s="15">
        <v>0.99884748000000001</v>
      </c>
      <c r="E934" s="15">
        <v>1591609391.9684</v>
      </c>
      <c r="F934" s="15" t="s">
        <v>545</v>
      </c>
      <c r="G934" s="15" t="s">
        <v>548</v>
      </c>
      <c r="H934" s="15"/>
    </row>
    <row r="935" spans="2:8" x14ac:dyDescent="0.35">
      <c r="B935" s="15" t="s">
        <v>1</v>
      </c>
      <c r="C935" s="15">
        <v>216.61</v>
      </c>
      <c r="D935" s="15">
        <v>0.02</v>
      </c>
      <c r="E935" s="15">
        <v>1591609398.6733999</v>
      </c>
      <c r="F935" s="15" t="s">
        <v>547</v>
      </c>
      <c r="G935" s="15" t="s">
        <v>548</v>
      </c>
      <c r="H935" s="15"/>
    </row>
    <row r="936" spans="2:8" x14ac:dyDescent="0.35">
      <c r="B936" s="15" t="s">
        <v>1</v>
      </c>
      <c r="C936" s="15">
        <v>216.64</v>
      </c>
      <c r="D936" s="15">
        <v>4.616E-2</v>
      </c>
      <c r="E936" s="15">
        <v>1591609425.3348</v>
      </c>
      <c r="F936" s="15" t="s">
        <v>547</v>
      </c>
      <c r="G936" s="15" t="s">
        <v>546</v>
      </c>
      <c r="H936" s="15"/>
    </row>
    <row r="937" spans="2:8" x14ac:dyDescent="0.35">
      <c r="B937" s="15" t="s">
        <v>1</v>
      </c>
      <c r="C937" s="15">
        <v>216.61</v>
      </c>
      <c r="D937" s="15">
        <v>0.21</v>
      </c>
      <c r="E937" s="15">
        <v>1591609425.3413</v>
      </c>
      <c r="F937" s="15" t="s">
        <v>547</v>
      </c>
      <c r="G937" s="15" t="s">
        <v>546</v>
      </c>
      <c r="H937" s="15"/>
    </row>
    <row r="938" spans="2:8" x14ac:dyDescent="0.35">
      <c r="B938" s="15" t="s">
        <v>1</v>
      </c>
      <c r="C938" s="15">
        <v>216.55</v>
      </c>
      <c r="D938" s="15">
        <v>0.5</v>
      </c>
      <c r="E938" s="15">
        <v>1591609463.9825001</v>
      </c>
      <c r="F938" s="15" t="s">
        <v>545</v>
      </c>
      <c r="G938" s="15" t="s">
        <v>548</v>
      </c>
      <c r="H938" s="15"/>
    </row>
    <row r="939" spans="2:8" x14ac:dyDescent="0.35">
      <c r="B939" s="15" t="s">
        <v>1</v>
      </c>
      <c r="C939" s="15">
        <v>216.59</v>
      </c>
      <c r="D939" s="15">
        <v>0.38</v>
      </c>
      <c r="E939" s="15">
        <v>1591609463.9851</v>
      </c>
      <c r="F939" s="15" t="s">
        <v>545</v>
      </c>
      <c r="G939" s="15" t="s">
        <v>548</v>
      </c>
      <c r="H939" s="15"/>
    </row>
    <row r="940" spans="2:8" x14ac:dyDescent="0.35">
      <c r="B940" s="15" t="s">
        <v>1</v>
      </c>
      <c r="C940" s="15">
        <v>216.57</v>
      </c>
      <c r="D940" s="15">
        <v>0.5</v>
      </c>
      <c r="E940" s="15">
        <v>1591609480.8598001</v>
      </c>
      <c r="F940" s="15" t="s">
        <v>547</v>
      </c>
      <c r="G940" s="15" t="s">
        <v>546</v>
      </c>
      <c r="H940" s="15"/>
    </row>
    <row r="941" spans="2:8" x14ac:dyDescent="0.35">
      <c r="B941" s="15" t="s">
        <v>1</v>
      </c>
      <c r="C941" s="15">
        <v>216.57</v>
      </c>
      <c r="D941" s="15">
        <v>0.11454024</v>
      </c>
      <c r="E941" s="15">
        <v>1591609513.0260999</v>
      </c>
      <c r="F941" s="15" t="s">
        <v>547</v>
      </c>
      <c r="G941" s="15" t="s">
        <v>548</v>
      </c>
      <c r="H941" s="15"/>
    </row>
    <row r="942" spans="2:8" x14ac:dyDescent="0.35">
      <c r="B942" s="15" t="s">
        <v>1</v>
      </c>
      <c r="C942" s="15">
        <v>216.6</v>
      </c>
      <c r="D942" s="15">
        <v>0.5</v>
      </c>
      <c r="E942" s="15">
        <v>1591609522.2224</v>
      </c>
      <c r="F942" s="15" t="s">
        <v>547</v>
      </c>
      <c r="G942" s="15" t="s">
        <v>548</v>
      </c>
      <c r="H942" s="15"/>
    </row>
    <row r="943" spans="2:8" x14ac:dyDescent="0.35">
      <c r="B943" s="15" t="s">
        <v>1</v>
      </c>
      <c r="C943" s="15">
        <v>216.61</v>
      </c>
      <c r="D943" s="15">
        <v>4.5821957700000002</v>
      </c>
      <c r="E943" s="15">
        <v>1591609562.0731001</v>
      </c>
      <c r="F943" s="15" t="s">
        <v>545</v>
      </c>
      <c r="G943" s="15" t="s">
        <v>548</v>
      </c>
      <c r="H943" s="15"/>
    </row>
    <row r="944" spans="2:8" x14ac:dyDescent="0.35">
      <c r="B944" s="15" t="s">
        <v>1</v>
      </c>
      <c r="C944" s="15">
        <v>216.6</v>
      </c>
      <c r="D944" s="15">
        <v>1</v>
      </c>
      <c r="E944" s="15">
        <v>1591609565.8499999</v>
      </c>
      <c r="F944" s="15" t="s">
        <v>547</v>
      </c>
      <c r="G944" s="15" t="s">
        <v>548</v>
      </c>
      <c r="H944" s="15"/>
    </row>
    <row r="945" spans="2:8" x14ac:dyDescent="0.35">
      <c r="B945" s="15" t="s">
        <v>1</v>
      </c>
      <c r="C945" s="15">
        <v>216.61</v>
      </c>
      <c r="D945" s="15">
        <v>4.5108537999999996</v>
      </c>
      <c r="E945" s="15">
        <v>1591609566.2537999</v>
      </c>
      <c r="F945" s="15" t="s">
        <v>545</v>
      </c>
      <c r="G945" s="15" t="s">
        <v>548</v>
      </c>
      <c r="H945" s="15"/>
    </row>
    <row r="946" spans="2:8" x14ac:dyDescent="0.35">
      <c r="B946" s="15" t="s">
        <v>1</v>
      </c>
      <c r="C946" s="15">
        <v>216.6</v>
      </c>
      <c r="D946" s="15">
        <v>0.62315001000000003</v>
      </c>
      <c r="E946" s="15">
        <v>1591609569.3350999</v>
      </c>
      <c r="F946" s="15" t="s">
        <v>547</v>
      </c>
      <c r="G946" s="15" t="s">
        <v>548</v>
      </c>
      <c r="H946" s="15"/>
    </row>
    <row r="947" spans="2:8" x14ac:dyDescent="0.35">
      <c r="B947" s="15" t="s">
        <v>1</v>
      </c>
      <c r="C947" s="15">
        <v>216.61</v>
      </c>
      <c r="D947" s="15">
        <v>1</v>
      </c>
      <c r="E947" s="15">
        <v>1591609585.3018999</v>
      </c>
      <c r="F947" s="15" t="s">
        <v>545</v>
      </c>
      <c r="G947" s="15" t="s">
        <v>548</v>
      </c>
      <c r="H947" s="15"/>
    </row>
    <row r="948" spans="2:8" x14ac:dyDescent="0.35">
      <c r="B948" s="15" t="s">
        <v>1</v>
      </c>
      <c r="C948" s="15">
        <v>216.61</v>
      </c>
      <c r="D948" s="15">
        <v>0.13746586999999999</v>
      </c>
      <c r="E948" s="15">
        <v>1591609590.4268</v>
      </c>
      <c r="F948" s="15" t="s">
        <v>545</v>
      </c>
      <c r="G948" s="15" t="s">
        <v>548</v>
      </c>
      <c r="H948" s="15"/>
    </row>
    <row r="949" spans="2:8" x14ac:dyDescent="0.35">
      <c r="B949" s="15" t="s">
        <v>1</v>
      </c>
      <c r="C949" s="15">
        <v>216.61</v>
      </c>
      <c r="D949" s="15">
        <v>2</v>
      </c>
      <c r="E949" s="15">
        <v>1591609607.2804</v>
      </c>
      <c r="F949" s="15" t="s">
        <v>545</v>
      </c>
      <c r="G949" s="15" t="s">
        <v>548</v>
      </c>
      <c r="H949" s="15"/>
    </row>
    <row r="950" spans="2:8" x14ac:dyDescent="0.35">
      <c r="B950" s="15" t="s">
        <v>1</v>
      </c>
      <c r="C950" s="15">
        <v>216.61</v>
      </c>
      <c r="D950" s="15">
        <v>0.1</v>
      </c>
      <c r="E950" s="15">
        <v>1591609648.6145999</v>
      </c>
      <c r="F950" s="15" t="s">
        <v>545</v>
      </c>
      <c r="G950" s="15" t="s">
        <v>548</v>
      </c>
      <c r="H950" s="15"/>
    </row>
    <row r="951" spans="2:8" x14ac:dyDescent="0.35">
      <c r="B951" s="15" t="s">
        <v>1</v>
      </c>
      <c r="C951" s="15">
        <v>216.61</v>
      </c>
      <c r="D951" s="15">
        <v>2.2713632700000002</v>
      </c>
      <c r="E951" s="15">
        <v>1591609656.1004</v>
      </c>
      <c r="F951" s="15" t="s">
        <v>545</v>
      </c>
      <c r="G951" s="15" t="s">
        <v>548</v>
      </c>
      <c r="H951" s="15"/>
    </row>
    <row r="952" spans="2:8" x14ac:dyDescent="0.35">
      <c r="B952" s="15" t="s">
        <v>1</v>
      </c>
      <c r="C952" s="15">
        <v>216.6</v>
      </c>
      <c r="D952" s="15">
        <v>6.9250000000000006E-2</v>
      </c>
      <c r="E952" s="15">
        <v>1591609660.2405</v>
      </c>
      <c r="F952" s="15" t="s">
        <v>547</v>
      </c>
      <c r="G952" s="15" t="s">
        <v>548</v>
      </c>
      <c r="H952" s="15"/>
    </row>
    <row r="953" spans="2:8" x14ac:dyDescent="0.35">
      <c r="B953" s="15" t="s">
        <v>1</v>
      </c>
      <c r="C953" s="15">
        <v>216.43</v>
      </c>
      <c r="D953" s="15">
        <v>3.3440745600000001</v>
      </c>
      <c r="E953" s="15">
        <v>1591609660.2572</v>
      </c>
      <c r="F953" s="15" t="s">
        <v>547</v>
      </c>
      <c r="G953" s="15" t="s">
        <v>548</v>
      </c>
      <c r="H953" s="15"/>
    </row>
    <row r="954" spans="2:8" x14ac:dyDescent="0.35">
      <c r="B954" s="15" t="s">
        <v>1</v>
      </c>
      <c r="C954" s="15">
        <v>216.43</v>
      </c>
      <c r="D954" s="15">
        <v>0.5</v>
      </c>
      <c r="E954" s="15">
        <v>1591609660.2630999</v>
      </c>
      <c r="F954" s="15" t="s">
        <v>547</v>
      </c>
      <c r="G954" s="15" t="s">
        <v>548</v>
      </c>
      <c r="H954" s="15"/>
    </row>
    <row r="955" spans="2:8" x14ac:dyDescent="0.35">
      <c r="B955" s="15" t="s">
        <v>1</v>
      </c>
      <c r="C955" s="15">
        <v>216.43</v>
      </c>
      <c r="D955" s="15">
        <v>0.5</v>
      </c>
      <c r="E955" s="15">
        <v>1591609660.2683001</v>
      </c>
      <c r="F955" s="15" t="s">
        <v>547</v>
      </c>
      <c r="G955" s="15" t="s">
        <v>548</v>
      </c>
      <c r="H955" s="15"/>
    </row>
    <row r="956" spans="2:8" x14ac:dyDescent="0.35">
      <c r="B956" s="15" t="s">
        <v>1</v>
      </c>
      <c r="C956" s="15">
        <v>216.51</v>
      </c>
      <c r="D956" s="15">
        <v>2.7556259600000002</v>
      </c>
      <c r="E956" s="15">
        <v>1591609661.6468</v>
      </c>
      <c r="F956" s="15" t="s">
        <v>545</v>
      </c>
      <c r="G956" s="15" t="s">
        <v>548</v>
      </c>
      <c r="H956" s="15"/>
    </row>
    <row r="957" spans="2:8" x14ac:dyDescent="0.35">
      <c r="B957" s="15" t="s">
        <v>1</v>
      </c>
      <c r="C957" s="15">
        <v>216.51</v>
      </c>
      <c r="D957" s="15">
        <v>1.86384511</v>
      </c>
      <c r="E957" s="15">
        <v>1591609662.7822001</v>
      </c>
      <c r="F957" s="15" t="s">
        <v>545</v>
      </c>
      <c r="G957" s="15" t="s">
        <v>548</v>
      </c>
      <c r="H957" s="15"/>
    </row>
    <row r="958" spans="2:8" x14ac:dyDescent="0.35">
      <c r="B958" s="15" t="s">
        <v>1</v>
      </c>
      <c r="C958" s="15">
        <v>216.51</v>
      </c>
      <c r="D958" s="15">
        <v>9.2650000000000006</v>
      </c>
      <c r="E958" s="15">
        <v>1591609662.7865</v>
      </c>
      <c r="F958" s="15" t="s">
        <v>545</v>
      </c>
      <c r="G958" s="15" t="s">
        <v>548</v>
      </c>
      <c r="H958" s="15"/>
    </row>
    <row r="959" spans="2:8" x14ac:dyDescent="0.35">
      <c r="B959" s="15" t="s">
        <v>1</v>
      </c>
      <c r="C959" s="15">
        <v>216.52</v>
      </c>
      <c r="D959" s="15">
        <v>7.3711548899999997</v>
      </c>
      <c r="E959" s="15">
        <v>1591609662.7881</v>
      </c>
      <c r="F959" s="15" t="s">
        <v>545</v>
      </c>
      <c r="G959" s="15" t="s">
        <v>548</v>
      </c>
      <c r="H959" s="15"/>
    </row>
    <row r="960" spans="2:8" x14ac:dyDescent="0.35">
      <c r="B960" s="15" t="s">
        <v>1</v>
      </c>
      <c r="C960" s="15">
        <v>216.35</v>
      </c>
      <c r="D960" s="15">
        <v>1.7</v>
      </c>
      <c r="E960" s="15">
        <v>1591609672.7804</v>
      </c>
      <c r="F960" s="15" t="s">
        <v>547</v>
      </c>
      <c r="G960" s="15" t="s">
        <v>548</v>
      </c>
      <c r="H960" s="15"/>
    </row>
    <row r="961" spans="2:8" x14ac:dyDescent="0.35">
      <c r="B961" s="15" t="s">
        <v>1</v>
      </c>
      <c r="C961" s="15">
        <v>216.39</v>
      </c>
      <c r="D961" s="15">
        <v>17.5</v>
      </c>
      <c r="E961" s="15">
        <v>1591609683.497</v>
      </c>
      <c r="F961" s="15" t="s">
        <v>545</v>
      </c>
      <c r="G961" s="15" t="s">
        <v>548</v>
      </c>
      <c r="H961" s="15"/>
    </row>
    <row r="962" spans="2:8" x14ac:dyDescent="0.35">
      <c r="B962" s="15" t="s">
        <v>1</v>
      </c>
      <c r="C962" s="15">
        <v>216.33</v>
      </c>
      <c r="D962" s="15">
        <v>4.6220332300000004</v>
      </c>
      <c r="E962" s="15">
        <v>1591609709.8571</v>
      </c>
      <c r="F962" s="15" t="s">
        <v>547</v>
      </c>
      <c r="G962" s="15" t="s">
        <v>548</v>
      </c>
      <c r="H962" s="15"/>
    </row>
    <row r="963" spans="2:8" x14ac:dyDescent="0.35">
      <c r="B963" s="15" t="s">
        <v>1</v>
      </c>
      <c r="C963" s="15">
        <v>216.3</v>
      </c>
      <c r="D963" s="15">
        <v>8.5785520000000004E-2</v>
      </c>
      <c r="E963" s="15">
        <v>1591609709.8687999</v>
      </c>
      <c r="F963" s="15" t="s">
        <v>547</v>
      </c>
      <c r="G963" s="15" t="s">
        <v>548</v>
      </c>
      <c r="H963" s="15"/>
    </row>
    <row r="964" spans="2:8" x14ac:dyDescent="0.35">
      <c r="B964" s="15" t="s">
        <v>1</v>
      </c>
      <c r="C964" s="15">
        <v>216.36</v>
      </c>
      <c r="D964" s="15">
        <v>60</v>
      </c>
      <c r="E964" s="15">
        <v>1591609737.8680999</v>
      </c>
      <c r="F964" s="15" t="s">
        <v>545</v>
      </c>
      <c r="G964" s="15" t="s">
        <v>546</v>
      </c>
      <c r="H964" s="15"/>
    </row>
    <row r="965" spans="2:8" x14ac:dyDescent="0.35">
      <c r="B965" s="15" t="s">
        <v>1</v>
      </c>
      <c r="C965" s="15">
        <v>216.4</v>
      </c>
      <c r="D965" s="15">
        <v>2.7519854700000002</v>
      </c>
      <c r="E965" s="15">
        <v>1591609756.8122001</v>
      </c>
      <c r="F965" s="15" t="s">
        <v>545</v>
      </c>
      <c r="G965" s="15" t="s">
        <v>548</v>
      </c>
      <c r="H965" s="15"/>
    </row>
    <row r="966" spans="2:8" x14ac:dyDescent="0.35">
      <c r="B966" s="15" t="s">
        <v>1</v>
      </c>
      <c r="C966" s="15">
        <v>216.4</v>
      </c>
      <c r="D966" s="15">
        <v>0.05</v>
      </c>
      <c r="E966" s="15">
        <v>1591609792.4326</v>
      </c>
      <c r="F966" s="15" t="s">
        <v>545</v>
      </c>
      <c r="G966" s="15" t="s">
        <v>548</v>
      </c>
      <c r="H966" s="15"/>
    </row>
    <row r="967" spans="2:8" x14ac:dyDescent="0.35">
      <c r="B967" s="15" t="s">
        <v>1</v>
      </c>
      <c r="C967" s="15">
        <v>216.4</v>
      </c>
      <c r="D967" s="15">
        <v>0.14025559000000001</v>
      </c>
      <c r="E967" s="15">
        <v>1591609808.2400999</v>
      </c>
      <c r="F967" s="15" t="s">
        <v>545</v>
      </c>
      <c r="G967" s="15" t="s">
        <v>548</v>
      </c>
      <c r="H967" s="15"/>
    </row>
    <row r="968" spans="2:8" x14ac:dyDescent="0.35">
      <c r="B968" s="15" t="s">
        <v>1</v>
      </c>
      <c r="C968" s="15">
        <v>216.4</v>
      </c>
      <c r="D968" s="15">
        <v>1.3258000000000001E-4</v>
      </c>
      <c r="E968" s="15">
        <v>1591609808.2456999</v>
      </c>
      <c r="F968" s="15" t="s">
        <v>545</v>
      </c>
      <c r="G968" s="15" t="s">
        <v>548</v>
      </c>
      <c r="H968" s="15"/>
    </row>
    <row r="969" spans="2:8" x14ac:dyDescent="0.35">
      <c r="B969" s="15" t="s">
        <v>1</v>
      </c>
      <c r="C969" s="15">
        <v>216.53</v>
      </c>
      <c r="D969" s="15">
        <v>0.44374128000000002</v>
      </c>
      <c r="E969" s="15">
        <v>1591609808.2535</v>
      </c>
      <c r="F969" s="15" t="s">
        <v>545</v>
      </c>
      <c r="G969" s="15" t="s">
        <v>548</v>
      </c>
      <c r="H969" s="15"/>
    </row>
    <row r="970" spans="2:8" x14ac:dyDescent="0.35">
      <c r="B970" s="15" t="s">
        <v>1</v>
      </c>
      <c r="C970" s="15">
        <v>216.5</v>
      </c>
      <c r="D970" s="15">
        <v>0.23100000000000001</v>
      </c>
      <c r="E970" s="15">
        <v>1591609866.6775999</v>
      </c>
      <c r="F970" s="15" t="s">
        <v>545</v>
      </c>
      <c r="G970" s="15" t="s">
        <v>548</v>
      </c>
      <c r="H970" s="15"/>
    </row>
    <row r="971" spans="2:8" x14ac:dyDescent="0.35">
      <c r="B971" s="15" t="s">
        <v>1</v>
      </c>
      <c r="C971" s="15">
        <v>216.5</v>
      </c>
      <c r="D971" s="15">
        <v>4.3961199999999999E-2</v>
      </c>
      <c r="E971" s="15">
        <v>1591609878.6770999</v>
      </c>
      <c r="F971" s="15" t="s">
        <v>545</v>
      </c>
      <c r="G971" s="15" t="s">
        <v>546</v>
      </c>
      <c r="H971" s="15"/>
    </row>
    <row r="972" spans="2:8" x14ac:dyDescent="0.35">
      <c r="B972" s="15" t="s">
        <v>1</v>
      </c>
      <c r="C972" s="15">
        <v>216.5</v>
      </c>
      <c r="D972" s="15">
        <v>0.72503879999999998</v>
      </c>
      <c r="E972" s="15">
        <v>1591609927.3334</v>
      </c>
      <c r="F972" s="15" t="s">
        <v>545</v>
      </c>
      <c r="G972" s="15" t="s">
        <v>548</v>
      </c>
      <c r="H972" s="15"/>
    </row>
    <row r="973" spans="2:8" x14ac:dyDescent="0.35">
      <c r="B973" s="15" t="s">
        <v>1</v>
      </c>
      <c r="C973" s="15">
        <v>216.54</v>
      </c>
      <c r="D973" s="15">
        <v>0.56804104</v>
      </c>
      <c r="E973" s="15">
        <v>1591609927.3494999</v>
      </c>
      <c r="F973" s="15" t="s">
        <v>545</v>
      </c>
      <c r="G973" s="15" t="s">
        <v>548</v>
      </c>
      <c r="H973" s="15"/>
    </row>
    <row r="974" spans="2:8" x14ac:dyDescent="0.35">
      <c r="B974" s="15" t="s">
        <v>1</v>
      </c>
      <c r="C974" s="15">
        <v>216.59</v>
      </c>
      <c r="D974" s="15">
        <v>10.90945196</v>
      </c>
      <c r="E974" s="15">
        <v>1591609950.4881999</v>
      </c>
      <c r="F974" s="15" t="s">
        <v>545</v>
      </c>
      <c r="G974" s="15" t="s">
        <v>548</v>
      </c>
      <c r="H974" s="15"/>
    </row>
    <row r="975" spans="2:8" x14ac:dyDescent="0.35">
      <c r="B975" s="15" t="s">
        <v>1</v>
      </c>
      <c r="C975" s="15">
        <v>216.59</v>
      </c>
      <c r="D975" s="15">
        <v>5.9574040000000002E-2</v>
      </c>
      <c r="E975" s="15">
        <v>1591609967.2009001</v>
      </c>
      <c r="F975" s="15" t="s">
        <v>545</v>
      </c>
      <c r="G975" s="15" t="s">
        <v>548</v>
      </c>
      <c r="H975" s="15"/>
    </row>
    <row r="976" spans="2:8" x14ac:dyDescent="0.35">
      <c r="B976" s="15" t="s">
        <v>1</v>
      </c>
      <c r="C976" s="15">
        <v>216.59</v>
      </c>
      <c r="D976" s="15">
        <v>1.58891454</v>
      </c>
      <c r="E976" s="15">
        <v>1591609969.5302</v>
      </c>
      <c r="F976" s="15" t="s">
        <v>545</v>
      </c>
      <c r="G976" s="15" t="s">
        <v>548</v>
      </c>
      <c r="H976" s="15"/>
    </row>
    <row r="977" spans="2:8" x14ac:dyDescent="0.35">
      <c r="B977" s="15" t="s">
        <v>1</v>
      </c>
      <c r="C977" s="15">
        <v>216.59</v>
      </c>
      <c r="D977" s="15">
        <v>4</v>
      </c>
      <c r="E977" s="15">
        <v>1591609985.5580001</v>
      </c>
      <c r="F977" s="15" t="s">
        <v>545</v>
      </c>
      <c r="G977" s="15" t="s">
        <v>548</v>
      </c>
      <c r="H977" s="15"/>
    </row>
    <row r="978" spans="2:8" x14ac:dyDescent="0.35">
      <c r="B978" s="15" t="s">
        <v>1</v>
      </c>
      <c r="C978" s="15">
        <v>216.6</v>
      </c>
      <c r="D978" s="15">
        <v>0.1</v>
      </c>
      <c r="E978" s="15">
        <v>1591610003.9252999</v>
      </c>
      <c r="F978" s="15" t="s">
        <v>545</v>
      </c>
      <c r="G978" s="15" t="s">
        <v>548</v>
      </c>
      <c r="H978" s="15"/>
    </row>
    <row r="979" spans="2:8" x14ac:dyDescent="0.35">
      <c r="B979" s="15" t="s">
        <v>1</v>
      </c>
      <c r="C979" s="15">
        <v>216.6</v>
      </c>
      <c r="D979" s="15">
        <v>3.2151930000000002E-2</v>
      </c>
      <c r="E979" s="15">
        <v>1591610007.0683999</v>
      </c>
      <c r="F979" s="15" t="s">
        <v>545</v>
      </c>
      <c r="G979" s="15" t="s">
        <v>548</v>
      </c>
      <c r="H979" s="15"/>
    </row>
    <row r="980" spans="2:8" x14ac:dyDescent="0.35">
      <c r="B980" s="15" t="s">
        <v>1</v>
      </c>
      <c r="C980" s="15">
        <v>216.53</v>
      </c>
      <c r="D980" s="15">
        <v>0.27287346000000001</v>
      </c>
      <c r="E980" s="15">
        <v>1591610022.1036</v>
      </c>
      <c r="F980" s="15" t="s">
        <v>547</v>
      </c>
      <c r="G980" s="15" t="s">
        <v>548</v>
      </c>
      <c r="H980" s="15"/>
    </row>
    <row r="981" spans="2:8" x14ac:dyDescent="0.35">
      <c r="B981" s="15" t="s">
        <v>1</v>
      </c>
      <c r="C981" s="15">
        <v>216.53</v>
      </c>
      <c r="D981" s="15">
        <v>7.0653999999999997E-4</v>
      </c>
      <c r="E981" s="15">
        <v>1591610022.1073999</v>
      </c>
      <c r="F981" s="15" t="s">
        <v>547</v>
      </c>
      <c r="G981" s="15" t="s">
        <v>548</v>
      </c>
      <c r="H981" s="15"/>
    </row>
    <row r="982" spans="2:8" x14ac:dyDescent="0.35">
      <c r="B982" s="15" t="s">
        <v>1</v>
      </c>
      <c r="C982" s="15">
        <v>216.45</v>
      </c>
      <c r="D982" s="15">
        <v>0.2</v>
      </c>
      <c r="E982" s="15">
        <v>1591610044.6459999</v>
      </c>
      <c r="F982" s="15" t="s">
        <v>547</v>
      </c>
      <c r="G982" s="15" t="s">
        <v>548</v>
      </c>
      <c r="H982" s="15"/>
    </row>
    <row r="983" spans="2:8" x14ac:dyDescent="0.35">
      <c r="B983" s="15" t="s">
        <v>1</v>
      </c>
      <c r="C983" s="15">
        <v>216.45</v>
      </c>
      <c r="D983" s="15">
        <v>5.8060680000000003E-2</v>
      </c>
      <c r="E983" s="15">
        <v>1591610046.6391001</v>
      </c>
      <c r="F983" s="15" t="s">
        <v>547</v>
      </c>
      <c r="G983" s="15" t="s">
        <v>548</v>
      </c>
      <c r="H983" s="15"/>
    </row>
    <row r="984" spans="2:8" x14ac:dyDescent="0.35">
      <c r="B984" s="15" t="s">
        <v>1</v>
      </c>
      <c r="C984" s="15">
        <v>216.45</v>
      </c>
      <c r="D984" s="15">
        <v>4.5849470000000003E-2</v>
      </c>
      <c r="E984" s="15">
        <v>1591610057.9130001</v>
      </c>
      <c r="F984" s="15" t="s">
        <v>545</v>
      </c>
      <c r="G984" s="15" t="s">
        <v>548</v>
      </c>
      <c r="H984" s="15"/>
    </row>
    <row r="985" spans="2:8" x14ac:dyDescent="0.35">
      <c r="B985" s="15" t="s">
        <v>1</v>
      </c>
      <c r="C985" s="15">
        <v>216.45</v>
      </c>
      <c r="D985" s="15">
        <v>0.25</v>
      </c>
      <c r="E985" s="15">
        <v>1591610059.1918001</v>
      </c>
      <c r="F985" s="15" t="s">
        <v>545</v>
      </c>
      <c r="G985" s="15" t="s">
        <v>548</v>
      </c>
      <c r="H985" s="15"/>
    </row>
    <row r="986" spans="2:8" x14ac:dyDescent="0.35">
      <c r="B986" s="15" t="s">
        <v>1</v>
      </c>
      <c r="C986" s="15">
        <v>216.4</v>
      </c>
      <c r="D986" s="15">
        <v>0.83709734999999996</v>
      </c>
      <c r="E986" s="15">
        <v>1591610072.4233999</v>
      </c>
      <c r="F986" s="15" t="s">
        <v>547</v>
      </c>
      <c r="G986" s="15" t="s">
        <v>546</v>
      </c>
      <c r="H986" s="15"/>
    </row>
    <row r="987" spans="2:8" x14ac:dyDescent="0.35">
      <c r="B987" s="15" t="s">
        <v>1</v>
      </c>
      <c r="C987" s="15">
        <v>216.39</v>
      </c>
      <c r="D987" s="15">
        <v>55.365110680000001</v>
      </c>
      <c r="E987" s="15">
        <v>1591610072.4286001</v>
      </c>
      <c r="F987" s="15" t="s">
        <v>547</v>
      </c>
      <c r="G987" s="15" t="s">
        <v>546</v>
      </c>
      <c r="H987" s="15"/>
    </row>
    <row r="988" spans="2:8" x14ac:dyDescent="0.35">
      <c r="B988" s="15" t="s">
        <v>1</v>
      </c>
      <c r="C988" s="15">
        <v>216.39</v>
      </c>
      <c r="D988" s="15">
        <v>1</v>
      </c>
      <c r="E988" s="15">
        <v>1591610090.6695001</v>
      </c>
      <c r="F988" s="15" t="s">
        <v>545</v>
      </c>
      <c r="G988" s="15" t="s">
        <v>546</v>
      </c>
      <c r="H988" s="15"/>
    </row>
    <row r="989" spans="2:8" x14ac:dyDescent="0.35">
      <c r="B989" s="15" t="s">
        <v>1</v>
      </c>
      <c r="C989" s="15">
        <v>216.38</v>
      </c>
      <c r="D989" s="15">
        <v>2.2736725299999998</v>
      </c>
      <c r="E989" s="15">
        <v>1591610120.6178</v>
      </c>
      <c r="F989" s="15" t="s">
        <v>545</v>
      </c>
      <c r="G989" s="15" t="s">
        <v>548</v>
      </c>
      <c r="H989" s="15"/>
    </row>
    <row r="990" spans="2:8" x14ac:dyDescent="0.35">
      <c r="B990" s="15" t="s">
        <v>1</v>
      </c>
      <c r="C990" s="15">
        <v>216.37</v>
      </c>
      <c r="D990" s="15">
        <v>1.1077869499999999</v>
      </c>
      <c r="E990" s="15">
        <v>1591610123.9937999</v>
      </c>
      <c r="F990" s="15" t="s">
        <v>547</v>
      </c>
      <c r="G990" s="15" t="s">
        <v>548</v>
      </c>
      <c r="H990" s="15"/>
    </row>
    <row r="991" spans="2:8" x14ac:dyDescent="0.35">
      <c r="B991" s="15" t="s">
        <v>1</v>
      </c>
      <c r="C991" s="15">
        <v>216.37</v>
      </c>
      <c r="D991" s="15">
        <v>2.2111499999999998E-3</v>
      </c>
      <c r="E991" s="15">
        <v>1591610124.0039999</v>
      </c>
      <c r="F991" s="15" t="s">
        <v>547</v>
      </c>
      <c r="G991" s="15" t="s">
        <v>548</v>
      </c>
      <c r="H991" s="15"/>
    </row>
    <row r="992" spans="2:8" x14ac:dyDescent="0.35">
      <c r="B992" s="15" t="s">
        <v>1</v>
      </c>
      <c r="C992" s="15">
        <v>216.37</v>
      </c>
      <c r="D992" s="15">
        <v>1.9E-6</v>
      </c>
      <c r="E992" s="15">
        <v>1591610124.0060999</v>
      </c>
      <c r="F992" s="15" t="s">
        <v>547</v>
      </c>
      <c r="G992" s="15" t="s">
        <v>548</v>
      </c>
      <c r="H992" s="15"/>
    </row>
    <row r="993" spans="2:8" x14ac:dyDescent="0.35">
      <c r="B993" s="15" t="s">
        <v>1</v>
      </c>
      <c r="C993" s="15">
        <v>216.37</v>
      </c>
      <c r="D993" s="15">
        <v>0.90437696999999995</v>
      </c>
      <c r="E993" s="15">
        <v>1591610124.5107999</v>
      </c>
      <c r="F993" s="15" t="s">
        <v>547</v>
      </c>
      <c r="G993" s="15" t="s">
        <v>548</v>
      </c>
      <c r="H993" s="15"/>
    </row>
    <row r="994" spans="2:8" x14ac:dyDescent="0.35">
      <c r="B994" s="15" t="s">
        <v>1</v>
      </c>
      <c r="C994" s="15">
        <v>216.33</v>
      </c>
      <c r="D994" s="15">
        <v>0.22562303</v>
      </c>
      <c r="E994" s="15">
        <v>1591610124.5169001</v>
      </c>
      <c r="F994" s="15" t="s">
        <v>547</v>
      </c>
      <c r="G994" s="15" t="s">
        <v>548</v>
      </c>
      <c r="H994" s="15"/>
    </row>
    <row r="995" spans="2:8" x14ac:dyDescent="0.35">
      <c r="B995" s="15" t="s">
        <v>1</v>
      </c>
      <c r="C995" s="15">
        <v>216.34</v>
      </c>
      <c r="D995" s="15">
        <v>0.91758289999999998</v>
      </c>
      <c r="E995" s="15">
        <v>1591610141.2447</v>
      </c>
      <c r="F995" s="15" t="s">
        <v>545</v>
      </c>
      <c r="G995" s="15" t="s">
        <v>548</v>
      </c>
      <c r="H995" s="15"/>
    </row>
    <row r="996" spans="2:8" x14ac:dyDescent="0.35">
      <c r="B996" s="15" t="s">
        <v>1</v>
      </c>
      <c r="C996" s="15">
        <v>216.33</v>
      </c>
      <c r="D996" s="15">
        <v>4.7743769699999996</v>
      </c>
      <c r="E996" s="15">
        <v>1591610161.1249001</v>
      </c>
      <c r="F996" s="15" t="s">
        <v>547</v>
      </c>
      <c r="G996" s="15" t="s">
        <v>548</v>
      </c>
      <c r="H996" s="15"/>
    </row>
    <row r="997" spans="2:8" x14ac:dyDescent="0.35">
      <c r="B997" s="15" t="s">
        <v>1</v>
      </c>
      <c r="C997" s="15">
        <v>216.26</v>
      </c>
      <c r="D997" s="15">
        <v>2.2220715599999998</v>
      </c>
      <c r="E997" s="15">
        <v>1591610161.1429</v>
      </c>
      <c r="F997" s="15" t="s">
        <v>547</v>
      </c>
      <c r="G997" s="15" t="s">
        <v>548</v>
      </c>
      <c r="H997" s="15"/>
    </row>
    <row r="998" spans="2:8" x14ac:dyDescent="0.35">
      <c r="B998" s="15" t="s">
        <v>1</v>
      </c>
      <c r="C998" s="15">
        <v>216.26</v>
      </c>
      <c r="D998" s="15">
        <v>3.5496299999999998E-3</v>
      </c>
      <c r="E998" s="15">
        <v>1591610161.1452</v>
      </c>
      <c r="F998" s="15" t="s">
        <v>547</v>
      </c>
      <c r="G998" s="15" t="s">
        <v>548</v>
      </c>
      <c r="H998" s="15"/>
    </row>
    <row r="999" spans="2:8" x14ac:dyDescent="0.35">
      <c r="B999" s="15" t="s">
        <v>1</v>
      </c>
      <c r="C999" s="15">
        <v>216.26</v>
      </c>
      <c r="D999" s="15">
        <v>1.84E-6</v>
      </c>
      <c r="E999" s="15">
        <v>1591610161.1470001</v>
      </c>
      <c r="F999" s="15" t="s">
        <v>547</v>
      </c>
      <c r="G999" s="15" t="s">
        <v>548</v>
      </c>
      <c r="H999" s="15"/>
    </row>
    <row r="1000" spans="2:8" x14ac:dyDescent="0.35">
      <c r="B1000" s="15" t="s">
        <v>1</v>
      </c>
      <c r="C1000" s="15">
        <v>216.3</v>
      </c>
      <c r="D1000" s="15">
        <v>0.45879144999999999</v>
      </c>
      <c r="E1000" s="15">
        <v>1591610163.0615001</v>
      </c>
      <c r="F1000" s="15" t="s">
        <v>545</v>
      </c>
      <c r="G1000" s="15" t="s">
        <v>548</v>
      </c>
      <c r="H1000" s="15"/>
    </row>
    <row r="1001" spans="2:8" x14ac:dyDescent="0.35">
      <c r="B1001" s="15" t="s">
        <v>1</v>
      </c>
      <c r="C1001" s="15">
        <v>216.3</v>
      </c>
      <c r="D1001" s="15">
        <v>0.17475219</v>
      </c>
      <c r="E1001" s="15">
        <v>1591610198.0091</v>
      </c>
      <c r="F1001" s="15" t="s">
        <v>545</v>
      </c>
      <c r="G1001" s="15" t="s">
        <v>546</v>
      </c>
      <c r="H1001" s="15"/>
    </row>
    <row r="1002" spans="2:8" x14ac:dyDescent="0.35">
      <c r="B1002" s="15" t="s">
        <v>1</v>
      </c>
      <c r="C1002" s="15">
        <v>216.41</v>
      </c>
      <c r="D1002" s="15">
        <v>0.22933212</v>
      </c>
      <c r="E1002" s="15">
        <v>1591610230.8120999</v>
      </c>
      <c r="F1002" s="15" t="s">
        <v>545</v>
      </c>
      <c r="G1002" s="15" t="s">
        <v>548</v>
      </c>
      <c r="H1002" s="15"/>
    </row>
    <row r="1003" spans="2:8" x14ac:dyDescent="0.35">
      <c r="B1003" s="15" t="s">
        <v>1</v>
      </c>
      <c r="C1003" s="15">
        <v>216.41</v>
      </c>
      <c r="D1003" s="15">
        <v>0.16054731999999999</v>
      </c>
      <c r="E1003" s="15">
        <v>1591610260.1073</v>
      </c>
      <c r="F1003" s="15" t="s">
        <v>545</v>
      </c>
      <c r="G1003" s="15" t="s">
        <v>548</v>
      </c>
      <c r="H1003" s="15"/>
    </row>
    <row r="1004" spans="2:8" x14ac:dyDescent="0.35">
      <c r="B1004" s="15" t="s">
        <v>1</v>
      </c>
      <c r="C1004" s="15">
        <v>216.46</v>
      </c>
      <c r="D1004" s="15">
        <v>0.18508670999999999</v>
      </c>
      <c r="E1004" s="15">
        <v>1591610283.177</v>
      </c>
      <c r="F1004" s="15" t="s">
        <v>545</v>
      </c>
      <c r="G1004" s="15" t="s">
        <v>548</v>
      </c>
      <c r="H1004" s="15"/>
    </row>
    <row r="1005" spans="2:8" x14ac:dyDescent="0.35">
      <c r="B1005" s="15" t="s">
        <v>1</v>
      </c>
      <c r="C1005" s="15">
        <v>216.5</v>
      </c>
      <c r="D1005" s="15">
        <v>0.29796971</v>
      </c>
      <c r="E1005" s="15">
        <v>1591610351.8280001</v>
      </c>
      <c r="F1005" s="15" t="s">
        <v>545</v>
      </c>
      <c r="G1005" s="15" t="s">
        <v>548</v>
      </c>
      <c r="H1005" s="15"/>
    </row>
    <row r="1006" spans="2:8" x14ac:dyDescent="0.35">
      <c r="B1006" s="15" t="s">
        <v>1</v>
      </c>
      <c r="C1006" s="15">
        <v>216.5</v>
      </c>
      <c r="D1006" s="15">
        <v>11.149704180000001</v>
      </c>
      <c r="E1006" s="15">
        <v>1591610358.3262</v>
      </c>
      <c r="F1006" s="15" t="s">
        <v>545</v>
      </c>
      <c r="G1006" s="15" t="s">
        <v>548</v>
      </c>
      <c r="H1006" s="15"/>
    </row>
    <row r="1007" spans="2:8" x14ac:dyDescent="0.35">
      <c r="B1007" s="15" t="s">
        <v>1</v>
      </c>
      <c r="C1007" s="15">
        <v>216.5</v>
      </c>
      <c r="D1007" s="15">
        <v>2.7408640000000001E-2</v>
      </c>
      <c r="E1007" s="15">
        <v>1591610358.3527</v>
      </c>
      <c r="F1007" s="15" t="s">
        <v>545</v>
      </c>
      <c r="G1007" s="15" t="s">
        <v>548</v>
      </c>
      <c r="H1007" s="15"/>
    </row>
    <row r="1008" spans="2:8" x14ac:dyDescent="0.35">
      <c r="B1008" s="15" t="s">
        <v>1</v>
      </c>
      <c r="C1008" s="15">
        <v>216.5</v>
      </c>
      <c r="D1008" s="15">
        <v>6.5619999999999999E-5</v>
      </c>
      <c r="E1008" s="15">
        <v>1591610358.3566</v>
      </c>
      <c r="F1008" s="15" t="s">
        <v>545</v>
      </c>
      <c r="G1008" s="15" t="s">
        <v>548</v>
      </c>
      <c r="H1008" s="15"/>
    </row>
    <row r="1009" spans="2:8" x14ac:dyDescent="0.35">
      <c r="B1009" s="15" t="s">
        <v>1</v>
      </c>
      <c r="C1009" s="15">
        <v>216.5</v>
      </c>
      <c r="D1009" s="15">
        <v>1.6E-7</v>
      </c>
      <c r="E1009" s="15">
        <v>1591610358.3596001</v>
      </c>
      <c r="F1009" s="15" t="s">
        <v>545</v>
      </c>
      <c r="G1009" s="15" t="s">
        <v>548</v>
      </c>
      <c r="H1009" s="15"/>
    </row>
    <row r="1010" spans="2:8" x14ac:dyDescent="0.35">
      <c r="B1010" s="15" t="s">
        <v>1</v>
      </c>
      <c r="C1010" s="15">
        <v>216.5</v>
      </c>
      <c r="D1010" s="15">
        <v>7.4676018500000003</v>
      </c>
      <c r="E1010" s="15">
        <v>1591610358.3622</v>
      </c>
      <c r="F1010" s="15" t="s">
        <v>545</v>
      </c>
      <c r="G1010" s="15" t="s">
        <v>548</v>
      </c>
      <c r="H1010" s="15"/>
    </row>
    <row r="1011" spans="2:8" x14ac:dyDescent="0.35">
      <c r="B1011" s="15" t="s">
        <v>1</v>
      </c>
      <c r="C1011" s="15">
        <v>216.5</v>
      </c>
      <c r="D1011" s="15">
        <v>0.30209999999999998</v>
      </c>
      <c r="E1011" s="15">
        <v>1591610363.3532</v>
      </c>
      <c r="F1011" s="15" t="s">
        <v>545</v>
      </c>
      <c r="G1011" s="15" t="s">
        <v>548</v>
      </c>
      <c r="H1011" s="15"/>
    </row>
    <row r="1012" spans="2:8" x14ac:dyDescent="0.35">
      <c r="B1012" s="15" t="s">
        <v>1</v>
      </c>
      <c r="C1012" s="15">
        <v>216.5</v>
      </c>
      <c r="D1012" s="15">
        <v>7.933163E-2</v>
      </c>
      <c r="E1012" s="15">
        <v>1591610383.2306001</v>
      </c>
      <c r="F1012" s="15" t="s">
        <v>545</v>
      </c>
      <c r="G1012" s="15" t="s">
        <v>546</v>
      </c>
      <c r="H1012" s="15"/>
    </row>
    <row r="1013" spans="2:8" x14ac:dyDescent="0.35">
      <c r="B1013" s="15" t="s">
        <v>1</v>
      </c>
      <c r="C1013" s="15">
        <v>216.5</v>
      </c>
      <c r="D1013" s="15">
        <v>0.22980053</v>
      </c>
      <c r="E1013" s="15">
        <v>1591610404.5404</v>
      </c>
      <c r="F1013" s="15" t="s">
        <v>545</v>
      </c>
      <c r="G1013" s="15" t="s">
        <v>548</v>
      </c>
      <c r="H1013" s="15"/>
    </row>
  </sheetData>
  <hyperlinks>
    <hyperlink ref="B10" location="'Kraken RecentTrades'!B10" display="Get"/>
  </hyperlink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J213"/>
  <sheetViews>
    <sheetView topLeftCell="A4" workbookViewId="0">
      <selection activeCell="B10" sqref="B10"/>
    </sheetView>
  </sheetViews>
  <sheetFormatPr baseColWidth="10" defaultRowHeight="14.5" x14ac:dyDescent="0.35"/>
  <cols>
    <col min="7" max="7" width="17.54296875" bestFit="1" customWidth="1"/>
    <col min="10" max="10" width="17.54296875" bestFit="1" customWidth="1"/>
  </cols>
  <sheetData>
    <row r="2" spans="2:10" ht="17.5" x14ac:dyDescent="0.35">
      <c r="B2" s="13" t="s">
        <v>542</v>
      </c>
    </row>
    <row r="3" spans="2:10" x14ac:dyDescent="0.35">
      <c r="B3" t="s">
        <v>541</v>
      </c>
    </row>
    <row r="5" spans="2:10" x14ac:dyDescent="0.35">
      <c r="B5" t="s">
        <v>24</v>
      </c>
      <c r="C5" t="s">
        <v>515</v>
      </c>
    </row>
    <row r="6" spans="2:10" x14ac:dyDescent="0.35">
      <c r="C6" s="10" t="s">
        <v>1</v>
      </c>
      <c r="D6" t="s">
        <v>525</v>
      </c>
    </row>
    <row r="7" spans="2:10" x14ac:dyDescent="0.35">
      <c r="C7" t="s">
        <v>518</v>
      </c>
      <c r="J7" s="21"/>
    </row>
    <row r="8" spans="2:10" x14ac:dyDescent="0.35">
      <c r="C8" s="10">
        <v>1591606872</v>
      </c>
      <c r="D8" t="s">
        <v>543</v>
      </c>
      <c r="I8" s="20" t="s">
        <v>526</v>
      </c>
      <c r="J8" s="19">
        <f>TimestampToExcel_2(C8)</f>
        <v>43990.375833333332</v>
      </c>
    </row>
    <row r="10" spans="2:10" x14ac:dyDescent="0.35">
      <c r="B10" s="18" t="s">
        <v>19</v>
      </c>
      <c r="D10" s="16"/>
    </row>
    <row r="12" spans="2:10" ht="15" thickBot="1" x14ac:dyDescent="0.4"/>
    <row r="13" spans="2:10" ht="15.5" thickTop="1" thickBot="1" x14ac:dyDescent="0.4">
      <c r="B13" s="3" t="s">
        <v>491</v>
      </c>
      <c r="C13" s="3" t="s">
        <v>519</v>
      </c>
      <c r="D13" s="3" t="s">
        <v>499</v>
      </c>
      <c r="E13" s="3" t="s">
        <v>498</v>
      </c>
    </row>
    <row r="14" spans="2:10" ht="15" thickTop="1" x14ac:dyDescent="0.35">
      <c r="B14" s="15" t="s">
        <v>1</v>
      </c>
      <c r="C14" s="15">
        <v>1591605515</v>
      </c>
      <c r="D14" s="15">
        <v>215.19</v>
      </c>
      <c r="E14" s="15">
        <v>215.25</v>
      </c>
      <c r="G14" s="19">
        <f>IFERROR(TimestampToExcel_2(C14),)</f>
        <v>43990.360127314816</v>
      </c>
    </row>
    <row r="15" spans="2:10" x14ac:dyDescent="0.35">
      <c r="B15" s="15" t="s">
        <v>1</v>
      </c>
      <c r="C15" s="15">
        <v>1591605517</v>
      </c>
      <c r="D15" s="15">
        <v>215.18</v>
      </c>
      <c r="E15" s="15">
        <v>215.25</v>
      </c>
      <c r="G15" s="19">
        <f t="shared" ref="G15:G78" si="0">IFERROR(TimestampToExcel_2(C15),)</f>
        <v>43990.360150462962</v>
      </c>
    </row>
    <row r="16" spans="2:10" x14ac:dyDescent="0.35">
      <c r="B16" s="15" t="s">
        <v>1</v>
      </c>
      <c r="C16" s="15">
        <v>1591605518</v>
      </c>
      <c r="D16" s="15">
        <v>215.21</v>
      </c>
      <c r="E16" s="15">
        <v>215.25</v>
      </c>
      <c r="G16" s="19">
        <f t="shared" si="0"/>
        <v>43990.360162037032</v>
      </c>
    </row>
    <row r="17" spans="2:7" x14ac:dyDescent="0.35">
      <c r="B17" s="15" t="s">
        <v>1</v>
      </c>
      <c r="C17" s="15">
        <v>1591605532</v>
      </c>
      <c r="D17" s="15">
        <v>215.21</v>
      </c>
      <c r="E17" s="15">
        <v>215.27</v>
      </c>
      <c r="G17" s="19">
        <f t="shared" si="0"/>
        <v>43990.360324074078</v>
      </c>
    </row>
    <row r="18" spans="2:7" x14ac:dyDescent="0.35">
      <c r="B18" s="15" t="s">
        <v>1</v>
      </c>
      <c r="C18" s="15">
        <v>1591605533</v>
      </c>
      <c r="D18" s="15">
        <v>215.21</v>
      </c>
      <c r="E18" s="15">
        <v>215.26</v>
      </c>
      <c r="G18" s="19">
        <f t="shared" si="0"/>
        <v>43990.360335648147</v>
      </c>
    </row>
    <row r="19" spans="2:7" x14ac:dyDescent="0.35">
      <c r="B19" s="15" t="s">
        <v>1</v>
      </c>
      <c r="C19" s="15">
        <v>1591605538</v>
      </c>
      <c r="D19" s="15">
        <v>215.21</v>
      </c>
      <c r="E19" s="15">
        <v>215.27</v>
      </c>
      <c r="G19" s="19">
        <f t="shared" si="0"/>
        <v>43990.360393518524</v>
      </c>
    </row>
    <row r="20" spans="2:7" x14ac:dyDescent="0.35">
      <c r="B20" s="15" t="s">
        <v>1</v>
      </c>
      <c r="C20" s="15">
        <v>1591605544</v>
      </c>
      <c r="D20" s="15">
        <v>215.21</v>
      </c>
      <c r="E20" s="15">
        <v>215.3</v>
      </c>
      <c r="G20" s="19">
        <f t="shared" si="0"/>
        <v>43990.360462962963</v>
      </c>
    </row>
    <row r="21" spans="2:7" x14ac:dyDescent="0.35">
      <c r="B21" s="15" t="s">
        <v>1</v>
      </c>
      <c r="C21" s="15">
        <v>1591605547</v>
      </c>
      <c r="D21" s="15">
        <v>215.22</v>
      </c>
      <c r="E21" s="15">
        <v>215.3</v>
      </c>
      <c r="G21" s="19">
        <f t="shared" si="0"/>
        <v>43990.360497685186</v>
      </c>
    </row>
    <row r="22" spans="2:7" x14ac:dyDescent="0.35">
      <c r="B22" s="15" t="s">
        <v>1</v>
      </c>
      <c r="C22" s="15">
        <v>1591605552</v>
      </c>
      <c r="D22" s="15">
        <v>215.22</v>
      </c>
      <c r="E22" s="15">
        <v>215.32</v>
      </c>
      <c r="G22" s="19">
        <f t="shared" si="0"/>
        <v>43990.360555555555</v>
      </c>
    </row>
    <row r="23" spans="2:7" x14ac:dyDescent="0.35">
      <c r="B23" s="15" t="s">
        <v>1</v>
      </c>
      <c r="C23" s="15">
        <v>1591605560</v>
      </c>
      <c r="D23" s="15">
        <v>215.23</v>
      </c>
      <c r="E23" s="15">
        <v>215.32</v>
      </c>
      <c r="G23" s="19">
        <f t="shared" si="0"/>
        <v>43990.360648148147</v>
      </c>
    </row>
    <row r="24" spans="2:7" x14ac:dyDescent="0.35">
      <c r="B24" s="15" t="s">
        <v>1</v>
      </c>
      <c r="C24" s="15">
        <v>1591605565</v>
      </c>
      <c r="D24" s="15">
        <v>215.24</v>
      </c>
      <c r="E24" s="15">
        <v>215.32</v>
      </c>
      <c r="G24" s="19">
        <f t="shared" si="0"/>
        <v>43990.360706018517</v>
      </c>
    </row>
    <row r="25" spans="2:7" x14ac:dyDescent="0.35">
      <c r="B25" s="15" t="s">
        <v>1</v>
      </c>
      <c r="C25" s="15">
        <v>1591605566</v>
      </c>
      <c r="D25" s="15">
        <v>215.25</v>
      </c>
      <c r="E25" s="15">
        <v>215.32</v>
      </c>
      <c r="G25" s="19">
        <f t="shared" si="0"/>
        <v>43990.360717592594</v>
      </c>
    </row>
    <row r="26" spans="2:7" x14ac:dyDescent="0.35">
      <c r="B26" s="15" t="s">
        <v>1</v>
      </c>
      <c r="C26" s="15">
        <v>1591605572</v>
      </c>
      <c r="D26" s="15">
        <v>215.26</v>
      </c>
      <c r="E26" s="15">
        <v>215.32</v>
      </c>
      <c r="G26" s="19">
        <f t="shared" si="0"/>
        <v>43990.360787037032</v>
      </c>
    </row>
    <row r="27" spans="2:7" x14ac:dyDescent="0.35">
      <c r="B27" s="15" t="s">
        <v>1</v>
      </c>
      <c r="C27" s="15">
        <v>1591605576</v>
      </c>
      <c r="D27" s="15">
        <v>215.27</v>
      </c>
      <c r="E27" s="15">
        <v>215.32</v>
      </c>
      <c r="G27" s="19">
        <f t="shared" si="0"/>
        <v>43990.360833333332</v>
      </c>
    </row>
    <row r="28" spans="2:7" x14ac:dyDescent="0.35">
      <c r="B28" s="15" t="s">
        <v>1</v>
      </c>
      <c r="C28" s="15">
        <v>1591605576</v>
      </c>
      <c r="D28" s="15">
        <v>215.26</v>
      </c>
      <c r="E28" s="15">
        <v>215.32</v>
      </c>
      <c r="G28" s="19">
        <f t="shared" si="0"/>
        <v>43990.360833333332</v>
      </c>
    </row>
    <row r="29" spans="2:7" x14ac:dyDescent="0.35">
      <c r="B29" s="15" t="s">
        <v>1</v>
      </c>
      <c r="C29" s="15">
        <v>1591605580</v>
      </c>
      <c r="D29" s="15">
        <v>215.22</v>
      </c>
      <c r="E29" s="15">
        <v>215.32</v>
      </c>
      <c r="G29" s="19">
        <f t="shared" si="0"/>
        <v>43990.360879629632</v>
      </c>
    </row>
    <row r="30" spans="2:7" x14ac:dyDescent="0.35">
      <c r="B30" s="15" t="s">
        <v>1</v>
      </c>
      <c r="C30" s="15">
        <v>1591605582</v>
      </c>
      <c r="D30" s="15">
        <v>215.22</v>
      </c>
      <c r="E30" s="15">
        <v>215.3</v>
      </c>
      <c r="G30" s="19">
        <f t="shared" si="0"/>
        <v>43990.360902777778</v>
      </c>
    </row>
    <row r="31" spans="2:7" x14ac:dyDescent="0.35">
      <c r="B31" s="15" t="s">
        <v>1</v>
      </c>
      <c r="C31" s="15">
        <v>1591605582</v>
      </c>
      <c r="D31" s="15">
        <v>215.21</v>
      </c>
      <c r="E31" s="15">
        <v>215.3</v>
      </c>
      <c r="G31" s="19">
        <f t="shared" si="0"/>
        <v>43990.360902777778</v>
      </c>
    </row>
    <row r="32" spans="2:7" x14ac:dyDescent="0.35">
      <c r="B32" s="15" t="s">
        <v>1</v>
      </c>
      <c r="C32" s="15">
        <v>1591605587</v>
      </c>
      <c r="D32" s="15">
        <v>215.21</v>
      </c>
      <c r="E32" s="15">
        <v>215.29</v>
      </c>
      <c r="G32" s="19">
        <f t="shared" si="0"/>
        <v>43990.360960648148</v>
      </c>
    </row>
    <row r="33" spans="2:7" x14ac:dyDescent="0.35">
      <c r="B33" s="15" t="s">
        <v>1</v>
      </c>
      <c r="C33" s="15">
        <v>1591605588</v>
      </c>
      <c r="D33" s="15">
        <v>215.21</v>
      </c>
      <c r="E33" s="15">
        <v>215.28</v>
      </c>
      <c r="G33" s="19">
        <f t="shared" si="0"/>
        <v>43990.360972222217</v>
      </c>
    </row>
    <row r="34" spans="2:7" x14ac:dyDescent="0.35">
      <c r="B34" s="15" t="s">
        <v>1</v>
      </c>
      <c r="C34" s="15">
        <v>1591605647</v>
      </c>
      <c r="D34" s="15">
        <v>215.22</v>
      </c>
      <c r="E34" s="15">
        <v>215.28</v>
      </c>
      <c r="G34" s="19">
        <f t="shared" si="0"/>
        <v>43990.361655092594</v>
      </c>
    </row>
    <row r="35" spans="2:7" x14ac:dyDescent="0.35">
      <c r="B35" s="15" t="s">
        <v>1</v>
      </c>
      <c r="C35" s="15">
        <v>1591605668</v>
      </c>
      <c r="D35" s="15">
        <v>215.23</v>
      </c>
      <c r="E35" s="15">
        <v>215.28</v>
      </c>
      <c r="G35" s="19">
        <f t="shared" si="0"/>
        <v>43990.361898148149</v>
      </c>
    </row>
    <row r="36" spans="2:7" x14ac:dyDescent="0.35">
      <c r="B36" s="15" t="s">
        <v>1</v>
      </c>
      <c r="C36" s="15">
        <v>1591605670</v>
      </c>
      <c r="D36" s="15">
        <v>215.21</v>
      </c>
      <c r="E36" s="15">
        <v>215.28</v>
      </c>
      <c r="G36" s="19">
        <f t="shared" si="0"/>
        <v>43990.361921296295</v>
      </c>
    </row>
    <row r="37" spans="2:7" x14ac:dyDescent="0.35">
      <c r="B37" s="15" t="s">
        <v>1</v>
      </c>
      <c r="C37" s="15">
        <v>1591605677</v>
      </c>
      <c r="D37" s="15">
        <v>215.22</v>
      </c>
      <c r="E37" s="15">
        <v>215.28</v>
      </c>
      <c r="G37" s="19">
        <f t="shared" si="0"/>
        <v>43990.362002314811</v>
      </c>
    </row>
    <row r="38" spans="2:7" x14ac:dyDescent="0.35">
      <c r="B38" s="15" t="s">
        <v>1</v>
      </c>
      <c r="C38" s="15">
        <v>1591605679</v>
      </c>
      <c r="D38" s="15">
        <v>215.23</v>
      </c>
      <c r="E38" s="15">
        <v>215.28</v>
      </c>
      <c r="G38" s="19">
        <f t="shared" si="0"/>
        <v>43990.362025462964</v>
      </c>
    </row>
    <row r="39" spans="2:7" x14ac:dyDescent="0.35">
      <c r="B39" s="15" t="s">
        <v>1</v>
      </c>
      <c r="C39" s="15">
        <v>1591605681</v>
      </c>
      <c r="D39" s="15">
        <v>215.21</v>
      </c>
      <c r="E39" s="15">
        <v>215.28</v>
      </c>
      <c r="G39" s="19">
        <f t="shared" si="0"/>
        <v>43990.36204861111</v>
      </c>
    </row>
    <row r="40" spans="2:7" x14ac:dyDescent="0.35">
      <c r="B40" s="15" t="s">
        <v>1</v>
      </c>
      <c r="C40" s="15">
        <v>1591605684</v>
      </c>
      <c r="D40" s="15">
        <v>215.22</v>
      </c>
      <c r="E40" s="15">
        <v>215.28</v>
      </c>
      <c r="G40" s="19">
        <f t="shared" si="0"/>
        <v>43990.362083333333</v>
      </c>
    </row>
    <row r="41" spans="2:7" x14ac:dyDescent="0.35">
      <c r="B41" s="15" t="s">
        <v>1</v>
      </c>
      <c r="C41" s="15">
        <v>1591605684</v>
      </c>
      <c r="D41" s="15">
        <v>215.23</v>
      </c>
      <c r="E41" s="15">
        <v>215.28</v>
      </c>
      <c r="G41" s="19">
        <f t="shared" si="0"/>
        <v>43990.362083333333</v>
      </c>
    </row>
    <row r="42" spans="2:7" x14ac:dyDescent="0.35">
      <c r="B42" s="15" t="s">
        <v>1</v>
      </c>
      <c r="C42" s="15">
        <v>1591605686</v>
      </c>
      <c r="D42" s="15">
        <v>215.24</v>
      </c>
      <c r="E42" s="15">
        <v>215.28</v>
      </c>
      <c r="G42" s="19">
        <f t="shared" si="0"/>
        <v>43990.36210648148</v>
      </c>
    </row>
    <row r="43" spans="2:7" x14ac:dyDescent="0.35">
      <c r="B43" s="15" t="s">
        <v>1</v>
      </c>
      <c r="C43" s="15">
        <v>1591605686</v>
      </c>
      <c r="D43" s="15">
        <v>215.25</v>
      </c>
      <c r="E43" s="15">
        <v>215.28</v>
      </c>
      <c r="G43" s="19">
        <f t="shared" si="0"/>
        <v>43990.36210648148</v>
      </c>
    </row>
    <row r="44" spans="2:7" x14ac:dyDescent="0.35">
      <c r="B44" s="15" t="s">
        <v>1</v>
      </c>
      <c r="C44" s="15">
        <v>1591605693</v>
      </c>
      <c r="D44" s="15">
        <v>215.26</v>
      </c>
      <c r="E44" s="15">
        <v>215.28</v>
      </c>
      <c r="G44" s="19">
        <f t="shared" si="0"/>
        <v>43990.362187499995</v>
      </c>
    </row>
    <row r="45" spans="2:7" x14ac:dyDescent="0.35">
      <c r="B45" s="15" t="s">
        <v>1</v>
      </c>
      <c r="C45" s="15">
        <v>1591605693</v>
      </c>
      <c r="D45" s="15">
        <v>215.27</v>
      </c>
      <c r="E45" s="15">
        <v>215.28</v>
      </c>
      <c r="G45" s="19">
        <f t="shared" si="0"/>
        <v>43990.362187499995</v>
      </c>
    </row>
    <row r="46" spans="2:7" x14ac:dyDescent="0.35">
      <c r="B46" s="15" t="s">
        <v>1</v>
      </c>
      <c r="C46" s="15">
        <v>1591605772</v>
      </c>
      <c r="D46" s="15">
        <v>215.27</v>
      </c>
      <c r="E46" s="15">
        <v>215.54</v>
      </c>
      <c r="G46" s="19">
        <f t="shared" si="0"/>
        <v>43990.36310185185</v>
      </c>
    </row>
    <row r="47" spans="2:7" x14ac:dyDescent="0.35">
      <c r="B47" s="15" t="s">
        <v>1</v>
      </c>
      <c r="C47" s="15">
        <v>1591605773</v>
      </c>
      <c r="D47" s="15">
        <v>215.32</v>
      </c>
      <c r="E47" s="15">
        <v>215.46</v>
      </c>
      <c r="G47" s="19">
        <f t="shared" si="0"/>
        <v>43990.363113425927</v>
      </c>
    </row>
    <row r="48" spans="2:7" x14ac:dyDescent="0.35">
      <c r="B48" s="15" t="s">
        <v>1</v>
      </c>
      <c r="C48" s="15">
        <v>1591605773</v>
      </c>
      <c r="D48" s="15">
        <v>215.33</v>
      </c>
      <c r="E48" s="15">
        <v>215.45</v>
      </c>
      <c r="G48" s="19">
        <f t="shared" si="0"/>
        <v>43990.363113425927</v>
      </c>
    </row>
    <row r="49" spans="2:7" x14ac:dyDescent="0.35">
      <c r="B49" s="15" t="s">
        <v>1</v>
      </c>
      <c r="C49" s="15">
        <v>1591605774</v>
      </c>
      <c r="D49" s="15">
        <v>215.34</v>
      </c>
      <c r="E49" s="15">
        <v>215.45</v>
      </c>
      <c r="G49" s="19">
        <f t="shared" si="0"/>
        <v>43990.363125000003</v>
      </c>
    </row>
    <row r="50" spans="2:7" x14ac:dyDescent="0.35">
      <c r="B50" s="15" t="s">
        <v>1</v>
      </c>
      <c r="C50" s="15">
        <v>1591605776</v>
      </c>
      <c r="D50" s="15">
        <v>215.34</v>
      </c>
      <c r="E50" s="15">
        <v>215.44</v>
      </c>
      <c r="G50" s="19">
        <f t="shared" si="0"/>
        <v>43990.36314814815</v>
      </c>
    </row>
    <row r="51" spans="2:7" x14ac:dyDescent="0.35">
      <c r="B51" s="15" t="s">
        <v>1</v>
      </c>
      <c r="C51" s="15">
        <v>1591605777</v>
      </c>
      <c r="D51" s="15">
        <v>215.34</v>
      </c>
      <c r="E51" s="15">
        <v>215.43</v>
      </c>
      <c r="G51" s="19">
        <f t="shared" si="0"/>
        <v>43990.363159722227</v>
      </c>
    </row>
    <row r="52" spans="2:7" x14ac:dyDescent="0.35">
      <c r="B52" s="15" t="s">
        <v>1</v>
      </c>
      <c r="C52" s="15">
        <v>1591605777</v>
      </c>
      <c r="D52" s="15">
        <v>215.39</v>
      </c>
      <c r="E52" s="15">
        <v>215.43</v>
      </c>
      <c r="G52" s="19">
        <f t="shared" si="0"/>
        <v>43990.363159722227</v>
      </c>
    </row>
    <row r="53" spans="2:7" x14ac:dyDescent="0.35">
      <c r="B53" s="15" t="s">
        <v>1</v>
      </c>
      <c r="C53" s="15">
        <v>1591605778</v>
      </c>
      <c r="D53" s="15">
        <v>215.39</v>
      </c>
      <c r="E53" s="15">
        <v>215.42</v>
      </c>
      <c r="G53" s="19">
        <f t="shared" si="0"/>
        <v>43990.363171296296</v>
      </c>
    </row>
    <row r="54" spans="2:7" x14ac:dyDescent="0.35">
      <c r="B54" s="15" t="s">
        <v>1</v>
      </c>
      <c r="C54" s="15">
        <v>1591605796</v>
      </c>
      <c r="D54" s="15">
        <v>215.39</v>
      </c>
      <c r="E54" s="15">
        <v>215.41</v>
      </c>
      <c r="G54" s="19">
        <f t="shared" si="0"/>
        <v>43990.363379629634</v>
      </c>
    </row>
    <row r="55" spans="2:7" x14ac:dyDescent="0.35">
      <c r="B55" s="15" t="s">
        <v>1</v>
      </c>
      <c r="C55" s="15">
        <v>1591605800</v>
      </c>
      <c r="D55" s="15">
        <v>215.39</v>
      </c>
      <c r="E55" s="15">
        <v>215.4</v>
      </c>
      <c r="G55" s="19">
        <f t="shared" si="0"/>
        <v>43990.363425925927</v>
      </c>
    </row>
    <row r="56" spans="2:7" x14ac:dyDescent="0.35">
      <c r="B56" s="15" t="s">
        <v>1</v>
      </c>
      <c r="C56" s="15">
        <v>1591605817</v>
      </c>
      <c r="D56" s="15">
        <v>215.39</v>
      </c>
      <c r="E56" s="15">
        <v>215.42</v>
      </c>
      <c r="G56" s="19">
        <f t="shared" si="0"/>
        <v>43990.363622685181</v>
      </c>
    </row>
    <row r="57" spans="2:7" x14ac:dyDescent="0.35">
      <c r="B57" s="15" t="s">
        <v>1</v>
      </c>
      <c r="C57" s="15">
        <v>1591605833</v>
      </c>
      <c r="D57" s="15">
        <v>215.34</v>
      </c>
      <c r="E57" s="15">
        <v>215.42</v>
      </c>
      <c r="G57" s="19">
        <f t="shared" si="0"/>
        <v>43990.363807870366</v>
      </c>
    </row>
    <row r="58" spans="2:7" x14ac:dyDescent="0.35">
      <c r="B58" s="15" t="s">
        <v>1</v>
      </c>
      <c r="C58" s="15">
        <v>1591605833</v>
      </c>
      <c r="D58" s="15">
        <v>215.34</v>
      </c>
      <c r="E58" s="15">
        <v>215.41</v>
      </c>
      <c r="G58" s="19">
        <f t="shared" si="0"/>
        <v>43990.363807870366</v>
      </c>
    </row>
    <row r="59" spans="2:7" x14ac:dyDescent="0.35">
      <c r="B59" s="15" t="s">
        <v>1</v>
      </c>
      <c r="C59" s="15">
        <v>1591605834</v>
      </c>
      <c r="D59" s="15">
        <v>215.33</v>
      </c>
      <c r="E59" s="15">
        <v>215.41</v>
      </c>
      <c r="G59" s="19">
        <f t="shared" si="0"/>
        <v>43990.363819444443</v>
      </c>
    </row>
    <row r="60" spans="2:7" x14ac:dyDescent="0.35">
      <c r="B60" s="15" t="s">
        <v>1</v>
      </c>
      <c r="C60" s="15">
        <v>1591605836</v>
      </c>
      <c r="D60" s="15">
        <v>215.33</v>
      </c>
      <c r="E60" s="15">
        <v>215.4</v>
      </c>
      <c r="G60" s="19">
        <f t="shared" si="0"/>
        <v>43990.363842592589</v>
      </c>
    </row>
    <row r="61" spans="2:7" x14ac:dyDescent="0.35">
      <c r="B61" s="15" t="s">
        <v>1</v>
      </c>
      <c r="C61" s="15">
        <v>1591605840</v>
      </c>
      <c r="D61" s="15">
        <v>215.33</v>
      </c>
      <c r="E61" s="15">
        <v>215.39</v>
      </c>
      <c r="G61" s="19">
        <f t="shared" si="0"/>
        <v>43990.363888888889</v>
      </c>
    </row>
    <row r="62" spans="2:7" x14ac:dyDescent="0.35">
      <c r="B62" s="15" t="s">
        <v>1</v>
      </c>
      <c r="C62" s="15">
        <v>1591605843</v>
      </c>
      <c r="D62" s="15">
        <v>215.33</v>
      </c>
      <c r="E62" s="15">
        <v>215.38</v>
      </c>
      <c r="G62" s="19">
        <f t="shared" si="0"/>
        <v>43990.363923611112</v>
      </c>
    </row>
    <row r="63" spans="2:7" x14ac:dyDescent="0.35">
      <c r="B63" s="15" t="s">
        <v>1</v>
      </c>
      <c r="C63" s="15">
        <v>1591605849</v>
      </c>
      <c r="D63" s="15">
        <v>215.33</v>
      </c>
      <c r="E63" s="15">
        <v>215.39</v>
      </c>
      <c r="G63" s="19">
        <f t="shared" si="0"/>
        <v>43990.363993055551</v>
      </c>
    </row>
    <row r="64" spans="2:7" x14ac:dyDescent="0.35">
      <c r="B64" s="15" t="s">
        <v>1</v>
      </c>
      <c r="C64" s="15">
        <v>1591605869</v>
      </c>
      <c r="D64" s="15">
        <v>215.33</v>
      </c>
      <c r="E64" s="15">
        <v>215.38</v>
      </c>
      <c r="G64" s="19">
        <f t="shared" si="0"/>
        <v>43990.364224537036</v>
      </c>
    </row>
    <row r="65" spans="2:7" x14ac:dyDescent="0.35">
      <c r="B65" s="15" t="s">
        <v>1</v>
      </c>
      <c r="C65" s="15">
        <v>1591605879</v>
      </c>
      <c r="D65" s="15">
        <v>215.33</v>
      </c>
      <c r="E65" s="15">
        <v>215.39</v>
      </c>
      <c r="G65" s="19">
        <f t="shared" si="0"/>
        <v>43990.364340277782</v>
      </c>
    </row>
    <row r="66" spans="2:7" x14ac:dyDescent="0.35">
      <c r="B66" s="15" t="s">
        <v>1</v>
      </c>
      <c r="C66" s="15">
        <v>1591605887</v>
      </c>
      <c r="D66" s="15">
        <v>215.34</v>
      </c>
      <c r="E66" s="15">
        <v>215.39</v>
      </c>
      <c r="G66" s="19">
        <f t="shared" si="0"/>
        <v>43990.364432870367</v>
      </c>
    </row>
    <row r="67" spans="2:7" x14ac:dyDescent="0.35">
      <c r="B67" s="15" t="s">
        <v>1</v>
      </c>
      <c r="C67" s="15">
        <v>1591605890</v>
      </c>
      <c r="D67" s="15">
        <v>215.33</v>
      </c>
      <c r="E67" s="15">
        <v>215.39</v>
      </c>
      <c r="G67" s="19">
        <f t="shared" si="0"/>
        <v>43990.36446759259</v>
      </c>
    </row>
    <row r="68" spans="2:7" x14ac:dyDescent="0.35">
      <c r="B68" s="15" t="s">
        <v>1</v>
      </c>
      <c r="C68" s="15">
        <v>1591605896</v>
      </c>
      <c r="D68" s="15">
        <v>215.34</v>
      </c>
      <c r="E68" s="15">
        <v>215.39</v>
      </c>
      <c r="G68" s="19">
        <f t="shared" si="0"/>
        <v>43990.364537037036</v>
      </c>
    </row>
    <row r="69" spans="2:7" x14ac:dyDescent="0.35">
      <c r="B69" s="15" t="s">
        <v>1</v>
      </c>
      <c r="C69" s="15">
        <v>1591605896</v>
      </c>
      <c r="D69" s="15">
        <v>215.33</v>
      </c>
      <c r="E69" s="15">
        <v>215.39</v>
      </c>
      <c r="G69" s="19">
        <f t="shared" si="0"/>
        <v>43990.364537037036</v>
      </c>
    </row>
    <row r="70" spans="2:7" x14ac:dyDescent="0.35">
      <c r="B70" s="15" t="s">
        <v>1</v>
      </c>
      <c r="C70" s="15">
        <v>1591605898</v>
      </c>
      <c r="D70" s="15">
        <v>215.33</v>
      </c>
      <c r="E70" s="15">
        <v>215.4</v>
      </c>
      <c r="G70" s="19">
        <f t="shared" si="0"/>
        <v>43990.364560185189</v>
      </c>
    </row>
    <row r="71" spans="2:7" x14ac:dyDescent="0.35">
      <c r="B71" s="15" t="s">
        <v>1</v>
      </c>
      <c r="C71" s="15">
        <v>1591605899</v>
      </c>
      <c r="D71" s="15">
        <v>215.34</v>
      </c>
      <c r="E71" s="15">
        <v>215.4</v>
      </c>
      <c r="G71" s="19">
        <f t="shared" si="0"/>
        <v>43990.364571759259</v>
      </c>
    </row>
    <row r="72" spans="2:7" x14ac:dyDescent="0.35">
      <c r="B72" s="15" t="s">
        <v>1</v>
      </c>
      <c r="C72" s="15">
        <v>1591605900</v>
      </c>
      <c r="D72" s="15">
        <v>215.33</v>
      </c>
      <c r="E72" s="15">
        <v>215.4</v>
      </c>
      <c r="G72" s="19">
        <f t="shared" si="0"/>
        <v>43990.364583333328</v>
      </c>
    </row>
    <row r="73" spans="2:7" x14ac:dyDescent="0.35">
      <c r="B73" s="15" t="s">
        <v>1</v>
      </c>
      <c r="C73" s="15">
        <v>1591605906</v>
      </c>
      <c r="D73" s="15">
        <v>215.34</v>
      </c>
      <c r="E73" s="15">
        <v>215.4</v>
      </c>
      <c r="G73" s="19">
        <f t="shared" si="0"/>
        <v>43990.364652777775</v>
      </c>
    </row>
    <row r="74" spans="2:7" x14ac:dyDescent="0.35">
      <c r="B74" s="15" t="s">
        <v>1</v>
      </c>
      <c r="C74" s="15">
        <v>1591605908</v>
      </c>
      <c r="D74" s="15">
        <v>215.34</v>
      </c>
      <c r="E74" s="15">
        <v>215.39</v>
      </c>
      <c r="G74" s="19">
        <f t="shared" si="0"/>
        <v>43990.364675925928</v>
      </c>
    </row>
    <row r="75" spans="2:7" x14ac:dyDescent="0.35">
      <c r="B75" s="15" t="s">
        <v>1</v>
      </c>
      <c r="C75" s="15">
        <v>1591605914</v>
      </c>
      <c r="D75" s="15">
        <v>215.34</v>
      </c>
      <c r="E75" s="15">
        <v>215.38</v>
      </c>
      <c r="G75" s="19">
        <f t="shared" si="0"/>
        <v>43990.364745370374</v>
      </c>
    </row>
    <row r="76" spans="2:7" x14ac:dyDescent="0.35">
      <c r="B76" s="15" t="s">
        <v>1</v>
      </c>
      <c r="C76" s="15">
        <v>1591605915</v>
      </c>
      <c r="D76" s="15">
        <v>215.33</v>
      </c>
      <c r="E76" s="15">
        <v>215.38</v>
      </c>
      <c r="G76" s="19">
        <f t="shared" si="0"/>
        <v>43990.364756944444</v>
      </c>
    </row>
    <row r="77" spans="2:7" x14ac:dyDescent="0.35">
      <c r="B77" s="15" t="s">
        <v>1</v>
      </c>
      <c r="C77" s="15">
        <v>1591605917</v>
      </c>
      <c r="D77" s="15">
        <v>215.33</v>
      </c>
      <c r="E77" s="15">
        <v>215.37</v>
      </c>
      <c r="G77" s="19">
        <f t="shared" si="0"/>
        <v>43990.364780092597</v>
      </c>
    </row>
    <row r="78" spans="2:7" x14ac:dyDescent="0.35">
      <c r="B78" s="15" t="s">
        <v>1</v>
      </c>
      <c r="C78" s="15">
        <v>1591605918</v>
      </c>
      <c r="D78" s="15">
        <v>215.34</v>
      </c>
      <c r="E78" s="15">
        <v>215.39</v>
      </c>
      <c r="G78" s="19">
        <f t="shared" si="0"/>
        <v>43990.364791666667</v>
      </c>
    </row>
    <row r="79" spans="2:7" x14ac:dyDescent="0.35">
      <c r="B79" s="15" t="s">
        <v>1</v>
      </c>
      <c r="C79" s="15">
        <v>1591605918</v>
      </c>
      <c r="D79" s="15">
        <v>215.35</v>
      </c>
      <c r="E79" s="15">
        <v>215.4</v>
      </c>
      <c r="G79" s="19">
        <f t="shared" ref="G79:G142" si="1">IFERROR(TimestampToExcel_2(C79),)</f>
        <v>43990.364791666667</v>
      </c>
    </row>
    <row r="80" spans="2:7" x14ac:dyDescent="0.35">
      <c r="B80" s="15" t="s">
        <v>1</v>
      </c>
      <c r="C80" s="15">
        <v>1591605921</v>
      </c>
      <c r="D80" s="15">
        <v>215.36</v>
      </c>
      <c r="E80" s="15">
        <v>215.4</v>
      </c>
      <c r="G80" s="19">
        <f t="shared" si="1"/>
        <v>43990.36482638889</v>
      </c>
    </row>
    <row r="81" spans="2:7" x14ac:dyDescent="0.35">
      <c r="B81" s="15" t="s">
        <v>1</v>
      </c>
      <c r="C81" s="15">
        <v>1591605921</v>
      </c>
      <c r="D81" s="15">
        <v>215.36</v>
      </c>
      <c r="E81" s="15">
        <v>215.39</v>
      </c>
      <c r="G81" s="19">
        <f t="shared" si="1"/>
        <v>43990.36482638889</v>
      </c>
    </row>
    <row r="82" spans="2:7" x14ac:dyDescent="0.35">
      <c r="B82" s="15" t="s">
        <v>1</v>
      </c>
      <c r="C82" s="15">
        <v>1591605922</v>
      </c>
      <c r="D82" s="15">
        <v>215.36</v>
      </c>
      <c r="E82" s="15">
        <v>215.4</v>
      </c>
      <c r="G82" s="19">
        <f t="shared" si="1"/>
        <v>43990.364837962959</v>
      </c>
    </row>
    <row r="83" spans="2:7" x14ac:dyDescent="0.35">
      <c r="B83" s="15" t="s">
        <v>1</v>
      </c>
      <c r="C83" s="15">
        <v>1591605946</v>
      </c>
      <c r="D83" s="15">
        <v>215.35</v>
      </c>
      <c r="E83" s="15">
        <v>215.4</v>
      </c>
      <c r="G83" s="19">
        <f t="shared" si="1"/>
        <v>43990.365115740744</v>
      </c>
    </row>
    <row r="84" spans="2:7" x14ac:dyDescent="0.35">
      <c r="B84" s="15" t="s">
        <v>1</v>
      </c>
      <c r="C84" s="15">
        <v>1591605947</v>
      </c>
      <c r="D84" s="15">
        <v>215.35</v>
      </c>
      <c r="E84" s="15">
        <v>215.36</v>
      </c>
      <c r="G84" s="19">
        <f t="shared" si="1"/>
        <v>43990.365127314813</v>
      </c>
    </row>
    <row r="85" spans="2:7" x14ac:dyDescent="0.35">
      <c r="B85" s="15" t="s">
        <v>1</v>
      </c>
      <c r="C85" s="15">
        <v>1591605948</v>
      </c>
      <c r="D85" s="15">
        <v>215.36</v>
      </c>
      <c r="E85" s="15">
        <v>215.4</v>
      </c>
      <c r="G85" s="19">
        <f t="shared" si="1"/>
        <v>43990.36513888889</v>
      </c>
    </row>
    <row r="86" spans="2:7" x14ac:dyDescent="0.35">
      <c r="B86" s="15" t="s">
        <v>1</v>
      </c>
      <c r="C86" s="15">
        <v>1591605948</v>
      </c>
      <c r="D86" s="15">
        <v>215.36</v>
      </c>
      <c r="E86" s="15">
        <v>215.42</v>
      </c>
      <c r="G86" s="19">
        <f t="shared" si="1"/>
        <v>43990.36513888889</v>
      </c>
    </row>
    <row r="87" spans="2:7" x14ac:dyDescent="0.35">
      <c r="B87" s="15" t="s">
        <v>1</v>
      </c>
      <c r="C87" s="15">
        <v>1591605948</v>
      </c>
      <c r="D87" s="15">
        <v>215.36</v>
      </c>
      <c r="E87" s="15">
        <v>215.39</v>
      </c>
      <c r="G87" s="19">
        <f t="shared" si="1"/>
        <v>43990.36513888889</v>
      </c>
    </row>
    <row r="88" spans="2:7" x14ac:dyDescent="0.35">
      <c r="B88" s="15" t="s">
        <v>1</v>
      </c>
      <c r="C88" s="15">
        <v>1591605951</v>
      </c>
      <c r="D88" s="15">
        <v>215.36</v>
      </c>
      <c r="E88" s="15">
        <v>215.42</v>
      </c>
      <c r="G88" s="19">
        <f t="shared" si="1"/>
        <v>43990.365173611106</v>
      </c>
    </row>
    <row r="89" spans="2:7" x14ac:dyDescent="0.35">
      <c r="B89" s="15" t="s">
        <v>1</v>
      </c>
      <c r="C89" s="15">
        <v>1591605989</v>
      </c>
      <c r="D89" s="15">
        <v>215.37</v>
      </c>
      <c r="E89" s="15">
        <v>215.42</v>
      </c>
      <c r="G89" s="19">
        <f t="shared" si="1"/>
        <v>43990.365613425922</v>
      </c>
    </row>
    <row r="90" spans="2:7" x14ac:dyDescent="0.35">
      <c r="B90" s="15" t="s">
        <v>1</v>
      </c>
      <c r="C90" s="15">
        <v>1591605990</v>
      </c>
      <c r="D90" s="15">
        <v>215.37</v>
      </c>
      <c r="E90" s="15">
        <v>215.41</v>
      </c>
      <c r="G90" s="19">
        <f t="shared" si="1"/>
        <v>43990.365624999999</v>
      </c>
    </row>
    <row r="91" spans="2:7" x14ac:dyDescent="0.35">
      <c r="B91" s="15" t="s">
        <v>1</v>
      </c>
      <c r="C91" s="15">
        <v>1591605992</v>
      </c>
      <c r="D91" s="15">
        <v>215.37</v>
      </c>
      <c r="E91" s="15">
        <v>215.42</v>
      </c>
      <c r="G91" s="19">
        <f t="shared" si="1"/>
        <v>43990.365648148145</v>
      </c>
    </row>
    <row r="92" spans="2:7" x14ac:dyDescent="0.35">
      <c r="B92" s="15" t="s">
        <v>1</v>
      </c>
      <c r="C92" s="15">
        <v>1591605993</v>
      </c>
      <c r="D92" s="15">
        <v>215.36</v>
      </c>
      <c r="E92" s="15">
        <v>215.42</v>
      </c>
      <c r="G92" s="19">
        <f t="shared" si="1"/>
        <v>43990.365659722222</v>
      </c>
    </row>
    <row r="93" spans="2:7" x14ac:dyDescent="0.35">
      <c r="B93" s="15" t="s">
        <v>1</v>
      </c>
      <c r="C93" s="15">
        <v>1591605997</v>
      </c>
      <c r="D93" s="15">
        <v>215.36</v>
      </c>
      <c r="E93" s="15">
        <v>215.41</v>
      </c>
      <c r="G93" s="19">
        <f t="shared" si="1"/>
        <v>43990.365706018521</v>
      </c>
    </row>
    <row r="94" spans="2:7" x14ac:dyDescent="0.35">
      <c r="B94" s="15" t="s">
        <v>1</v>
      </c>
      <c r="C94" s="15">
        <v>1591605998</v>
      </c>
      <c r="D94" s="15">
        <v>215.36</v>
      </c>
      <c r="E94" s="15">
        <v>215.4</v>
      </c>
      <c r="G94" s="19">
        <f t="shared" si="1"/>
        <v>43990.365717592591</v>
      </c>
    </row>
    <row r="95" spans="2:7" x14ac:dyDescent="0.35">
      <c r="B95" s="15" t="s">
        <v>1</v>
      </c>
      <c r="C95" s="15">
        <v>1591606012</v>
      </c>
      <c r="D95" s="15">
        <v>215.36</v>
      </c>
      <c r="E95" s="15">
        <v>215.39</v>
      </c>
      <c r="G95" s="19">
        <f t="shared" si="1"/>
        <v>43990.365879629629</v>
      </c>
    </row>
    <row r="96" spans="2:7" x14ac:dyDescent="0.35">
      <c r="B96" s="15" t="s">
        <v>1</v>
      </c>
      <c r="C96" s="15">
        <v>1591606016</v>
      </c>
      <c r="D96" s="15">
        <v>215.36</v>
      </c>
      <c r="E96" s="15">
        <v>215.38</v>
      </c>
      <c r="G96" s="19">
        <f t="shared" si="1"/>
        <v>43990.365925925929</v>
      </c>
    </row>
    <row r="97" spans="2:7" x14ac:dyDescent="0.35">
      <c r="B97" s="15" t="s">
        <v>1</v>
      </c>
      <c r="C97" s="15">
        <v>1591606021</v>
      </c>
      <c r="D97" s="15">
        <v>215.37</v>
      </c>
      <c r="E97" s="15">
        <v>215.38</v>
      </c>
      <c r="G97" s="19">
        <f t="shared" si="1"/>
        <v>43990.365983796291</v>
      </c>
    </row>
    <row r="98" spans="2:7" x14ac:dyDescent="0.35">
      <c r="B98" s="15" t="s">
        <v>1</v>
      </c>
      <c r="C98" s="15">
        <v>1591606022</v>
      </c>
      <c r="D98" s="15">
        <v>215.37</v>
      </c>
      <c r="E98" s="15">
        <v>215.39</v>
      </c>
      <c r="G98" s="19">
        <f t="shared" si="1"/>
        <v>43990.365995370375</v>
      </c>
    </row>
    <row r="99" spans="2:7" x14ac:dyDescent="0.35">
      <c r="B99" s="15" t="s">
        <v>1</v>
      </c>
      <c r="C99" s="15">
        <v>1591606038</v>
      </c>
      <c r="D99" s="15">
        <v>215.36</v>
      </c>
      <c r="E99" s="15">
        <v>215.39</v>
      </c>
      <c r="G99" s="19">
        <f t="shared" si="1"/>
        <v>43990.36618055556</v>
      </c>
    </row>
    <row r="100" spans="2:7" x14ac:dyDescent="0.35">
      <c r="B100" s="15" t="s">
        <v>1</v>
      </c>
      <c r="C100" s="15">
        <v>1591606039</v>
      </c>
      <c r="D100" s="15">
        <v>215.36</v>
      </c>
      <c r="E100" s="15">
        <v>215.38</v>
      </c>
      <c r="G100" s="19">
        <f t="shared" si="1"/>
        <v>43990.36619212963</v>
      </c>
    </row>
    <row r="101" spans="2:7" x14ac:dyDescent="0.35">
      <c r="B101" s="15" t="s">
        <v>1</v>
      </c>
      <c r="C101" s="15">
        <v>1591606041</v>
      </c>
      <c r="D101" s="15">
        <v>215.37</v>
      </c>
      <c r="E101" s="15">
        <v>215.38</v>
      </c>
      <c r="G101" s="19">
        <f t="shared" si="1"/>
        <v>43990.366215277776</v>
      </c>
    </row>
    <row r="102" spans="2:7" x14ac:dyDescent="0.35">
      <c r="B102" s="15" t="s">
        <v>1</v>
      </c>
      <c r="C102" s="15">
        <v>1591606049</v>
      </c>
      <c r="D102" s="15">
        <v>215.35</v>
      </c>
      <c r="E102" s="15">
        <v>215.38</v>
      </c>
      <c r="G102" s="19">
        <f t="shared" si="1"/>
        <v>43990.366307870368</v>
      </c>
    </row>
    <row r="103" spans="2:7" x14ac:dyDescent="0.35">
      <c r="B103" s="15" t="s">
        <v>1</v>
      </c>
      <c r="C103" s="15">
        <v>1591606051</v>
      </c>
      <c r="D103" s="15">
        <v>215.36</v>
      </c>
      <c r="E103" s="15">
        <v>215.38</v>
      </c>
      <c r="G103" s="19">
        <f t="shared" si="1"/>
        <v>43990.366331018522</v>
      </c>
    </row>
    <row r="104" spans="2:7" x14ac:dyDescent="0.35">
      <c r="B104" s="15" t="s">
        <v>1</v>
      </c>
      <c r="C104" s="15">
        <v>1591606052</v>
      </c>
      <c r="D104" s="15">
        <v>215.35</v>
      </c>
      <c r="E104" s="15">
        <v>215.38</v>
      </c>
      <c r="G104" s="19">
        <f t="shared" si="1"/>
        <v>43990.366342592592</v>
      </c>
    </row>
    <row r="105" spans="2:7" x14ac:dyDescent="0.35">
      <c r="B105" s="15" t="s">
        <v>1</v>
      </c>
      <c r="C105" s="15">
        <v>1591606052</v>
      </c>
      <c r="D105" s="15">
        <v>215.35</v>
      </c>
      <c r="E105" s="15">
        <v>215.37</v>
      </c>
      <c r="G105" s="19">
        <f t="shared" si="1"/>
        <v>43990.366342592592</v>
      </c>
    </row>
    <row r="106" spans="2:7" x14ac:dyDescent="0.35">
      <c r="B106" s="15" t="s">
        <v>1</v>
      </c>
      <c r="C106" s="15">
        <v>1591606053</v>
      </c>
      <c r="D106" s="15">
        <v>215.36</v>
      </c>
      <c r="E106" s="15">
        <v>215.37</v>
      </c>
      <c r="G106" s="19">
        <f t="shared" si="1"/>
        <v>43990.366354166668</v>
      </c>
    </row>
    <row r="107" spans="2:7" x14ac:dyDescent="0.35">
      <c r="B107" s="15" t="s">
        <v>1</v>
      </c>
      <c r="C107" s="15">
        <v>1591606060</v>
      </c>
      <c r="D107" s="15">
        <v>215.35</v>
      </c>
      <c r="E107" s="15">
        <v>215.37</v>
      </c>
      <c r="G107" s="19">
        <f t="shared" si="1"/>
        <v>43990.366435185184</v>
      </c>
    </row>
    <row r="108" spans="2:7" x14ac:dyDescent="0.35">
      <c r="B108" s="15" t="s">
        <v>1</v>
      </c>
      <c r="C108" s="15">
        <v>1591606061</v>
      </c>
      <c r="D108" s="15">
        <v>215.36</v>
      </c>
      <c r="E108" s="15">
        <v>215.37</v>
      </c>
      <c r="G108" s="19">
        <f t="shared" si="1"/>
        <v>43990.366446759261</v>
      </c>
    </row>
    <row r="109" spans="2:7" x14ac:dyDescent="0.35">
      <c r="B109" s="15" t="s">
        <v>1</v>
      </c>
      <c r="C109" s="15">
        <v>1591606063</v>
      </c>
      <c r="D109" s="15">
        <v>215.36</v>
      </c>
      <c r="E109" s="15">
        <v>215.38</v>
      </c>
      <c r="G109" s="19">
        <f t="shared" si="1"/>
        <v>43990.366469907407</v>
      </c>
    </row>
    <row r="110" spans="2:7" x14ac:dyDescent="0.35">
      <c r="B110" s="15" t="s">
        <v>1</v>
      </c>
      <c r="C110" s="15">
        <v>1591606063</v>
      </c>
      <c r="D110" s="15">
        <v>215.36</v>
      </c>
      <c r="E110" s="15">
        <v>215.37</v>
      </c>
      <c r="G110" s="19">
        <f t="shared" si="1"/>
        <v>43990.366469907407</v>
      </c>
    </row>
    <row r="111" spans="2:7" x14ac:dyDescent="0.35">
      <c r="B111" s="15" t="s">
        <v>1</v>
      </c>
      <c r="C111" s="15">
        <v>1591606066</v>
      </c>
      <c r="D111" s="15">
        <v>215.36</v>
      </c>
      <c r="E111" s="15">
        <v>215.46</v>
      </c>
      <c r="G111" s="19">
        <f t="shared" si="1"/>
        <v>43990.36650462963</v>
      </c>
    </row>
    <row r="112" spans="2:7" x14ac:dyDescent="0.35">
      <c r="B112" s="15" t="s">
        <v>1</v>
      </c>
      <c r="C112" s="15">
        <v>1591606066</v>
      </c>
      <c r="D112" s="15">
        <v>215.37</v>
      </c>
      <c r="E112" s="15">
        <v>215.45</v>
      </c>
      <c r="G112" s="19">
        <f t="shared" si="1"/>
        <v>43990.36650462963</v>
      </c>
    </row>
    <row r="113" spans="2:7" x14ac:dyDescent="0.35">
      <c r="B113" s="15" t="s">
        <v>1</v>
      </c>
      <c r="C113" s="15">
        <v>1591606069</v>
      </c>
      <c r="D113" s="15">
        <v>215.37</v>
      </c>
      <c r="E113" s="15">
        <v>215.44</v>
      </c>
      <c r="G113" s="19">
        <f t="shared" si="1"/>
        <v>43990.366539351853</v>
      </c>
    </row>
    <row r="114" spans="2:7" x14ac:dyDescent="0.35">
      <c r="B114" s="15" t="s">
        <v>1</v>
      </c>
      <c r="C114" s="15">
        <v>1591606070</v>
      </c>
      <c r="D114" s="15">
        <v>215.41</v>
      </c>
      <c r="E114" s="15">
        <v>215.44</v>
      </c>
      <c r="G114" s="19">
        <f t="shared" si="1"/>
        <v>43990.36655092593</v>
      </c>
    </row>
    <row r="115" spans="2:7" x14ac:dyDescent="0.35">
      <c r="B115" s="15" t="s">
        <v>1</v>
      </c>
      <c r="C115" s="15">
        <v>1591606071</v>
      </c>
      <c r="D115" s="15">
        <v>215.41</v>
      </c>
      <c r="E115" s="15">
        <v>215.45</v>
      </c>
      <c r="G115" s="19">
        <f t="shared" si="1"/>
        <v>43990.366562499999</v>
      </c>
    </row>
    <row r="116" spans="2:7" x14ac:dyDescent="0.35">
      <c r="B116" s="15" t="s">
        <v>1</v>
      </c>
      <c r="C116" s="15">
        <v>1591606071</v>
      </c>
      <c r="D116" s="15">
        <v>215.41</v>
      </c>
      <c r="E116" s="15">
        <v>215.46</v>
      </c>
      <c r="G116" s="19">
        <f t="shared" si="1"/>
        <v>43990.366562499999</v>
      </c>
    </row>
    <row r="117" spans="2:7" x14ac:dyDescent="0.35">
      <c r="B117" s="15" t="s">
        <v>1</v>
      </c>
      <c r="C117" s="15">
        <v>1591606073</v>
      </c>
      <c r="D117" s="15">
        <v>215.41</v>
      </c>
      <c r="E117" s="15">
        <v>215.44</v>
      </c>
      <c r="G117" s="19">
        <f t="shared" si="1"/>
        <v>43990.366585648153</v>
      </c>
    </row>
    <row r="118" spans="2:7" x14ac:dyDescent="0.35">
      <c r="B118" s="15" t="s">
        <v>1</v>
      </c>
      <c r="C118" s="15">
        <v>1591606074</v>
      </c>
      <c r="D118" s="15">
        <v>215.41</v>
      </c>
      <c r="E118" s="15">
        <v>215.46</v>
      </c>
      <c r="G118" s="19">
        <f t="shared" si="1"/>
        <v>43990.366597222222</v>
      </c>
    </row>
    <row r="119" spans="2:7" x14ac:dyDescent="0.35">
      <c r="B119" s="15" t="s">
        <v>1</v>
      </c>
      <c r="C119" s="15">
        <v>1591606079</v>
      </c>
      <c r="D119" s="15">
        <v>215.41</v>
      </c>
      <c r="E119" s="15">
        <v>215.45</v>
      </c>
      <c r="G119" s="19">
        <f t="shared" si="1"/>
        <v>43990.366655092592</v>
      </c>
    </row>
    <row r="120" spans="2:7" x14ac:dyDescent="0.35">
      <c r="B120" s="15" t="s">
        <v>1</v>
      </c>
      <c r="C120" s="15">
        <v>1591606080</v>
      </c>
      <c r="D120" s="15">
        <v>215.42</v>
      </c>
      <c r="E120" s="15">
        <v>215.45</v>
      </c>
      <c r="G120" s="19">
        <f t="shared" si="1"/>
        <v>43990.366666666669</v>
      </c>
    </row>
    <row r="121" spans="2:7" x14ac:dyDescent="0.35">
      <c r="B121" s="15" t="s">
        <v>1</v>
      </c>
      <c r="C121" s="15">
        <v>1591606084</v>
      </c>
      <c r="D121" s="15">
        <v>215.41</v>
      </c>
      <c r="E121" s="15">
        <v>215.44</v>
      </c>
      <c r="G121" s="19">
        <f t="shared" si="1"/>
        <v>43990.366712962961</v>
      </c>
    </row>
    <row r="122" spans="2:7" x14ac:dyDescent="0.35">
      <c r="B122" s="15" t="s">
        <v>1</v>
      </c>
      <c r="C122" s="15">
        <v>1591606085</v>
      </c>
      <c r="D122" s="15">
        <v>215.42</v>
      </c>
      <c r="E122" s="15">
        <v>215.44</v>
      </c>
      <c r="G122" s="19">
        <f t="shared" si="1"/>
        <v>43990.366724537038</v>
      </c>
    </row>
    <row r="123" spans="2:7" x14ac:dyDescent="0.35">
      <c r="B123" s="15" t="s">
        <v>1</v>
      </c>
      <c r="C123" s="15">
        <v>1591606085</v>
      </c>
      <c r="D123" s="15">
        <v>215.42</v>
      </c>
      <c r="E123" s="15">
        <v>215.45</v>
      </c>
      <c r="G123" s="19">
        <f t="shared" si="1"/>
        <v>43990.366724537038</v>
      </c>
    </row>
    <row r="124" spans="2:7" x14ac:dyDescent="0.35">
      <c r="B124" s="15" t="s">
        <v>1</v>
      </c>
      <c r="C124" s="15">
        <v>1591606087</v>
      </c>
      <c r="D124" s="15">
        <v>215.41</v>
      </c>
      <c r="E124" s="15">
        <v>215.45</v>
      </c>
      <c r="G124" s="19">
        <f t="shared" si="1"/>
        <v>43990.366747685184</v>
      </c>
    </row>
    <row r="125" spans="2:7" x14ac:dyDescent="0.35">
      <c r="B125" s="15" t="s">
        <v>1</v>
      </c>
      <c r="C125" s="15">
        <v>1591606088</v>
      </c>
      <c r="D125" s="15">
        <v>215.42</v>
      </c>
      <c r="E125" s="15">
        <v>215.45</v>
      </c>
      <c r="G125" s="19">
        <f t="shared" si="1"/>
        <v>43990.366759259261</v>
      </c>
    </row>
    <row r="126" spans="2:7" x14ac:dyDescent="0.35">
      <c r="B126" s="15" t="s">
        <v>1</v>
      </c>
      <c r="C126" s="15">
        <v>1591606091</v>
      </c>
      <c r="D126" s="15">
        <v>215.41</v>
      </c>
      <c r="E126" s="15">
        <v>215.45</v>
      </c>
      <c r="G126" s="19">
        <f t="shared" si="1"/>
        <v>43990.366793981477</v>
      </c>
    </row>
    <row r="127" spans="2:7" x14ac:dyDescent="0.35">
      <c r="B127" s="15" t="s">
        <v>1</v>
      </c>
      <c r="C127" s="15">
        <v>1591606093</v>
      </c>
      <c r="D127" s="15">
        <v>215.42</v>
      </c>
      <c r="E127" s="15">
        <v>215.45</v>
      </c>
      <c r="G127" s="19">
        <f t="shared" si="1"/>
        <v>43990.36681712963</v>
      </c>
    </row>
    <row r="128" spans="2:7" x14ac:dyDescent="0.35">
      <c r="B128" s="15" t="s">
        <v>1</v>
      </c>
      <c r="C128" s="15">
        <v>1591606099</v>
      </c>
      <c r="D128" s="15">
        <v>215.41</v>
      </c>
      <c r="E128" s="15">
        <v>215.45</v>
      </c>
      <c r="G128" s="19">
        <f t="shared" si="1"/>
        <v>43990.366886574076</v>
      </c>
    </row>
    <row r="129" spans="2:7" x14ac:dyDescent="0.35">
      <c r="B129" s="15" t="s">
        <v>1</v>
      </c>
      <c r="C129" s="15">
        <v>1591606125</v>
      </c>
      <c r="D129" s="15">
        <v>215.42</v>
      </c>
      <c r="E129" s="15">
        <v>215.45</v>
      </c>
      <c r="G129" s="19">
        <f t="shared" si="1"/>
        <v>43990.3671875</v>
      </c>
    </row>
    <row r="130" spans="2:7" x14ac:dyDescent="0.35">
      <c r="B130" s="15" t="s">
        <v>1</v>
      </c>
      <c r="C130" s="15">
        <v>1591606130</v>
      </c>
      <c r="D130" s="15">
        <v>215.43</v>
      </c>
      <c r="E130" s="15">
        <v>215.45</v>
      </c>
      <c r="G130" s="19">
        <f t="shared" si="1"/>
        <v>43990.367245370369</v>
      </c>
    </row>
    <row r="131" spans="2:7" x14ac:dyDescent="0.35">
      <c r="B131" s="15" t="s">
        <v>1</v>
      </c>
      <c r="C131" s="15">
        <v>1591606131</v>
      </c>
      <c r="D131" s="15">
        <v>215.44</v>
      </c>
      <c r="E131" s="15">
        <v>215.45</v>
      </c>
      <c r="G131" s="19">
        <f t="shared" si="1"/>
        <v>43990.367256944446</v>
      </c>
    </row>
    <row r="132" spans="2:7" x14ac:dyDescent="0.35">
      <c r="B132" s="15" t="s">
        <v>1</v>
      </c>
      <c r="C132" s="15">
        <v>1591606134</v>
      </c>
      <c r="D132" s="15">
        <v>215.44</v>
      </c>
      <c r="E132" s="15">
        <v>215.46</v>
      </c>
      <c r="G132" s="19">
        <f t="shared" si="1"/>
        <v>43990.367291666669</v>
      </c>
    </row>
    <row r="133" spans="2:7" x14ac:dyDescent="0.35">
      <c r="B133" s="15" t="s">
        <v>1</v>
      </c>
      <c r="C133" s="15">
        <v>1591606137</v>
      </c>
      <c r="D133" s="15">
        <v>215.45</v>
      </c>
      <c r="E133" s="15">
        <v>215.46</v>
      </c>
      <c r="G133" s="19">
        <f t="shared" si="1"/>
        <v>43990.367326388892</v>
      </c>
    </row>
    <row r="134" spans="2:7" x14ac:dyDescent="0.35">
      <c r="B134" s="15" t="s">
        <v>1</v>
      </c>
      <c r="C134" s="15">
        <v>1591606173</v>
      </c>
      <c r="D134" s="15">
        <v>215.41</v>
      </c>
      <c r="E134" s="15">
        <v>215.46</v>
      </c>
      <c r="G134" s="19">
        <f t="shared" si="1"/>
        <v>43990.367743055554</v>
      </c>
    </row>
    <row r="135" spans="2:7" x14ac:dyDescent="0.35">
      <c r="B135" s="15" t="s">
        <v>1</v>
      </c>
      <c r="C135" s="15">
        <v>1591606182</v>
      </c>
      <c r="D135" s="15">
        <v>215.41</v>
      </c>
      <c r="E135" s="15">
        <v>215.45</v>
      </c>
      <c r="G135" s="19">
        <f t="shared" si="1"/>
        <v>43990.367847222224</v>
      </c>
    </row>
    <row r="136" spans="2:7" x14ac:dyDescent="0.35">
      <c r="B136" s="15" t="s">
        <v>1</v>
      </c>
      <c r="C136" s="15">
        <v>1591606183</v>
      </c>
      <c r="D136" s="15">
        <v>215.41</v>
      </c>
      <c r="E136" s="15">
        <v>215.44</v>
      </c>
      <c r="G136" s="19">
        <f t="shared" si="1"/>
        <v>43990.367858796293</v>
      </c>
    </row>
    <row r="137" spans="2:7" x14ac:dyDescent="0.35">
      <c r="B137" s="15" t="s">
        <v>1</v>
      </c>
      <c r="C137" s="15">
        <v>1591606183</v>
      </c>
      <c r="D137" s="15">
        <v>215.41</v>
      </c>
      <c r="E137" s="15">
        <v>215.43</v>
      </c>
      <c r="G137" s="19">
        <f t="shared" si="1"/>
        <v>43990.367858796293</v>
      </c>
    </row>
    <row r="138" spans="2:7" x14ac:dyDescent="0.35">
      <c r="B138" s="15" t="s">
        <v>1</v>
      </c>
      <c r="C138" s="15">
        <v>1591606185</v>
      </c>
      <c r="D138" s="15">
        <v>215.41</v>
      </c>
      <c r="E138" s="15">
        <v>215.42</v>
      </c>
      <c r="G138" s="19">
        <f t="shared" si="1"/>
        <v>43990.367881944447</v>
      </c>
    </row>
    <row r="139" spans="2:7" x14ac:dyDescent="0.35">
      <c r="B139" s="15" t="s">
        <v>1</v>
      </c>
      <c r="C139" s="15">
        <v>1591606247</v>
      </c>
      <c r="D139" s="15">
        <v>215.41</v>
      </c>
      <c r="E139" s="15">
        <v>215.48</v>
      </c>
      <c r="G139" s="19">
        <f t="shared" si="1"/>
        <v>43990.368599537032</v>
      </c>
    </row>
    <row r="140" spans="2:7" x14ac:dyDescent="0.35">
      <c r="B140" s="15" t="s">
        <v>1</v>
      </c>
      <c r="C140" s="15">
        <v>1591606247</v>
      </c>
      <c r="D140" s="15">
        <v>215.42</v>
      </c>
      <c r="E140" s="15">
        <v>215.48</v>
      </c>
      <c r="G140" s="19">
        <f t="shared" si="1"/>
        <v>43990.368599537032</v>
      </c>
    </row>
    <row r="141" spans="2:7" x14ac:dyDescent="0.35">
      <c r="B141" s="15" t="s">
        <v>1</v>
      </c>
      <c r="C141" s="15">
        <v>1591606253</v>
      </c>
      <c r="D141" s="15">
        <v>215.41</v>
      </c>
      <c r="E141" s="15">
        <v>215.48</v>
      </c>
      <c r="G141" s="19">
        <f t="shared" si="1"/>
        <v>43990.368668981479</v>
      </c>
    </row>
    <row r="142" spans="2:7" x14ac:dyDescent="0.35">
      <c r="B142" s="15" t="s">
        <v>1</v>
      </c>
      <c r="C142" s="15">
        <v>1591606254</v>
      </c>
      <c r="D142" s="15">
        <v>215.41</v>
      </c>
      <c r="E142" s="15">
        <v>215.47</v>
      </c>
      <c r="G142" s="19">
        <f t="shared" si="1"/>
        <v>43990.368680555555</v>
      </c>
    </row>
    <row r="143" spans="2:7" x14ac:dyDescent="0.35">
      <c r="B143" s="15" t="s">
        <v>1</v>
      </c>
      <c r="C143" s="15">
        <v>1591606257</v>
      </c>
      <c r="D143" s="15">
        <v>215.41</v>
      </c>
      <c r="E143" s="15">
        <v>215.46</v>
      </c>
      <c r="G143" s="19">
        <f t="shared" ref="G143:G206" si="2">IFERROR(TimestampToExcel_2(C143),)</f>
        <v>43990.368715277778</v>
      </c>
    </row>
    <row r="144" spans="2:7" x14ac:dyDescent="0.35">
      <c r="B144" s="15" t="s">
        <v>1</v>
      </c>
      <c r="C144" s="15">
        <v>1591606260</v>
      </c>
      <c r="D144" s="15">
        <v>215.41</v>
      </c>
      <c r="E144" s="15">
        <v>215.45</v>
      </c>
      <c r="G144" s="19">
        <f t="shared" si="2"/>
        <v>43990.368750000001</v>
      </c>
    </row>
    <row r="145" spans="2:7" x14ac:dyDescent="0.35">
      <c r="B145" s="15" t="s">
        <v>1</v>
      </c>
      <c r="C145" s="15">
        <v>1591606263</v>
      </c>
      <c r="D145" s="15">
        <v>215.41</v>
      </c>
      <c r="E145" s="15">
        <v>215.44</v>
      </c>
      <c r="G145" s="19">
        <f t="shared" si="2"/>
        <v>43990.368784722217</v>
      </c>
    </row>
    <row r="146" spans="2:7" x14ac:dyDescent="0.35">
      <c r="B146" s="15" t="s">
        <v>1</v>
      </c>
      <c r="C146" s="15">
        <v>1591606274</v>
      </c>
      <c r="D146" s="15">
        <v>215.41</v>
      </c>
      <c r="E146" s="15">
        <v>215.43</v>
      </c>
      <c r="G146" s="19">
        <f t="shared" si="2"/>
        <v>43990.36891203704</v>
      </c>
    </row>
    <row r="147" spans="2:7" x14ac:dyDescent="0.35">
      <c r="B147" s="15" t="s">
        <v>1</v>
      </c>
      <c r="C147" s="15">
        <v>1591606276</v>
      </c>
      <c r="D147" s="15">
        <v>215.41</v>
      </c>
      <c r="E147" s="15">
        <v>215.44</v>
      </c>
      <c r="G147" s="19">
        <f t="shared" si="2"/>
        <v>43990.368935185186</v>
      </c>
    </row>
    <row r="148" spans="2:7" x14ac:dyDescent="0.35">
      <c r="B148" s="15" t="s">
        <v>1</v>
      </c>
      <c r="C148" s="15">
        <v>1591606276</v>
      </c>
      <c r="D148" s="15">
        <v>215.42</v>
      </c>
      <c r="E148" s="15">
        <v>215.44</v>
      </c>
      <c r="G148" s="19">
        <f t="shared" si="2"/>
        <v>43990.368935185186</v>
      </c>
    </row>
    <row r="149" spans="2:7" x14ac:dyDescent="0.35">
      <c r="B149" s="15" t="s">
        <v>1</v>
      </c>
      <c r="C149" s="15">
        <v>1591606294</v>
      </c>
      <c r="D149" s="15">
        <v>215.41</v>
      </c>
      <c r="E149" s="15">
        <v>215.44</v>
      </c>
      <c r="G149" s="19">
        <f t="shared" si="2"/>
        <v>43990.369143518517</v>
      </c>
    </row>
    <row r="150" spans="2:7" x14ac:dyDescent="0.35">
      <c r="B150" s="15" t="s">
        <v>1</v>
      </c>
      <c r="C150" s="15">
        <v>1591606300</v>
      </c>
      <c r="D150" s="15">
        <v>215.41</v>
      </c>
      <c r="E150" s="15">
        <v>215.43</v>
      </c>
      <c r="G150" s="19">
        <f t="shared" si="2"/>
        <v>43990.369212962964</v>
      </c>
    </row>
    <row r="151" spans="2:7" x14ac:dyDescent="0.35">
      <c r="B151" s="15" t="s">
        <v>1</v>
      </c>
      <c r="C151" s="15">
        <v>1591606303</v>
      </c>
      <c r="D151" s="15">
        <v>215.41</v>
      </c>
      <c r="E151" s="15">
        <v>215.42</v>
      </c>
      <c r="G151" s="19">
        <f t="shared" si="2"/>
        <v>43990.369247685187</v>
      </c>
    </row>
    <row r="152" spans="2:7" x14ac:dyDescent="0.35">
      <c r="B152" s="15" t="s">
        <v>1</v>
      </c>
      <c r="C152" s="15">
        <v>1591606342</v>
      </c>
      <c r="D152" s="15">
        <v>215.41</v>
      </c>
      <c r="E152" s="15">
        <v>215.44</v>
      </c>
      <c r="G152" s="19">
        <f t="shared" si="2"/>
        <v>43990.369699074072</v>
      </c>
    </row>
    <row r="153" spans="2:7" x14ac:dyDescent="0.35">
      <c r="B153" s="15" t="s">
        <v>1</v>
      </c>
      <c r="C153" s="15">
        <v>1591606343</v>
      </c>
      <c r="D153" s="15">
        <v>215.43</v>
      </c>
      <c r="E153" s="15">
        <v>215.44</v>
      </c>
      <c r="G153" s="19">
        <f t="shared" si="2"/>
        <v>43990.369710648149</v>
      </c>
    </row>
    <row r="154" spans="2:7" x14ac:dyDescent="0.35">
      <c r="B154" s="15" t="s">
        <v>1</v>
      </c>
      <c r="C154" s="15">
        <v>1591606363</v>
      </c>
      <c r="D154" s="15">
        <v>215.43</v>
      </c>
      <c r="E154" s="15">
        <v>215.45</v>
      </c>
      <c r="G154" s="19">
        <f t="shared" si="2"/>
        <v>43990.369942129633</v>
      </c>
    </row>
    <row r="155" spans="2:7" x14ac:dyDescent="0.35">
      <c r="B155" s="15" t="s">
        <v>1</v>
      </c>
      <c r="C155" s="15">
        <v>1591606364</v>
      </c>
      <c r="D155" s="15">
        <v>215.43</v>
      </c>
      <c r="E155" s="15">
        <v>215.47</v>
      </c>
      <c r="G155" s="19">
        <f t="shared" si="2"/>
        <v>43990.369953703703</v>
      </c>
    </row>
    <row r="156" spans="2:7" x14ac:dyDescent="0.35">
      <c r="B156" s="15" t="s">
        <v>1</v>
      </c>
      <c r="C156" s="15">
        <v>1591606364</v>
      </c>
      <c r="D156" s="15">
        <v>215.43</v>
      </c>
      <c r="E156" s="15">
        <v>215.44</v>
      </c>
      <c r="G156" s="19">
        <f t="shared" si="2"/>
        <v>43990.369953703703</v>
      </c>
    </row>
    <row r="157" spans="2:7" x14ac:dyDescent="0.35">
      <c r="B157" s="15" t="s">
        <v>1</v>
      </c>
      <c r="C157" s="15">
        <v>1591606372</v>
      </c>
      <c r="D157" s="15">
        <v>215.43</v>
      </c>
      <c r="E157" s="15">
        <v>215.48</v>
      </c>
      <c r="G157" s="19">
        <f t="shared" si="2"/>
        <v>43990.370046296295</v>
      </c>
    </row>
    <row r="158" spans="2:7" x14ac:dyDescent="0.35">
      <c r="B158" s="15" t="s">
        <v>1</v>
      </c>
      <c r="C158" s="15">
        <v>1591606373</v>
      </c>
      <c r="D158" s="15">
        <v>215.43</v>
      </c>
      <c r="E158" s="15">
        <v>215.47</v>
      </c>
      <c r="G158" s="19">
        <f t="shared" si="2"/>
        <v>43990.370057870372</v>
      </c>
    </row>
    <row r="159" spans="2:7" x14ac:dyDescent="0.35">
      <c r="B159" s="15" t="s">
        <v>1</v>
      </c>
      <c r="C159" s="15">
        <v>1591606374</v>
      </c>
      <c r="D159" s="15">
        <v>215.43</v>
      </c>
      <c r="E159" s="15">
        <v>215.46</v>
      </c>
      <c r="G159" s="19">
        <f t="shared" si="2"/>
        <v>43990.370069444441</v>
      </c>
    </row>
    <row r="160" spans="2:7" x14ac:dyDescent="0.35">
      <c r="B160" s="15" t="s">
        <v>1</v>
      </c>
      <c r="C160" s="15">
        <v>1591606376</v>
      </c>
      <c r="D160" s="15">
        <v>215.43</v>
      </c>
      <c r="E160" s="15">
        <v>215.45</v>
      </c>
      <c r="G160" s="19">
        <f t="shared" si="2"/>
        <v>43990.370092592595</v>
      </c>
    </row>
    <row r="161" spans="2:7" x14ac:dyDescent="0.35">
      <c r="B161" s="15" t="s">
        <v>1</v>
      </c>
      <c r="C161" s="15">
        <v>1591606377</v>
      </c>
      <c r="D161" s="15">
        <v>215.43</v>
      </c>
      <c r="E161" s="15">
        <v>215.44</v>
      </c>
      <c r="G161" s="19">
        <f t="shared" si="2"/>
        <v>43990.370104166665</v>
      </c>
    </row>
    <row r="162" spans="2:7" x14ac:dyDescent="0.35">
      <c r="B162" s="15" t="s">
        <v>1</v>
      </c>
      <c r="C162" s="15">
        <v>1591606379</v>
      </c>
      <c r="D162" s="15">
        <v>215.32</v>
      </c>
      <c r="E162" s="15">
        <v>215.43</v>
      </c>
      <c r="G162" s="19">
        <f t="shared" si="2"/>
        <v>43990.370127314818</v>
      </c>
    </row>
    <row r="163" spans="2:7" x14ac:dyDescent="0.35">
      <c r="B163" s="15" t="s">
        <v>1</v>
      </c>
      <c r="C163" s="15">
        <v>1591606379</v>
      </c>
      <c r="D163" s="15">
        <v>215.36</v>
      </c>
      <c r="E163" s="15">
        <v>215.43</v>
      </c>
      <c r="G163" s="19">
        <f t="shared" si="2"/>
        <v>43990.370127314818</v>
      </c>
    </row>
    <row r="164" spans="2:7" x14ac:dyDescent="0.35">
      <c r="B164" s="15" t="s">
        <v>1</v>
      </c>
      <c r="C164" s="15">
        <v>1591606379</v>
      </c>
      <c r="D164" s="15">
        <v>215.36</v>
      </c>
      <c r="E164" s="15">
        <v>215.42</v>
      </c>
      <c r="G164" s="19">
        <f t="shared" si="2"/>
        <v>43990.370127314818</v>
      </c>
    </row>
    <row r="165" spans="2:7" x14ac:dyDescent="0.35">
      <c r="B165" s="15" t="s">
        <v>1</v>
      </c>
      <c r="C165" s="15">
        <v>1591606382</v>
      </c>
      <c r="D165" s="15">
        <v>215.36</v>
      </c>
      <c r="E165" s="15">
        <v>215.41</v>
      </c>
      <c r="G165" s="19">
        <f t="shared" si="2"/>
        <v>43990.370162037041</v>
      </c>
    </row>
    <row r="166" spans="2:7" x14ac:dyDescent="0.35">
      <c r="B166" s="15" t="s">
        <v>1</v>
      </c>
      <c r="C166" s="15">
        <v>1591606383</v>
      </c>
      <c r="D166" s="15">
        <v>215.36</v>
      </c>
      <c r="E166" s="15">
        <v>215.4</v>
      </c>
      <c r="G166" s="19">
        <f t="shared" si="2"/>
        <v>43990.370173611111</v>
      </c>
    </row>
    <row r="167" spans="2:7" x14ac:dyDescent="0.35">
      <c r="B167" s="15" t="s">
        <v>1</v>
      </c>
      <c r="C167" s="15">
        <v>1591606387</v>
      </c>
      <c r="D167" s="15">
        <v>215.36</v>
      </c>
      <c r="E167" s="15">
        <v>215.39</v>
      </c>
      <c r="G167" s="19">
        <f t="shared" si="2"/>
        <v>43990.370219907403</v>
      </c>
    </row>
    <row r="168" spans="2:7" x14ac:dyDescent="0.35">
      <c r="B168" s="15" t="s">
        <v>1</v>
      </c>
      <c r="C168" s="15">
        <v>1591606388</v>
      </c>
      <c r="D168" s="15">
        <v>215.32</v>
      </c>
      <c r="E168" s="15">
        <v>215.39</v>
      </c>
      <c r="G168" s="19">
        <f t="shared" si="2"/>
        <v>43990.37023148148</v>
      </c>
    </row>
    <row r="169" spans="2:7" x14ac:dyDescent="0.35">
      <c r="B169" s="15" t="s">
        <v>1</v>
      </c>
      <c r="C169" s="15">
        <v>1591606389</v>
      </c>
      <c r="D169" s="15">
        <v>215.33</v>
      </c>
      <c r="E169" s="15">
        <v>215.39</v>
      </c>
      <c r="G169" s="19">
        <f t="shared" si="2"/>
        <v>43990.370243055557</v>
      </c>
    </row>
    <row r="170" spans="2:7" x14ac:dyDescent="0.35">
      <c r="B170" s="15" t="s">
        <v>1</v>
      </c>
      <c r="C170" s="15">
        <v>1591606392</v>
      </c>
      <c r="D170" s="15">
        <v>215.33</v>
      </c>
      <c r="E170" s="15">
        <v>215.38</v>
      </c>
      <c r="G170" s="19">
        <f t="shared" si="2"/>
        <v>43990.37027777778</v>
      </c>
    </row>
    <row r="171" spans="2:7" x14ac:dyDescent="0.35">
      <c r="B171" s="15" t="s">
        <v>1</v>
      </c>
      <c r="C171" s="15">
        <v>1591606394</v>
      </c>
      <c r="D171" s="15">
        <v>215.33</v>
      </c>
      <c r="E171" s="15">
        <v>215.37</v>
      </c>
      <c r="G171" s="19">
        <f t="shared" si="2"/>
        <v>43990.370300925926</v>
      </c>
    </row>
    <row r="172" spans="2:7" x14ac:dyDescent="0.35">
      <c r="B172" s="15" t="s">
        <v>1</v>
      </c>
      <c r="C172" s="15">
        <v>1591606394</v>
      </c>
      <c r="D172" s="15">
        <v>215.32</v>
      </c>
      <c r="E172" s="15">
        <v>215.37</v>
      </c>
      <c r="G172" s="19">
        <f t="shared" si="2"/>
        <v>43990.370300925926</v>
      </c>
    </row>
    <row r="173" spans="2:7" x14ac:dyDescent="0.35">
      <c r="B173" s="15" t="s">
        <v>1</v>
      </c>
      <c r="C173" s="15">
        <v>1591606396</v>
      </c>
      <c r="D173" s="15">
        <v>215.33</v>
      </c>
      <c r="E173" s="15">
        <v>215.37</v>
      </c>
      <c r="G173" s="19">
        <f t="shared" si="2"/>
        <v>43990.370324074072</v>
      </c>
    </row>
    <row r="174" spans="2:7" x14ac:dyDescent="0.35">
      <c r="B174" s="15" t="s">
        <v>1</v>
      </c>
      <c r="C174" s="15">
        <v>1591606398</v>
      </c>
      <c r="D174" s="15">
        <v>215.33</v>
      </c>
      <c r="E174" s="15">
        <v>215.39</v>
      </c>
      <c r="G174" s="19">
        <f t="shared" si="2"/>
        <v>43990.370347222226</v>
      </c>
    </row>
    <row r="175" spans="2:7" x14ac:dyDescent="0.35">
      <c r="B175" s="15" t="s">
        <v>1</v>
      </c>
      <c r="C175" s="15">
        <v>1591606398</v>
      </c>
      <c r="D175" s="15">
        <v>215.34</v>
      </c>
      <c r="E175" s="15">
        <v>215.39</v>
      </c>
      <c r="G175" s="19">
        <f t="shared" si="2"/>
        <v>43990.370347222226</v>
      </c>
    </row>
    <row r="176" spans="2:7" x14ac:dyDescent="0.35">
      <c r="B176" s="15" t="s">
        <v>1</v>
      </c>
      <c r="C176" s="15">
        <v>1591606399</v>
      </c>
      <c r="D176" s="15">
        <v>215.34</v>
      </c>
      <c r="E176" s="15">
        <v>215.38</v>
      </c>
      <c r="G176" s="19">
        <f t="shared" si="2"/>
        <v>43990.370358796295</v>
      </c>
    </row>
    <row r="177" spans="2:7" x14ac:dyDescent="0.35">
      <c r="B177" s="15" t="s">
        <v>1</v>
      </c>
      <c r="C177" s="15">
        <v>1591606399</v>
      </c>
      <c r="D177" s="15">
        <v>215.32</v>
      </c>
      <c r="E177" s="15">
        <v>215.38</v>
      </c>
      <c r="G177" s="19">
        <f t="shared" si="2"/>
        <v>43990.370358796295</v>
      </c>
    </row>
    <row r="178" spans="2:7" x14ac:dyDescent="0.35">
      <c r="B178" s="15" t="s">
        <v>1</v>
      </c>
      <c r="C178" s="15">
        <v>1591606399</v>
      </c>
      <c r="D178" s="15">
        <v>215.32</v>
      </c>
      <c r="E178" s="15">
        <v>215.39</v>
      </c>
      <c r="G178" s="19">
        <f t="shared" si="2"/>
        <v>43990.370358796295</v>
      </c>
    </row>
    <row r="179" spans="2:7" x14ac:dyDescent="0.35">
      <c r="B179" s="15" t="s">
        <v>1</v>
      </c>
      <c r="C179" s="15">
        <v>1591606400</v>
      </c>
      <c r="D179" s="15">
        <v>215.33</v>
      </c>
      <c r="E179" s="15">
        <v>215.39</v>
      </c>
      <c r="G179" s="19">
        <f t="shared" si="2"/>
        <v>43990.370370370365</v>
      </c>
    </row>
    <row r="180" spans="2:7" x14ac:dyDescent="0.35">
      <c r="B180" s="15" t="s">
        <v>1</v>
      </c>
      <c r="C180" s="15">
        <v>1591606404</v>
      </c>
      <c r="D180" s="15">
        <v>215.33</v>
      </c>
      <c r="E180" s="15">
        <v>215.38</v>
      </c>
      <c r="G180" s="19">
        <f t="shared" si="2"/>
        <v>43990.370416666672</v>
      </c>
    </row>
    <row r="181" spans="2:7" x14ac:dyDescent="0.35">
      <c r="B181" s="15" t="s">
        <v>1</v>
      </c>
      <c r="C181" s="15">
        <v>1591606408</v>
      </c>
      <c r="D181" s="15">
        <v>215.33</v>
      </c>
      <c r="E181" s="15">
        <v>215.39</v>
      </c>
      <c r="G181" s="19">
        <f t="shared" si="2"/>
        <v>43990.370462962965</v>
      </c>
    </row>
    <row r="182" spans="2:7" x14ac:dyDescent="0.35">
      <c r="B182" s="15" t="s">
        <v>1</v>
      </c>
      <c r="C182" s="15">
        <v>1591606408</v>
      </c>
      <c r="D182" s="15">
        <v>215.32</v>
      </c>
      <c r="E182" s="15">
        <v>215.37</v>
      </c>
      <c r="G182" s="19">
        <f t="shared" si="2"/>
        <v>43990.370462962965</v>
      </c>
    </row>
    <row r="183" spans="2:7" x14ac:dyDescent="0.35">
      <c r="B183" s="15" t="s">
        <v>1</v>
      </c>
      <c r="C183" s="15">
        <v>1591606410</v>
      </c>
      <c r="D183" s="15">
        <v>215.32</v>
      </c>
      <c r="E183" s="15">
        <v>215.39</v>
      </c>
      <c r="G183" s="19">
        <f t="shared" si="2"/>
        <v>43990.370486111111</v>
      </c>
    </row>
    <row r="184" spans="2:7" x14ac:dyDescent="0.35">
      <c r="B184" s="15" t="s">
        <v>1</v>
      </c>
      <c r="C184" s="15">
        <v>1591606410</v>
      </c>
      <c r="D184" s="15">
        <v>215.33</v>
      </c>
      <c r="E184" s="15">
        <v>215.39</v>
      </c>
      <c r="G184" s="19">
        <f t="shared" si="2"/>
        <v>43990.370486111111</v>
      </c>
    </row>
    <row r="185" spans="2:7" x14ac:dyDescent="0.35">
      <c r="B185" s="15" t="s">
        <v>1</v>
      </c>
      <c r="C185" s="15">
        <v>1591606412</v>
      </c>
      <c r="D185" s="15">
        <v>215.33</v>
      </c>
      <c r="E185" s="15">
        <v>215.38</v>
      </c>
      <c r="G185" s="19">
        <f t="shared" si="2"/>
        <v>43990.370509259257</v>
      </c>
    </row>
    <row r="186" spans="2:7" x14ac:dyDescent="0.35">
      <c r="B186" s="15" t="s">
        <v>1</v>
      </c>
      <c r="C186" s="15">
        <v>1591606413</v>
      </c>
      <c r="D186" s="15">
        <v>215.33</v>
      </c>
      <c r="E186" s="15">
        <v>215.39</v>
      </c>
      <c r="G186" s="19">
        <f t="shared" si="2"/>
        <v>43990.370520833334</v>
      </c>
    </row>
    <row r="187" spans="2:7" x14ac:dyDescent="0.35">
      <c r="B187" s="15" t="s">
        <v>1</v>
      </c>
      <c r="C187" s="15">
        <v>1591606413</v>
      </c>
      <c r="D187" s="15">
        <v>215.32</v>
      </c>
      <c r="E187" s="15">
        <v>215.39</v>
      </c>
      <c r="G187" s="19">
        <f t="shared" si="2"/>
        <v>43990.370520833334</v>
      </c>
    </row>
    <row r="188" spans="2:7" x14ac:dyDescent="0.35">
      <c r="B188" s="15" t="s">
        <v>1</v>
      </c>
      <c r="C188" s="15">
        <v>1591606414</v>
      </c>
      <c r="D188" s="15">
        <v>215.32</v>
      </c>
      <c r="E188" s="15">
        <v>215.38</v>
      </c>
      <c r="G188" s="19">
        <f t="shared" si="2"/>
        <v>43990.370532407411</v>
      </c>
    </row>
    <row r="189" spans="2:7" x14ac:dyDescent="0.35">
      <c r="B189" s="15" t="s">
        <v>1</v>
      </c>
      <c r="C189" s="15">
        <v>1591606415</v>
      </c>
      <c r="D189" s="15">
        <v>215.32</v>
      </c>
      <c r="E189" s="15">
        <v>215.39</v>
      </c>
      <c r="G189" s="19">
        <f t="shared" si="2"/>
        <v>43990.37054398148</v>
      </c>
    </row>
    <row r="190" spans="2:7" x14ac:dyDescent="0.35">
      <c r="B190" s="15" t="s">
        <v>1</v>
      </c>
      <c r="C190" s="15">
        <v>1591606418</v>
      </c>
      <c r="D190" s="15">
        <v>215.32</v>
      </c>
      <c r="E190" s="15">
        <v>215.38</v>
      </c>
      <c r="G190" s="19">
        <f t="shared" si="2"/>
        <v>43990.370578703703</v>
      </c>
    </row>
    <row r="191" spans="2:7" x14ac:dyDescent="0.35">
      <c r="B191" s="15" t="s">
        <v>1</v>
      </c>
      <c r="C191" s="15">
        <v>1591606419</v>
      </c>
      <c r="D191" s="15">
        <v>215.32</v>
      </c>
      <c r="E191" s="15">
        <v>215.39</v>
      </c>
      <c r="G191" s="19">
        <f t="shared" si="2"/>
        <v>43990.370590277773</v>
      </c>
    </row>
    <row r="192" spans="2:7" x14ac:dyDescent="0.35">
      <c r="B192" s="15" t="s">
        <v>1</v>
      </c>
      <c r="C192" s="15">
        <v>1591606425</v>
      </c>
      <c r="D192" s="15">
        <v>215.32</v>
      </c>
      <c r="E192" s="15">
        <v>215.38</v>
      </c>
      <c r="G192" s="19">
        <f t="shared" si="2"/>
        <v>43990.370659722219</v>
      </c>
    </row>
    <row r="193" spans="2:7" x14ac:dyDescent="0.35">
      <c r="B193" s="15" t="s">
        <v>1</v>
      </c>
      <c r="C193" s="15">
        <v>1591606425</v>
      </c>
      <c r="D193" s="15">
        <v>215.32</v>
      </c>
      <c r="E193" s="15">
        <v>215.37</v>
      </c>
      <c r="G193" s="19">
        <f t="shared" si="2"/>
        <v>43990.370659722219</v>
      </c>
    </row>
    <row r="194" spans="2:7" x14ac:dyDescent="0.35">
      <c r="B194" s="15" t="s">
        <v>1</v>
      </c>
      <c r="C194" s="15">
        <v>1591606427</v>
      </c>
      <c r="D194" s="15">
        <v>215.32</v>
      </c>
      <c r="E194" s="15">
        <v>215.38</v>
      </c>
      <c r="G194" s="19">
        <f t="shared" si="2"/>
        <v>43990.370682870373</v>
      </c>
    </row>
    <row r="195" spans="2:7" x14ac:dyDescent="0.35">
      <c r="B195" s="15" t="s">
        <v>1</v>
      </c>
      <c r="C195" s="15">
        <v>1591606427</v>
      </c>
      <c r="D195" s="15">
        <v>215.33</v>
      </c>
      <c r="E195" s="15">
        <v>215.38</v>
      </c>
      <c r="G195" s="19">
        <f t="shared" si="2"/>
        <v>43990.370682870373</v>
      </c>
    </row>
    <row r="196" spans="2:7" x14ac:dyDescent="0.35">
      <c r="B196" s="15" t="s">
        <v>1</v>
      </c>
      <c r="C196" s="15">
        <v>1591606428</v>
      </c>
      <c r="D196" s="15">
        <v>215.33</v>
      </c>
      <c r="E196" s="15">
        <v>215.39</v>
      </c>
      <c r="G196" s="19">
        <f t="shared" si="2"/>
        <v>43990.370694444442</v>
      </c>
    </row>
    <row r="197" spans="2:7" x14ac:dyDescent="0.35">
      <c r="B197" s="15" t="s">
        <v>1</v>
      </c>
      <c r="C197" s="15">
        <v>1591606428</v>
      </c>
      <c r="D197" s="15">
        <v>215.33</v>
      </c>
      <c r="E197" s="15">
        <v>215.38</v>
      </c>
      <c r="G197" s="19">
        <f t="shared" si="2"/>
        <v>43990.370694444442</v>
      </c>
    </row>
    <row r="198" spans="2:7" x14ac:dyDescent="0.35">
      <c r="B198" s="15" t="s">
        <v>1</v>
      </c>
      <c r="C198" s="15">
        <v>1591606429</v>
      </c>
      <c r="D198" s="15">
        <v>215.33</v>
      </c>
      <c r="E198" s="15">
        <v>215.39</v>
      </c>
      <c r="G198" s="19">
        <f t="shared" si="2"/>
        <v>43990.370706018519</v>
      </c>
    </row>
    <row r="199" spans="2:7" x14ac:dyDescent="0.35">
      <c r="B199" s="15" t="s">
        <v>1</v>
      </c>
      <c r="C199" s="15">
        <v>1591606432</v>
      </c>
      <c r="D199" s="15">
        <v>215.32</v>
      </c>
      <c r="E199" s="15">
        <v>215.39</v>
      </c>
      <c r="G199" s="19">
        <f t="shared" si="2"/>
        <v>43990.370740740742</v>
      </c>
    </row>
    <row r="200" spans="2:7" x14ac:dyDescent="0.35">
      <c r="B200" s="15" t="s">
        <v>1</v>
      </c>
      <c r="C200" s="15">
        <v>1591606434</v>
      </c>
      <c r="D200" s="15">
        <v>215.32</v>
      </c>
      <c r="E200" s="15">
        <v>215.36</v>
      </c>
      <c r="G200" s="19">
        <f t="shared" si="2"/>
        <v>43990.370763888888</v>
      </c>
    </row>
    <row r="201" spans="2:7" x14ac:dyDescent="0.35">
      <c r="B201" s="15" t="s">
        <v>1</v>
      </c>
      <c r="C201" s="15">
        <v>1591606435</v>
      </c>
      <c r="D201" s="15">
        <v>215.33</v>
      </c>
      <c r="E201" s="15">
        <v>215.36</v>
      </c>
      <c r="G201" s="19">
        <f t="shared" si="2"/>
        <v>43990.370775462958</v>
      </c>
    </row>
    <row r="202" spans="2:7" x14ac:dyDescent="0.35">
      <c r="B202" s="15" t="s">
        <v>1</v>
      </c>
      <c r="C202" s="15">
        <v>1591606436</v>
      </c>
      <c r="D202" s="15">
        <v>215.32</v>
      </c>
      <c r="E202" s="15">
        <v>215.36</v>
      </c>
      <c r="G202" s="19">
        <f t="shared" si="2"/>
        <v>43990.370787037042</v>
      </c>
    </row>
    <row r="203" spans="2:7" x14ac:dyDescent="0.35">
      <c r="B203" s="15" t="s">
        <v>1</v>
      </c>
      <c r="C203" s="15">
        <v>1591606440</v>
      </c>
      <c r="D203" s="15">
        <v>215.33</v>
      </c>
      <c r="E203" s="15">
        <v>215.36</v>
      </c>
      <c r="G203" s="19">
        <f t="shared" si="2"/>
        <v>43990.370833333334</v>
      </c>
    </row>
    <row r="204" spans="2:7" x14ac:dyDescent="0.35">
      <c r="B204" s="15" t="s">
        <v>1</v>
      </c>
      <c r="C204" s="15">
        <v>1591606460</v>
      </c>
      <c r="D204" s="15">
        <v>215.34</v>
      </c>
      <c r="E204" s="15">
        <v>215.36</v>
      </c>
      <c r="G204" s="19">
        <f t="shared" si="2"/>
        <v>43990.371064814812</v>
      </c>
    </row>
    <row r="205" spans="2:7" x14ac:dyDescent="0.35">
      <c r="B205" s="15" t="s">
        <v>1</v>
      </c>
      <c r="C205" s="15">
        <v>1591606471</v>
      </c>
      <c r="D205" s="15">
        <v>215.35</v>
      </c>
      <c r="E205" s="15">
        <v>215.36</v>
      </c>
      <c r="G205" s="19">
        <f t="shared" si="2"/>
        <v>43990.371192129634</v>
      </c>
    </row>
    <row r="206" spans="2:7" x14ac:dyDescent="0.35">
      <c r="B206" s="15" t="s">
        <v>1</v>
      </c>
      <c r="C206" s="15">
        <v>1591606607</v>
      </c>
      <c r="D206" s="15">
        <v>215.32</v>
      </c>
      <c r="E206" s="15">
        <v>215.36</v>
      </c>
      <c r="G206" s="19">
        <f t="shared" si="2"/>
        <v>43990.372766203705</v>
      </c>
    </row>
    <row r="207" spans="2:7" x14ac:dyDescent="0.35">
      <c r="B207" s="15" t="s">
        <v>1</v>
      </c>
      <c r="C207" s="15">
        <v>1591606607</v>
      </c>
      <c r="D207" s="15">
        <v>215.34</v>
      </c>
      <c r="E207" s="15">
        <v>215.36</v>
      </c>
      <c r="G207" s="19">
        <f t="shared" ref="G207:G213" si="3">IFERROR(TimestampToExcel_2(C207),)</f>
        <v>43990.372766203705</v>
      </c>
    </row>
    <row r="208" spans="2:7" x14ac:dyDescent="0.35">
      <c r="B208" s="15" t="s">
        <v>1</v>
      </c>
      <c r="C208" s="15">
        <v>1591606611</v>
      </c>
      <c r="D208" s="15">
        <v>215.34</v>
      </c>
      <c r="E208" s="15">
        <v>215.35</v>
      </c>
      <c r="G208" s="19">
        <f t="shared" si="3"/>
        <v>43990.372812500005</v>
      </c>
    </row>
    <row r="209" spans="2:7" x14ac:dyDescent="0.35">
      <c r="B209" s="15" t="s">
        <v>1</v>
      </c>
      <c r="C209" s="15">
        <v>1591606621</v>
      </c>
      <c r="D209" s="15">
        <v>215.34</v>
      </c>
      <c r="E209" s="15">
        <v>215.36</v>
      </c>
      <c r="G209" s="19">
        <f t="shared" si="3"/>
        <v>43990.372928240744</v>
      </c>
    </row>
    <row r="210" spans="2:7" x14ac:dyDescent="0.35">
      <c r="B210" s="15" t="s">
        <v>1</v>
      </c>
      <c r="C210" s="15">
        <v>1591606631</v>
      </c>
      <c r="D210" s="15">
        <v>215.35</v>
      </c>
      <c r="E210" s="15">
        <v>215.36</v>
      </c>
      <c r="G210" s="19">
        <f t="shared" si="3"/>
        <v>43990.373043981483</v>
      </c>
    </row>
    <row r="211" spans="2:7" x14ac:dyDescent="0.35">
      <c r="B211" s="15" t="s">
        <v>1</v>
      </c>
      <c r="C211" s="15">
        <v>1591606640</v>
      </c>
      <c r="D211" s="15">
        <v>215.34</v>
      </c>
      <c r="E211" s="15">
        <v>215.36</v>
      </c>
      <c r="G211" s="19">
        <f t="shared" si="3"/>
        <v>43990.373148148152</v>
      </c>
    </row>
    <row r="212" spans="2:7" x14ac:dyDescent="0.35">
      <c r="B212" s="15" t="s">
        <v>1</v>
      </c>
      <c r="C212" s="15">
        <v>1591606641</v>
      </c>
      <c r="D212" s="15">
        <v>215.35</v>
      </c>
      <c r="E212" s="15">
        <v>215.36</v>
      </c>
      <c r="G212" s="19">
        <f t="shared" si="3"/>
        <v>43990.373159722221</v>
      </c>
    </row>
    <row r="213" spans="2:7" x14ac:dyDescent="0.35">
      <c r="B213" s="15" t="s">
        <v>1</v>
      </c>
      <c r="C213" s="15">
        <v>1591606872</v>
      </c>
      <c r="D213" s="15">
        <v>215.47</v>
      </c>
      <c r="E213" s="15">
        <v>215.49</v>
      </c>
      <c r="G213" s="19">
        <f t="shared" si="3"/>
        <v>43990.375833333332</v>
      </c>
    </row>
  </sheetData>
  <hyperlinks>
    <hyperlink ref="B10" location="'Kraken Spread'!B10" display="Get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Kraken GetCurrentPrice</vt:lpstr>
      <vt:lpstr>Kraken Time</vt:lpstr>
      <vt:lpstr>Kraken AssetInfos</vt:lpstr>
      <vt:lpstr>Kraken AssetPairs</vt:lpstr>
      <vt:lpstr>Kraken Ticker</vt:lpstr>
      <vt:lpstr>Kraken OHLC data</vt:lpstr>
      <vt:lpstr>Kraken OrderBook</vt:lpstr>
      <vt:lpstr>Kraken RecentTrades</vt:lpstr>
      <vt:lpstr>Kraken Spread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2020-06-05T11:39:51Z</dcterms:created>
  <dcterms:modified xsi:type="dcterms:W3CDTF">2020-06-08T10:01:54Z</dcterms:modified>
</cp:coreProperties>
</file>