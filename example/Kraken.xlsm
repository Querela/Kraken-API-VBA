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13" activeTab="15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  <sheet name="Kraken P Account Balance" sheetId="10" r:id="rId10"/>
    <sheet name="Kraken P Trade Balance" sheetId="11" r:id="rId11"/>
    <sheet name="Kraken P Open Orders" sheetId="12" r:id="rId12"/>
    <sheet name="Kraken P Closed Orders" sheetId="13" r:id="rId13"/>
    <sheet name="Kraken P Query OrdersInfo" sheetId="14" r:id="rId14"/>
    <sheet name="Kraken P Trade History" sheetId="15" r:id="rId15"/>
    <sheet name="Kraken P Query TradesInfo" sheetId="16" r:id="rId1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D10" i="15"/>
  <c r="D9" i="15"/>
  <c r="D10" i="13"/>
  <c r="D10" i="12"/>
  <c r="D9" i="12"/>
  <c r="D10" i="10"/>
  <c r="D10" i="11"/>
  <c r="D9" i="13"/>
  <c r="D9" i="11"/>
  <c r="D9" i="14"/>
  <c r="D10" i="14"/>
  <c r="D10" i="16"/>
  <c r="D9" i="16"/>
  <c r="M10" i="6" l="1"/>
  <c r="G92" i="9"/>
  <c r="G31" i="9"/>
  <c r="G187" i="9"/>
  <c r="G177" i="9"/>
  <c r="G204" i="9"/>
  <c r="G25" i="9"/>
  <c r="G29" i="9"/>
  <c r="G127" i="9"/>
  <c r="G183" i="9"/>
  <c r="G107" i="9"/>
  <c r="G136" i="9"/>
  <c r="G199" i="9"/>
  <c r="G112" i="9"/>
  <c r="G212" i="9"/>
  <c r="G179" i="9"/>
  <c r="G93" i="9"/>
  <c r="G133" i="9"/>
  <c r="K18" i="7"/>
  <c r="G152" i="9"/>
  <c r="G86" i="9"/>
  <c r="L10" i="6"/>
  <c r="G205" i="9"/>
  <c r="G195" i="9"/>
  <c r="G135" i="9"/>
  <c r="L21" i="6"/>
  <c r="G75" i="9"/>
  <c r="G143" i="9"/>
  <c r="G167" i="9"/>
  <c r="L27" i="6"/>
  <c r="L28" i="6"/>
  <c r="G192" i="9"/>
  <c r="G41" i="9"/>
  <c r="J16" i="7"/>
  <c r="G119" i="9"/>
  <c r="G53" i="9"/>
  <c r="D9" i="10"/>
  <c r="G147" i="9"/>
  <c r="G43" i="9"/>
  <c r="L23" i="6"/>
  <c r="J16" i="1"/>
  <c r="G191" i="9"/>
  <c r="J19" i="1"/>
  <c r="G78" i="9"/>
  <c r="G132" i="9"/>
  <c r="G131" i="9"/>
  <c r="G163" i="9"/>
  <c r="G50" i="9"/>
  <c r="G79" i="9"/>
  <c r="L20" i="6"/>
  <c r="G151" i="9"/>
  <c r="G88" i="9"/>
  <c r="G21" i="9"/>
  <c r="G77" i="9"/>
  <c r="G16" i="9"/>
  <c r="G201" i="9"/>
  <c r="G19" i="9"/>
  <c r="G15" i="9"/>
  <c r="K14" i="7"/>
  <c r="G150" i="9"/>
  <c r="G181" i="9"/>
  <c r="G27" i="9"/>
  <c r="G146" i="9"/>
  <c r="G189" i="9"/>
  <c r="G210" i="9"/>
  <c r="G159" i="9"/>
  <c r="G57" i="9"/>
  <c r="G84" i="9"/>
  <c r="G32" i="9"/>
  <c r="G104" i="9"/>
  <c r="G30" i="9"/>
  <c r="G36" i="9"/>
  <c r="K15" i="7"/>
  <c r="G76" i="9"/>
  <c r="G54" i="9"/>
  <c r="G74" i="9"/>
  <c r="G140" i="9"/>
  <c r="G94" i="9"/>
  <c r="G47" i="9"/>
  <c r="G71" i="9"/>
  <c r="L22" i="6"/>
  <c r="G169" i="9"/>
  <c r="G42" i="9"/>
  <c r="G38" i="9"/>
  <c r="G62" i="9"/>
  <c r="G141" i="9"/>
  <c r="G211" i="9"/>
  <c r="G72" i="9"/>
  <c r="G99" i="9"/>
  <c r="K17" i="7"/>
  <c r="G196" i="9"/>
  <c r="G208" i="9"/>
  <c r="G149" i="9"/>
  <c r="G48" i="9"/>
  <c r="G200" i="9"/>
  <c r="G44" i="9"/>
  <c r="G186" i="9"/>
  <c r="G58" i="9"/>
  <c r="H6" i="2"/>
  <c r="G37" i="9"/>
  <c r="G81" i="9"/>
  <c r="G115" i="9"/>
  <c r="G118" i="9"/>
  <c r="G56" i="9"/>
  <c r="G22" i="9"/>
  <c r="G59" i="9"/>
  <c r="G171" i="9"/>
  <c r="G17" i="9"/>
  <c r="G82" i="9"/>
  <c r="K16" i="7"/>
  <c r="G95" i="9"/>
  <c r="G161" i="9"/>
  <c r="G113" i="9"/>
  <c r="G197" i="9"/>
  <c r="G155" i="9"/>
  <c r="G103" i="9"/>
  <c r="G102" i="9"/>
  <c r="L26" i="6"/>
  <c r="G203" i="9"/>
  <c r="G154" i="9"/>
  <c r="G23" i="9"/>
  <c r="G124" i="9"/>
  <c r="G96" i="9"/>
  <c r="G175" i="9"/>
  <c r="G66" i="9"/>
  <c r="G168" i="9"/>
  <c r="G39" i="9"/>
  <c r="G130" i="9"/>
  <c r="J17" i="7"/>
  <c r="G91" i="9"/>
  <c r="G49" i="9"/>
  <c r="G126" i="9"/>
  <c r="G173" i="9"/>
  <c r="G24" i="9"/>
  <c r="G148" i="9"/>
  <c r="G185" i="9"/>
  <c r="G164" i="9"/>
  <c r="G80" i="9"/>
  <c r="G174" i="9"/>
  <c r="G138" i="9"/>
  <c r="G45" i="9"/>
  <c r="G206" i="9"/>
  <c r="G120" i="9"/>
  <c r="G114" i="9"/>
  <c r="G87" i="9"/>
  <c r="G190" i="9"/>
  <c r="G33" i="9"/>
  <c r="G89" i="9"/>
  <c r="G184" i="9"/>
  <c r="L19" i="6"/>
  <c r="G139" i="9"/>
  <c r="G116" i="9"/>
  <c r="G172" i="9"/>
  <c r="G73" i="9"/>
  <c r="G182" i="9"/>
  <c r="G202" i="9"/>
  <c r="G34" i="9"/>
  <c r="L18" i="6"/>
  <c r="G90" i="9"/>
  <c r="L25" i="6"/>
  <c r="G105" i="9"/>
  <c r="G122" i="9"/>
  <c r="G134" i="9"/>
  <c r="J20" i="1"/>
  <c r="L24" i="6"/>
  <c r="G35" i="9"/>
  <c r="G20" i="9"/>
  <c r="G63" i="9"/>
  <c r="G61" i="9"/>
  <c r="G121" i="9"/>
  <c r="G180" i="9"/>
  <c r="G176" i="9"/>
  <c r="J8" i="8"/>
  <c r="G85" i="9"/>
  <c r="G137" i="9"/>
  <c r="G83" i="9"/>
  <c r="G145" i="9"/>
  <c r="G67" i="9"/>
  <c r="G55" i="9"/>
  <c r="G98" i="9"/>
  <c r="G18" i="9"/>
  <c r="G162" i="9"/>
  <c r="G14" i="9"/>
  <c r="G70" i="9"/>
  <c r="G40" i="9"/>
  <c r="G142" i="9"/>
  <c r="G125" i="9"/>
  <c r="G109" i="9"/>
  <c r="G64" i="9"/>
  <c r="G209" i="9"/>
  <c r="J18" i="7"/>
  <c r="G207" i="9"/>
  <c r="G52" i="9"/>
  <c r="G128" i="9"/>
  <c r="G111" i="9"/>
  <c r="G101" i="9"/>
  <c r="G46" i="9"/>
  <c r="L29" i="6"/>
  <c r="G170" i="9"/>
  <c r="G26" i="9"/>
  <c r="G110" i="9"/>
  <c r="G65" i="9"/>
  <c r="G97" i="9"/>
  <c r="G178" i="9"/>
  <c r="G153" i="9"/>
  <c r="G60" i="9"/>
  <c r="G69" i="9"/>
  <c r="G129" i="9"/>
  <c r="J8" i="9"/>
  <c r="G193" i="9"/>
  <c r="G158" i="9"/>
  <c r="G123" i="9"/>
  <c r="G51" i="9"/>
  <c r="G156" i="9"/>
  <c r="G198" i="9"/>
  <c r="J14" i="7"/>
  <c r="G188" i="9"/>
  <c r="L16" i="6"/>
  <c r="J15" i="7"/>
  <c r="G108" i="9"/>
  <c r="G144" i="9"/>
  <c r="G157" i="9"/>
  <c r="J17" i="1"/>
  <c r="G213" i="9"/>
  <c r="G100" i="9"/>
  <c r="G160" i="9"/>
  <c r="G166" i="9"/>
  <c r="G28" i="9"/>
  <c r="G68" i="9"/>
  <c r="G165" i="9"/>
  <c r="G194" i="9"/>
  <c r="L17" i="6"/>
  <c r="G106" i="9"/>
  <c r="G117" i="9"/>
</calcChain>
</file>

<file path=xl/sharedStrings.xml><?xml version="1.0" encoding="utf-8"?>
<sst xmlns="http://schemas.openxmlformats.org/spreadsheetml/2006/main" count="5581" uniqueCount="655">
  <si>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</si>
  <si>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</si>
  <si>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</si>
  <si>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</si>
  <si>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</si>
  <si>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</si>
  <si>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</si>
  <si>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</si>
  <si>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</si>
  <si>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</si>
  <si>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</si>
  <si>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</si>
  <si>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</si>
  <si>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</si>
  <si>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</si>
  <si>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</si>
  <si>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</si>
  <si>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</si>
  <si>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</si>
  <si>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</si>
  <si>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</si>
  <si>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</si>
  <si>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</si>
  <si>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</si>
  <si>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</si>
  <si>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</si>
  <si>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</si>
  <si>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</si>
  <si>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</si>
  <si>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</si>
  <si>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</si>
  <si>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</si>
  <si>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</si>
  <si>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</si>
  <si>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</si>
  <si>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</si>
  <si>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</si>
  <si>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</si>
  <si>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</si>
  <si>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</si>
  <si>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</si>
  <si>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</si>
  <si>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</si>
  <si>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</si>
  <si>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</si>
  <si>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</si>
  <si>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</si>
  <si>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</si>
  <si>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</si>
  <si>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</si>
  <si>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</si>
  <si>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</si>
  <si>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</si>
  <si>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</si>
  <si>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</si>
  <si>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</si>
  <si>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</si>
  <si>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</si>
  <si>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</si>
  <si>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</si>
  <si>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</si>
  <si>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</si>
  <si>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</si>
  <si>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</si>
  <si>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</si>
  <si>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</si>
  <si>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</si>
  <si>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</si>
  <si>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</si>
  <si>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</si>
  <si>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</si>
  <si>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</si>
  <si>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</si>
  <si>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</si>
  <si>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</si>
  <si>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</si>
  <si>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</si>
  <si>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</si>
  <si>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</si>
  <si>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</si>
  <si>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</si>
  <si>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</si>
  <si>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</si>
  <si>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</si>
  <si>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</si>
  <si>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</si>
  <si>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</si>
  <si>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</si>
  <si>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</si>
  <si>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</si>
  <si>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</si>
  <si>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</si>
  <si>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</si>
  <si>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</si>
  <si>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</si>
  <si>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</si>
  <si>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</si>
  <si>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</si>
  <si>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</si>
  <si>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</si>
  <si>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</si>
  <si>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</si>
  <si>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</si>
  <si>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</si>
  <si>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</si>
  <si>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</si>
  <si>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</si>
  <si>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</si>
  <si>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</si>
  <si>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</si>
  <si>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</si>
  <si>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</si>
  <si>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</si>
  <si>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</si>
  <si>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</si>
  <si>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</si>
  <si>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</si>
  <si>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</si>
  <si>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</si>
  <si>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</si>
  <si>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</si>
  <si>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</si>
  <si>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</si>
  <si>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</si>
  <si>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</si>
  <si>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</si>
  <si>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</si>
  <si>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</si>
  <si>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</si>
  <si>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</si>
  <si>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</si>
  <si>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</si>
  <si>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</si>
  <si>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</si>
  <si>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</si>
  <si>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</si>
  <si>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</si>
  <si>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</si>
  <si>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</si>
  <si>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</si>
  <si>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</si>
  <si>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</si>
  <si>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</si>
  <si>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</si>
  <si>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</si>
  <si>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</si>
  <si>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</si>
  <si>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</si>
  <si>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</si>
  <si>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</si>
  <si>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</si>
  <si>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</si>
  <si>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</si>
  <si>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</si>
  <si>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</si>
  <si>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</si>
  <si>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</si>
  <si>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</si>
  <si>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</si>
  <si>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</si>
  <si>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</si>
  <si>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</si>
  <si>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</si>
  <si>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</si>
  <si>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</si>
  <si>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</si>
  <si>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</si>
  <si>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</si>
  <si>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</si>
  <si>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</si>
  <si>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</si>
  <si>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</si>
  <si>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</si>
  <si>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</si>
  <si>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</si>
  <si>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</si>
  <si>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</si>
  <si>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</si>
  <si>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</si>
  <si>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</si>
  <si>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</si>
  <si>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</si>
  <si>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</si>
  <si>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</si>
  <si>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</si>
  <si>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</si>
  <si>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</si>
  <si>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</si>
  <si>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</si>
  <si>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</si>
  <si>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</si>
  <si>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</si>
  <si>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</si>
  <si>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</si>
  <si>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</si>
  <si>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</si>
  <si>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</si>
  <si>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</si>
  <si>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</si>
  <si>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</si>
  <si>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</si>
  <si>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</si>
  <si>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</si>
  <si>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</si>
  <si>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</si>
  <si>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</si>
  <si>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</si>
  <si>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</si>
  <si>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</si>
  <si>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</si>
  <si>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</si>
  <si>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</si>
  <si>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</si>
  <si>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</si>
  <si>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</si>
  <si>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</si>
  <si>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</si>
  <si>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</si>
  <si>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</si>
  <si>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</si>
  <si>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</si>
  <si>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</si>
  <si>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</si>
  <si>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</si>
  <si>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</si>
  <si>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</si>
  <si>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</si>
  <si>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</si>
  <si>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</si>
  <si>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</si>
  <si>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</si>
  <si>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</si>
  <si>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</si>
  <si>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</si>
  <si>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</si>
  <si>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</si>
  <si>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</si>
  <si>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</si>
  <si>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</si>
  <si>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</si>
  <si>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</si>
  <si>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</si>
  <si>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</si>
  <si>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</si>
  <si>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</si>
  <si>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</si>
  <si>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</si>
  <si>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</si>
  <si>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</si>
  <si>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</si>
  <si>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</si>
  <si>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</si>
  <si>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</si>
  <si>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</si>
  <si>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</si>
  <si>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</si>
  <si>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</si>
  <si>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</si>
  <si>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</si>
  <si>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</si>
  <si>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</si>
  <si>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</si>
  <si>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</si>
  <si>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</si>
  <si>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</si>
  <si>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</si>
  <si>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</si>
  <si>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</si>
  <si>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</si>
  <si>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</si>
  <si>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</si>
  <si>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</si>
  <si>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</si>
  <si>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</si>
  <si>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</si>
  <si>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</si>
  <si>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</si>
  <si>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</si>
  <si>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</si>
  <si>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</si>
  <si>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</si>
  <si>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</si>
  <si>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</si>
  <si>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</si>
  <si>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</si>
  <si>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</si>
  <si>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</si>
  <si>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</si>
  <si>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</si>
  <si>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</si>
  <si>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</si>
  <si>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</si>
  <si>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</si>
  <si>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</si>
  <si>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</si>
  <si>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</si>
  <si>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</si>
  <si>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</si>
  <si>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</si>
  <si>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</si>
  <si>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</si>
  <si>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</si>
  <si>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</si>
  <si>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</si>
  <si>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</si>
  <si>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</si>
  <si>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</si>
  <si>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</si>
  <si>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</si>
  <si>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</si>
  <si>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</si>
  <si>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</si>
  <si>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</si>
  <si>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</si>
  <si>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</si>
  <si>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</si>
  <si>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</si>
  <si>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</si>
  <si>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</si>
  <si>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</si>
  <si>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</si>
  <si>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</si>
  <si>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</si>
  <si>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</si>
  <si>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</si>
  <si>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</si>
  <si>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</si>
  <si>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</si>
  <si>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</si>
  <si>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</si>
  <si>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</si>
  <si>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</si>
  <si>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</si>
  <si>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</si>
  <si>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</si>
  <si>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</si>
  <si>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</si>
  <si>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</si>
  <si>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</si>
  <si>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</si>
  <si>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</si>
  <si>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</si>
  <si>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</si>
  <si>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</si>
  <si>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</si>
  <si>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</si>
  <si>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</si>
  <si>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</si>
  <si>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</si>
  <si>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</si>
  <si>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</si>
  <si>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</si>
  <si>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</si>
  <si>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</si>
  <si>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</si>
  <si>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</si>
  <si>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</si>
  <si>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</si>
  <si>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</si>
  <si>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</si>
  <si>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</si>
  <si>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</si>
  <si>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</si>
  <si>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</si>
  <si>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</si>
  <si>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</si>
  <si>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</si>
  <si>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</si>
  <si>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</si>
  <si>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</si>
  <si>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</si>
  <si>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</si>
  <si>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</si>
  <si>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</si>
  <si>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</si>
  <si>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</si>
  <si>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</si>
  <si>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</si>
  <si>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</si>
  <si>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</si>
  <si>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</si>
  <si>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</si>
  <si>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</si>
  <si>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</si>
  <si>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</si>
  <si>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</si>
  <si>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</si>
  <si>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</si>
  <si>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</si>
  <si>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</si>
  <si>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</si>
  <si>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</si>
  <si>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</si>
  <si>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</si>
  <si>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</si>
  <si>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</si>
  <si>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</si>
  <si>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</si>
  <si>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</si>
  <si>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</si>
  <si>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</si>
  <si>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</si>
  <si>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</si>
  <si>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</si>
  <si>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</si>
  <si>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</si>
  <si>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</si>
  <si>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</si>
  <si>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</si>
  <si>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</si>
  <si>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</si>
  <si>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</si>
  <si>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</si>
  <si>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</si>
  <si>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</si>
  <si>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</si>
  <si>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</si>
  <si>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</si>
  <si>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</si>
  <si>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</si>
  <si>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</si>
  <si>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</si>
  <si>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</si>
  <si>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</si>
  <si>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</si>
  <si>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</si>
  <si>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</si>
  <si>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</si>
  <si>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</si>
  <si>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</si>
  <si>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</si>
  <si>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</si>
  <si>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</si>
  <si>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</si>
  <si>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</si>
  <si>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</si>
  <si>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</si>
  <si>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</si>
  <si>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</si>
  <si>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</si>
  <si>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</si>
  <si>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</si>
  <si>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</si>
  <si>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</si>
  <si>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</si>
  <si>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</si>
  <si>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</si>
  <si>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</si>
  <si>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</si>
  <si>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</si>
  <si>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</si>
  <si>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</si>
  <si>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</si>
  <si>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</si>
  <si>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</si>
  <si>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</si>
  <si>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</si>
  <si>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</si>
  <si>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</si>
  <si>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</si>
  <si>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</si>
  <si>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</si>
  <si>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</si>
  <si>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</si>
  <si>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</si>
  <si>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</si>
  <si>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</si>
  <si>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</si>
  <si>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</si>
  <si>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</si>
  <si>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</si>
  <si>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</si>
  <si>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</si>
  <si>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</si>
  <si>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</si>
  <si>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</si>
  <si>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</si>
  <si>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</si>
  <si>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</si>
  <si>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</si>
  <si>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</si>
  <si>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</si>
  <si>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</si>
  <si>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</si>
  <si>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</si>
  <si>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</si>
  <si>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</si>
  <si>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</si>
  <si>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</si>
  <si>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</si>
  <si>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</si>
  <si>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</si>
  <si>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</si>
  <si>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</si>
  <si>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</si>
  <si>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</si>
  <si>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</si>
  <si>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</si>
  <si>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</si>
  <si>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</si>
  <si>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</si>
  <si>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</si>
  <si>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</si>
  <si>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</si>
  <si>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</si>
  <si>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</si>
  <si>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</si>
  <si>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</si>
  <si>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</si>
  <si>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</si>
  <si>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</si>
  <si>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</si>
  <si>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</si>
  <si>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</si>
  <si>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</si>
  <si>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</si>
  <si>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</si>
  <si>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</si>
  <si>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</si>
  <si>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</si>
  <si>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</si>
  <si>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</si>
  <si>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</si>
  <si>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</si>
  <si>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</si>
  <si>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</si>
  <si>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</si>
  <si>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</si>
  <si>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</si>
  <si>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</si>
  <si>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</si>
  <si>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</si>
  <si>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</si>
  <si>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</si>
  <si>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</si>
  <si>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</si>
  <si>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</si>
  <si>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</si>
  <si>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</si>
  <si>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</si>
  <si>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</si>
  <si>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</si>
  <si>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</si>
  <si>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</si>
  <si>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</si>
  <si>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</si>
  <si>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</si>
  <si>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</si>
  <si>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</si>
  <si>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(Note: somewhat laggy ..?)</t>
  </si>
  <si>
    <t>https://www.kraken.com/features/api#get-account-balance</t>
  </si>
  <si>
    <t>Mon,  8 Jun 20 20:28:34 +0000</t>
  </si>
  <si>
    <t>Get account balance</t>
  </si>
  <si>
    <t>Credentials</t>
  </si>
  <si>
    <t>API Key</t>
  </si>
  <si>
    <t>Secret Key</t>
  </si>
  <si>
    <t>(key)</t>
  </si>
  <si>
    <t>(secret)</t>
  </si>
  <si>
    <t>Creds-File</t>
  </si>
  <si>
    <t>Exists?</t>
  </si>
  <si>
    <t>Default-File</t>
  </si>
  <si>
    <t>(if empty, default to below)</t>
  </si>
  <si>
    <t>balance</t>
  </si>
  <si>
    <t>https://www.kraken.com/features/api#get-trade-balance</t>
  </si>
  <si>
    <t>Get trade balance</t>
  </si>
  <si>
    <t>asset class</t>
  </si>
  <si>
    <t>(aclass, currency only?)</t>
  </si>
  <si>
    <t>(default: ZUSD, to determine value)</t>
  </si>
  <si>
    <t>eb = equivalent balance (combined balance of all currencies)</t>
  </si>
  <si>
    <t>tb = trade balance (combined balance of all equity currencies)</t>
  </si>
  <si>
    <t>m = margin amount of open positions</t>
  </si>
  <si>
    <t>n = unrealized net profit/loss of open positions</t>
  </si>
  <si>
    <t>c = cost basis of open positions</t>
  </si>
  <si>
    <t>v = current floating valuation of open positions</t>
  </si>
  <si>
    <t>e = equity = trade balance + unrealized net profit/loss</t>
  </si>
  <si>
    <t>mf = free margin = equity - initial margin (maximum margin available to open new positions)</t>
  </si>
  <si>
    <t>ml = margin level = (equity / initial margin) * 100</t>
  </si>
  <si>
    <t>value</t>
  </si>
  <si>
    <t>description</t>
  </si>
  <si>
    <t>???</t>
  </si>
  <si>
    <t>https://www.kraken.com/features/api#get-open-orders</t>
  </si>
  <si>
    <t>Get open orders</t>
  </si>
  <si>
    <t>trades</t>
  </si>
  <si>
    <t>userref</t>
  </si>
  <si>
    <t>(optional)</t>
  </si>
  <si>
    <t>(bool, default=false; whether to includes trades in output)</t>
  </si>
  <si>
    <t>order-id</t>
  </si>
  <si>
    <t>refid</t>
  </si>
  <si>
    <t>status</t>
  </si>
  <si>
    <t>opentm</t>
  </si>
  <si>
    <t>starttm</t>
  </si>
  <si>
    <t>expiretm</t>
  </si>
  <si>
    <t>pair</t>
  </si>
  <si>
    <t>type</t>
  </si>
  <si>
    <t>ordertype</t>
  </si>
  <si>
    <t>price2</t>
  </si>
  <si>
    <t>leverage</t>
  </si>
  <si>
    <t>order</t>
  </si>
  <si>
    <t>order description info</t>
  </si>
  <si>
    <t>total cost</t>
  </si>
  <si>
    <t xml:space="preserve">volume of order </t>
  </si>
  <si>
    <t xml:space="preserve">volume executed </t>
  </si>
  <si>
    <t>user reference id</t>
  </si>
  <si>
    <t>total fee</t>
  </si>
  <si>
    <t>average price</t>
  </si>
  <si>
    <t>stop price</t>
  </si>
  <si>
    <t>limit price</t>
  </si>
  <si>
    <t>order flags</t>
  </si>
  <si>
    <t>trade ids</t>
  </si>
  <si>
    <t>(Warn: see note in docs about scales …)</t>
  </si>
  <si>
    <t>https://www.kraken.com/features/api#get-closed-orders</t>
  </si>
  <si>
    <t>Get closed orders</t>
  </si>
  <si>
    <t>start</t>
  </si>
  <si>
    <t>end</t>
  </si>
  <si>
    <t>time-type?</t>
  </si>
  <si>
    <t>offset</t>
  </si>
  <si>
    <t>(result offset)</t>
  </si>
  <si>
    <t>(ending unix timestamp or order tx id of results)</t>
  </si>
  <si>
    <t>(starting unix timestamp or order tx id of results)</t>
  </si>
  <si>
    <t>(open|close|both (default))</t>
  </si>
  <si>
    <t>closetm</t>
  </si>
  <si>
    <t>reason</t>
  </si>
  <si>
    <t>*</t>
  </si>
  <si>
    <t>Query orders info</t>
  </si>
  <si>
    <t>https://www.kraken.com/features/api#query-orders-info</t>
  </si>
  <si>
    <t>txid</t>
  </si>
  <si>
    <t>(kommalist, transaction ids, max 50)</t>
  </si>
  <si>
    <t>Get trades history</t>
  </si>
  <si>
    <t>https://www.kraken.com/features/api#get-trades-history</t>
  </si>
  <si>
    <t>ordertxid</t>
  </si>
  <si>
    <t>postxid</t>
  </si>
  <si>
    <t>asset pair</t>
  </si>
  <si>
    <t>time-of-trade</t>
  </si>
  <si>
    <t>cost</t>
  </si>
  <si>
    <t>fee</t>
  </si>
  <si>
    <t>quote currency</t>
  </si>
  <si>
    <t>(base currency)</t>
  </si>
  <si>
    <t>vol</t>
  </si>
  <si>
    <t>margin</t>
  </si>
  <si>
    <t>(quote currency)</t>
  </si>
  <si>
    <t>posstatus</t>
  </si>
  <si>
    <t>cprice</t>
  </si>
  <si>
    <t>ccost</t>
  </si>
  <si>
    <t>cfee</t>
  </si>
  <si>
    <t>cvol</t>
  </si>
  <si>
    <t>cmargin</t>
  </si>
  <si>
    <t>net</t>
  </si>
  <si>
    <t>(if trade opened a position)</t>
  </si>
  <si>
    <t>(*? not in docs)</t>
  </si>
  <si>
    <t>Clear</t>
  </si>
  <si>
    <t>EGeneral:Invalid arguments</t>
  </si>
  <si>
    <t>(should start with a capital "O")</t>
  </si>
  <si>
    <t>https://www.kraken.com/features/api#query-trades-info</t>
  </si>
  <si>
    <t>Query trades info</t>
  </si>
  <si>
    <t>(WIP)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</si>
</sst>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0" fillId="0" borderId="0" xfId="7" applyAlignment="1">
      <alignment vertical="center"/>
    </xf>
    <xf numFmtId="0" fontId="1" fillId="2" borderId="1" xfId="1" applyAlignment="1">
      <alignment vertical="center"/>
    </xf>
    <xf numFmtId="0" fontId="1" fillId="2" borderId="1" xfId="1" applyAlignment="1">
      <alignment horizontal="center"/>
    </xf>
    <xf numFmtId="0" fontId="4" fillId="3" borderId="2" xfId="3" applyAlignment="1">
      <alignment vertical="center"/>
    </xf>
  </cellXfs>
  <cellStyles count="8">
    <cellStyle name="Ausgabe" xfId="3" builtinId="21"/>
    <cellStyle name="Eingabe" xfId="4" builtinId="20"/>
    <cellStyle name="Erklärender Text" xfId="7" builtinId="53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raken.com/features/api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raken.com/features/api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9"/>
  <sheetViews>
    <sheetView workbookViewId="0">
      <selection activeCell="B5" sqref="B5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</row>
    <row r="3" spans="2:8" x14ac:dyDescent="0.35">
      <c r="B3" s="14" t="s">
        <v>17</v>
      </c>
    </row>
    <row r="5" spans="2:8" x14ac:dyDescent="0.35">
      <c r="B5" s="14" t="s">
        <v>18</v>
      </c>
      <c r="C5" t="s">
        <v>20</v>
      </c>
      <c r="D5" t="s">
        <v>551</v>
      </c>
    </row>
    <row r="6" spans="2:8" x14ac:dyDescent="0.35">
      <c r="C6" t="s">
        <v>21</v>
      </c>
      <c r="D6">
        <v>1591648114</v>
      </c>
      <c r="G6" s="20" t="s">
        <v>526</v>
      </c>
      <c r="H6" s="19">
        <f>IFERROR(TimestampToExcel_2(D6),)</f>
        <v>43990.853171296301</v>
      </c>
    </row>
    <row r="9" spans="2:8" ht="17.5" x14ac:dyDescent="0.35">
      <c r="B9" s="13"/>
    </row>
  </sheetData>
  <hyperlinks>
    <hyperlink ref="B5" location="'Kraken Time'!B5" display="Get server time"/>
    <hyperlink ref="B3" r:id="rId1" location="get-server-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B4" sqref="B4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s="14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  <hyperlink ref="B3" r:id="rId1" location="get-asset-info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4" sqref="B4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s="14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  <hyperlink ref="B3" r:id="rId1" location="get-tradable-pairs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s="14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4" t="s">
        <v>498</v>
      </c>
      <c r="D10" s="24"/>
      <c r="E10" s="24"/>
      <c r="F10" s="24" t="s">
        <v>499</v>
      </c>
      <c r="G10" s="24"/>
      <c r="H10" s="24"/>
      <c r="I10" s="24" t="s">
        <v>500</v>
      </c>
      <c r="J10" s="24"/>
      <c r="K10" s="24" t="s">
        <v>501</v>
      </c>
      <c r="L10" s="24"/>
      <c r="M10" s="24" t="s">
        <v>502</v>
      </c>
      <c r="N10" s="24"/>
      <c r="O10" s="24" t="s">
        <v>503</v>
      </c>
      <c r="P10" s="24"/>
      <c r="Q10" s="24" t="s">
        <v>504</v>
      </c>
      <c r="R10" s="24"/>
      <c r="S10" s="24" t="s">
        <v>505</v>
      </c>
      <c r="T10" s="24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  <hyperlink ref="B3" r:id="rId1" location="get-ticker-info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B4" sqref="B4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513</v>
      </c>
    </row>
    <row r="3" spans="2:14" x14ac:dyDescent="0.35">
      <c r="B3" s="14" t="s">
        <v>514</v>
      </c>
    </row>
    <row r="5" spans="2:14" x14ac:dyDescent="0.35">
      <c r="B5" t="s">
        <v>24</v>
      </c>
      <c r="C5" t="s">
        <v>515</v>
      </c>
    </row>
    <row r="6" spans="2:14" x14ac:dyDescent="0.35">
      <c r="C6" s="10" t="s">
        <v>0</v>
      </c>
      <c r="D6" t="s">
        <v>525</v>
      </c>
      <c r="H6" t="s">
        <v>0</v>
      </c>
    </row>
    <row r="7" spans="2:14" x14ac:dyDescent="0.35">
      <c r="C7" t="s">
        <v>516</v>
      </c>
    </row>
    <row r="8" spans="2:14" x14ac:dyDescent="0.35">
      <c r="C8" s="10">
        <v>5</v>
      </c>
      <c r="D8" t="s">
        <v>517</v>
      </c>
    </row>
    <row r="9" spans="2:14" x14ac:dyDescent="0.35">
      <c r="C9" t="s">
        <v>518</v>
      </c>
    </row>
    <row r="10" spans="2:14" x14ac:dyDescent="0.35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19</v>
      </c>
      <c r="D12" s="16"/>
      <c r="E12" t="s">
        <v>527</v>
      </c>
    </row>
    <row r="14" spans="2:14" ht="15" thickBot="1" x14ac:dyDescent="0.4"/>
    <row r="15" spans="2:14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  <hyperlink ref="B3" r:id="rId1" location="get-ohlc-data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4" sqref="B4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s="14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4" t="s">
        <v>531</v>
      </c>
      <c r="D12" s="24"/>
      <c r="E12" s="24"/>
      <c r="F12" s="24" t="s">
        <v>532</v>
      </c>
      <c r="G12" s="24"/>
      <c r="H12" s="24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  <hyperlink ref="B3" r:id="rId1" location="get-order-book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s="14" t="s">
        <v>535</v>
      </c>
    </row>
    <row r="5" spans="2:11" x14ac:dyDescent="0.35">
      <c r="B5" t="s">
        <v>24</v>
      </c>
      <c r="C5" t="s">
        <v>515</v>
      </c>
      <c r="H5" t="s">
        <v>549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  <hyperlink ref="B3" r:id="rId1" location="get-recent-trades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workbookViewId="0">
      <selection activeCell="B4" sqref="B4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s="14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  <hyperlink ref="B3" r:id="rId1" location="get-recent-spread-data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E26"/>
  <sheetViews>
    <sheetView topLeftCell="A10" workbookViewId="0">
      <selection activeCell="B13" sqref="B13"/>
    </sheetView>
  </sheetViews>
  <sheetFormatPr baseColWidth="10" defaultRowHeight="14.5" x14ac:dyDescent="0.35"/>
  <sheetData>
    <row r="2" spans="2:5" ht="17.5" x14ac:dyDescent="0.35">
      <c r="B2" s="13" t="s">
        <v>552</v>
      </c>
    </row>
    <row r="3" spans="2:5" x14ac:dyDescent="0.35">
      <c r="B3" s="14" t="s">
        <v>550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s="14" t="s">
        <v>552</v>
      </c>
      <c r="D12" s="16"/>
    </row>
    <row r="13" spans="2:5" x14ac:dyDescent="0.35">
      <c r="B13" s="14" t="s">
        <v>649</v>
      </c>
    </row>
    <row r="14" spans="2:5" ht="15" thickBot="1" x14ac:dyDescent="0.4"/>
    <row r="15" spans="2:5" ht="15.5" thickTop="1" thickBot="1" x14ac:dyDescent="0.4">
      <c r="B15" s="3" t="s">
        <v>32</v>
      </c>
      <c r="C15" s="3" t="s">
        <v>562</v>
      </c>
    </row>
    <row r="16" spans="2:5" ht="15" thickTop="1" x14ac:dyDescent="0.35">
      <c r="B16" s="15"/>
      <c r="C16" s="15"/>
    </row>
    <row r="17" spans="2:3" x14ac:dyDescent="0.35">
      <c r="B17" s="15"/>
      <c r="C17" s="15"/>
    </row>
    <row r="18" spans="2:3" x14ac:dyDescent="0.35">
      <c r="B18" s="15"/>
      <c r="C18" s="15"/>
    </row>
    <row r="19" spans="2:3" x14ac:dyDescent="0.35">
      <c r="B19" s="15"/>
      <c r="C19" s="15"/>
    </row>
    <row r="20" spans="2:3" x14ac:dyDescent="0.35">
      <c r="B20" s="15"/>
      <c r="C20" s="15"/>
    </row>
    <row r="21" spans="2:3" x14ac:dyDescent="0.35">
      <c r="B21" s="15"/>
      <c r="C21" s="15"/>
    </row>
    <row r="22" spans="2:3" x14ac:dyDescent="0.35">
      <c r="B22" s="15"/>
      <c r="C22" s="15"/>
    </row>
    <row r="23" spans="2:3" x14ac:dyDescent="0.35">
      <c r="B23" s="15"/>
      <c r="C23" s="15"/>
    </row>
    <row r="24" spans="2:3" x14ac:dyDescent="0.35">
      <c r="B24" s="15"/>
      <c r="C24" s="15"/>
    </row>
    <row r="25" spans="2:3" x14ac:dyDescent="0.35">
      <c r="B25" s="15"/>
      <c r="C25" s="15"/>
    </row>
    <row r="26" spans="2:3" x14ac:dyDescent="0.35">
      <c r="B26" s="15"/>
      <c r="C26" s="15"/>
    </row>
  </sheetData>
  <hyperlinks>
    <hyperlink ref="B3" r:id="rId1" location="get-account-balance"/>
    <hyperlink ref="B12" location="'Kraken P Account Balance'!B12" display="Get account balance"/>
    <hyperlink ref="B13" location="'Kraken P Account Balance'!B13" display="Clear"/>
  </hyperlink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G27"/>
  <sheetViews>
    <sheetView topLeftCell="A10" workbookViewId="0">
      <selection activeCell="B16" sqref="B16"/>
    </sheetView>
  </sheetViews>
  <sheetFormatPr baseColWidth="10" defaultRowHeight="14.5" x14ac:dyDescent="0.35"/>
  <sheetData>
    <row r="2" spans="2:5" ht="17.5" x14ac:dyDescent="0.35">
      <c r="B2" s="13" t="s">
        <v>564</v>
      </c>
    </row>
    <row r="3" spans="2:5" x14ac:dyDescent="0.35">
      <c r="B3" s="14" t="s">
        <v>563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565</v>
      </c>
      <c r="D12" s="10"/>
      <c r="E12" t="s">
        <v>566</v>
      </c>
    </row>
    <row r="13" spans="2:5" x14ac:dyDescent="0.35">
      <c r="C13" t="s">
        <v>32</v>
      </c>
      <c r="D13" s="10" t="s">
        <v>84</v>
      </c>
      <c r="E13" t="s">
        <v>567</v>
      </c>
    </row>
    <row r="15" spans="2:5" x14ac:dyDescent="0.35">
      <c r="B15" s="14" t="s">
        <v>564</v>
      </c>
      <c r="D15" s="16"/>
    </row>
    <row r="16" spans="2:5" x14ac:dyDescent="0.35">
      <c r="B16" s="14" t="s">
        <v>649</v>
      </c>
    </row>
    <row r="17" spans="2:7" ht="15" thickBot="1" x14ac:dyDescent="0.4"/>
    <row r="18" spans="2:7" ht="15.5" thickTop="1" thickBot="1" x14ac:dyDescent="0.4">
      <c r="B18" s="3" t="s">
        <v>577</v>
      </c>
      <c r="C18" s="3" t="s">
        <v>578</v>
      </c>
    </row>
    <row r="19" spans="2:7" ht="15" thickTop="1" x14ac:dyDescent="0.35">
      <c r="B19" s="15"/>
      <c r="C19" s="22" t="s">
        <v>568</v>
      </c>
    </row>
    <row r="20" spans="2:7" x14ac:dyDescent="0.35">
      <c r="B20" s="15"/>
      <c r="C20" s="22" t="s">
        <v>569</v>
      </c>
    </row>
    <row r="21" spans="2:7" x14ac:dyDescent="0.35">
      <c r="B21" s="15"/>
      <c r="C21" s="22" t="s">
        <v>570</v>
      </c>
    </row>
    <row r="22" spans="2:7" x14ac:dyDescent="0.35">
      <c r="B22" s="15"/>
      <c r="C22" s="22" t="s">
        <v>571</v>
      </c>
    </row>
    <row r="23" spans="2:7" x14ac:dyDescent="0.35">
      <c r="B23" s="15"/>
      <c r="C23" s="22" t="s">
        <v>572</v>
      </c>
    </row>
    <row r="24" spans="2:7" x14ac:dyDescent="0.35">
      <c r="B24" s="15"/>
      <c r="C24" s="22" t="s">
        <v>573</v>
      </c>
    </row>
    <row r="25" spans="2:7" x14ac:dyDescent="0.35">
      <c r="B25" s="15"/>
      <c r="C25" s="22" t="s">
        <v>574</v>
      </c>
    </row>
    <row r="26" spans="2:7" x14ac:dyDescent="0.35">
      <c r="B26" s="15"/>
      <c r="C26" s="22" t="s">
        <v>575</v>
      </c>
    </row>
    <row r="27" spans="2:7" x14ac:dyDescent="0.35">
      <c r="B27" s="15">
        <f>IFERROR(B25/(B25-B26)*100,)</f>
        <v>0</v>
      </c>
      <c r="C27" s="22" t="s">
        <v>576</v>
      </c>
      <c r="G27" t="s">
        <v>579</v>
      </c>
    </row>
  </sheetData>
  <hyperlinks>
    <hyperlink ref="B3" r:id="rId1" location="get-trade-balance"/>
    <hyperlink ref="B15" location="'Kraken P Trade Balance'!B15" display="Get trade balance"/>
    <hyperlink ref="B16" location="'Kraken P Trade Balance'!B16" display="Clear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Z68"/>
  <sheetViews>
    <sheetView topLeftCell="A22" workbookViewId="0">
      <selection activeCell="B16" sqref="B16"/>
    </sheetView>
  </sheetViews>
  <sheetFormatPr baseColWidth="10" defaultRowHeight="14.5" x14ac:dyDescent="0.35"/>
  <sheetData>
    <row r="2" spans="2:10" ht="17.5" x14ac:dyDescent="0.35">
      <c r="B2" s="13" t="s">
        <v>581</v>
      </c>
    </row>
    <row r="3" spans="2:10" x14ac:dyDescent="0.35">
      <c r="B3" s="14" t="s">
        <v>580</v>
      </c>
    </row>
    <row r="5" spans="2:10" x14ac:dyDescent="0.35">
      <c r="B5" t="s">
        <v>553</v>
      </c>
      <c r="C5" t="s">
        <v>554</v>
      </c>
      <c r="D5" s="10"/>
      <c r="E5" t="s">
        <v>556</v>
      </c>
      <c r="J5" t="s">
        <v>609</v>
      </c>
    </row>
    <row r="6" spans="2:10" x14ac:dyDescent="0.35">
      <c r="C6" t="s">
        <v>555</v>
      </c>
      <c r="D6" s="10"/>
      <c r="E6" t="s">
        <v>557</v>
      </c>
    </row>
    <row r="8" spans="2:10" x14ac:dyDescent="0.35">
      <c r="C8" t="s">
        <v>558</v>
      </c>
      <c r="D8" s="10"/>
    </row>
    <row r="9" spans="2:10" x14ac:dyDescent="0.35">
      <c r="C9" t="s">
        <v>559</v>
      </c>
      <c r="D9" s="15" t="b">
        <f>ExistsKrakenCredentialsFile(D8)</f>
        <v>1</v>
      </c>
      <c r="E9" t="s">
        <v>561</v>
      </c>
    </row>
    <row r="10" spans="2:10" x14ac:dyDescent="0.35">
      <c r="C10" t="s">
        <v>560</v>
      </c>
      <c r="D10" s="15" t="str">
        <f>GetDefaultKrakenCredentialsFilepath()</f>
        <v>C:\Users\koerner\Desktop\kraken.key</v>
      </c>
    </row>
    <row r="12" spans="2:10" x14ac:dyDescent="0.35">
      <c r="B12" t="s">
        <v>24</v>
      </c>
      <c r="C12" t="s">
        <v>582</v>
      </c>
      <c r="D12" s="10"/>
      <c r="E12" t="s">
        <v>585</v>
      </c>
    </row>
    <row r="13" spans="2:10" x14ac:dyDescent="0.35">
      <c r="C13" t="s">
        <v>583</v>
      </c>
      <c r="D13" s="10"/>
      <c r="E13" t="s">
        <v>584</v>
      </c>
    </row>
    <row r="15" spans="2:10" x14ac:dyDescent="0.35">
      <c r="B15" s="14" t="s">
        <v>581</v>
      </c>
      <c r="D15" s="16"/>
    </row>
    <row r="16" spans="2:10" ht="15" thickBot="1" x14ac:dyDescent="0.4">
      <c r="B16" s="14" t="s">
        <v>649</v>
      </c>
    </row>
    <row r="17" spans="2:26" ht="15.5" thickTop="1" thickBot="1" x14ac:dyDescent="0.4">
      <c r="I17" s="24" t="s">
        <v>598</v>
      </c>
      <c r="J17" s="24"/>
      <c r="K17" s="24"/>
      <c r="L17" s="24"/>
      <c r="M17" s="24"/>
      <c r="N17" s="24"/>
      <c r="O17" s="24"/>
      <c r="P17" s="24"/>
    </row>
    <row r="18" spans="2:26" ht="15.5" thickTop="1" thickBot="1" x14ac:dyDescent="0.4">
      <c r="B18" s="3" t="s">
        <v>586</v>
      </c>
      <c r="C18" s="3" t="s">
        <v>587</v>
      </c>
      <c r="D18" s="3" t="s">
        <v>602</v>
      </c>
      <c r="E18" s="3" t="s">
        <v>588</v>
      </c>
      <c r="F18" s="3" t="s">
        <v>589</v>
      </c>
      <c r="G18" s="3" t="s">
        <v>590</v>
      </c>
      <c r="H18" s="3" t="s">
        <v>591</v>
      </c>
      <c r="I18" s="3" t="s">
        <v>592</v>
      </c>
      <c r="J18" s="3" t="s">
        <v>593</v>
      </c>
      <c r="K18" s="3" t="s">
        <v>594</v>
      </c>
      <c r="L18" s="3" t="s">
        <v>508</v>
      </c>
      <c r="M18" s="3" t="s">
        <v>595</v>
      </c>
      <c r="N18" s="3" t="s">
        <v>596</v>
      </c>
      <c r="O18" s="3" t="s">
        <v>597</v>
      </c>
      <c r="P18" s="3" t="s">
        <v>521</v>
      </c>
      <c r="Q18" s="23" t="s">
        <v>600</v>
      </c>
      <c r="R18" s="23" t="s">
        <v>601</v>
      </c>
      <c r="S18" s="3" t="s">
        <v>599</v>
      </c>
      <c r="T18" s="3" t="s">
        <v>603</v>
      </c>
      <c r="U18" s="3" t="s">
        <v>604</v>
      </c>
      <c r="V18" s="3" t="s">
        <v>605</v>
      </c>
      <c r="W18" s="3" t="s">
        <v>606</v>
      </c>
      <c r="X18" s="3" t="s">
        <v>538</v>
      </c>
      <c r="Y18" s="3" t="s">
        <v>607</v>
      </c>
      <c r="Z18" s="3" t="s">
        <v>608</v>
      </c>
    </row>
    <row r="19" spans="2:26" ht="15" thickTop="1" x14ac:dyDescent="0.3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2:26" x14ac:dyDescent="0.35">
      <c r="B20" s="25"/>
      <c r="C20" s="15"/>
      <c r="D20" s="15"/>
      <c r="E20" s="15"/>
      <c r="F20" s="15"/>
      <c r="G20" s="2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2:26" x14ac:dyDescent="0.35">
      <c r="B21" s="25"/>
      <c r="C21" s="15"/>
      <c r="D21" s="15"/>
      <c r="E21" s="15"/>
      <c r="F21" s="15"/>
      <c r="G21" s="25"/>
      <c r="H21" s="15"/>
      <c r="I21" s="15"/>
      <c r="J21" s="15"/>
      <c r="K21" s="15"/>
      <c r="L21" s="15"/>
      <c r="M21" s="15"/>
      <c r="N21" s="15"/>
      <c r="O21" s="15"/>
      <c r="P21" s="15"/>
      <c r="Q21" s="25"/>
      <c r="R21" s="15"/>
      <c r="S21" s="15"/>
      <c r="T21" s="15"/>
      <c r="U21" s="15"/>
      <c r="V21" s="15"/>
      <c r="W21" s="15"/>
      <c r="X21" s="15"/>
      <c r="Y21" s="15"/>
      <c r="Z21" s="15"/>
    </row>
    <row r="22" spans="2:26" x14ac:dyDescent="0.35">
      <c r="B22" s="25"/>
      <c r="C22" s="15"/>
      <c r="D22" s="15"/>
      <c r="E22" s="15"/>
      <c r="F22" s="15"/>
      <c r="G22" s="25"/>
      <c r="H22" s="15"/>
      <c r="I22" s="15"/>
      <c r="J22" s="15"/>
      <c r="K22" s="15"/>
      <c r="L22" s="15"/>
      <c r="M22" s="15"/>
      <c r="N22" s="15"/>
      <c r="O22" s="15"/>
      <c r="P22" s="15"/>
      <c r="Q22" s="25"/>
      <c r="R22" s="15"/>
      <c r="S22" s="15"/>
      <c r="T22" s="15"/>
      <c r="U22" s="15"/>
      <c r="V22" s="15"/>
      <c r="W22" s="15"/>
      <c r="X22" s="15"/>
      <c r="Y22" s="15"/>
      <c r="Z22" s="15"/>
    </row>
    <row r="23" spans="2:26" x14ac:dyDescent="0.35">
      <c r="B23" s="25"/>
      <c r="C23" s="15"/>
      <c r="D23" s="15"/>
      <c r="E23" s="15"/>
      <c r="F23" s="15"/>
      <c r="G23" s="25"/>
      <c r="H23" s="15"/>
      <c r="I23" s="15"/>
      <c r="J23" s="15"/>
      <c r="K23" s="15"/>
      <c r="L23" s="15"/>
      <c r="M23" s="15"/>
      <c r="N23" s="15"/>
      <c r="O23" s="15"/>
      <c r="P23" s="15"/>
      <c r="Q23" s="25"/>
      <c r="R23" s="15"/>
      <c r="S23" s="15"/>
      <c r="T23" s="15"/>
      <c r="U23" s="15"/>
      <c r="V23" s="15"/>
      <c r="W23" s="15"/>
      <c r="X23" s="15"/>
      <c r="Y23" s="15"/>
      <c r="Z23" s="15"/>
    </row>
    <row r="24" spans="2:26" x14ac:dyDescent="0.35">
      <c r="B24" s="25"/>
      <c r="C24" s="15"/>
      <c r="D24" s="15"/>
      <c r="E24" s="15"/>
      <c r="F24" s="15"/>
      <c r="G24" s="25"/>
      <c r="H24" s="15"/>
      <c r="I24" s="15"/>
      <c r="J24" s="15"/>
      <c r="K24" s="15"/>
      <c r="L24" s="15"/>
      <c r="M24" s="15"/>
      <c r="N24" s="15"/>
      <c r="O24" s="15"/>
      <c r="P24" s="15"/>
      <c r="Q24" s="25"/>
      <c r="R24" s="15"/>
      <c r="S24" s="15"/>
      <c r="T24" s="15"/>
      <c r="U24" s="15"/>
      <c r="V24" s="15"/>
      <c r="W24" s="15"/>
      <c r="X24" s="15"/>
      <c r="Y24" s="15"/>
      <c r="Z24" s="15"/>
    </row>
    <row r="25" spans="2:26" x14ac:dyDescent="0.35">
      <c r="B25" s="25"/>
      <c r="C25" s="15"/>
      <c r="D25" s="15"/>
      <c r="E25" s="15"/>
      <c r="F25" s="15"/>
      <c r="G25" s="25"/>
      <c r="H25" s="15"/>
      <c r="I25" s="15"/>
      <c r="J25" s="15"/>
      <c r="K25" s="15"/>
      <c r="L25" s="15"/>
      <c r="M25" s="15"/>
      <c r="N25" s="15"/>
      <c r="O25" s="15"/>
      <c r="P25" s="15"/>
      <c r="Q25" s="25"/>
      <c r="R25" s="15"/>
      <c r="S25" s="15"/>
      <c r="T25" s="15"/>
      <c r="U25" s="15"/>
      <c r="V25" s="15"/>
      <c r="W25" s="15"/>
      <c r="X25" s="15"/>
      <c r="Y25" s="15"/>
      <c r="Z25" s="15"/>
    </row>
    <row r="26" spans="2:26" x14ac:dyDescent="0.35">
      <c r="B26" s="25"/>
      <c r="C26" s="15"/>
      <c r="D26" s="15"/>
      <c r="E26" s="15"/>
      <c r="F26" s="15"/>
      <c r="G26" s="25"/>
      <c r="H26" s="15"/>
      <c r="I26" s="15"/>
      <c r="J26" s="15"/>
      <c r="K26" s="15"/>
      <c r="L26" s="15"/>
      <c r="M26" s="15"/>
      <c r="N26" s="15"/>
      <c r="O26" s="15"/>
      <c r="P26" s="15"/>
      <c r="Q26" s="25"/>
      <c r="R26" s="15"/>
      <c r="S26" s="15"/>
      <c r="T26" s="15"/>
      <c r="U26" s="15"/>
      <c r="V26" s="15"/>
      <c r="W26" s="15"/>
      <c r="X26" s="15"/>
      <c r="Y26" s="15"/>
      <c r="Z26" s="15"/>
    </row>
    <row r="27" spans="2:26" x14ac:dyDescent="0.35">
      <c r="B27" s="25"/>
      <c r="C27" s="15"/>
      <c r="D27" s="15"/>
      <c r="E27" s="15"/>
      <c r="F27" s="15"/>
      <c r="G27" s="25"/>
      <c r="H27" s="15"/>
      <c r="I27" s="15"/>
      <c r="J27" s="15"/>
      <c r="K27" s="15"/>
      <c r="L27" s="15"/>
      <c r="M27" s="15"/>
      <c r="N27" s="15"/>
      <c r="O27" s="15"/>
      <c r="P27" s="15"/>
      <c r="Q27" s="25"/>
      <c r="R27" s="15"/>
      <c r="S27" s="15"/>
      <c r="T27" s="15"/>
      <c r="U27" s="15"/>
      <c r="V27" s="15"/>
      <c r="W27" s="15"/>
      <c r="X27" s="15"/>
      <c r="Y27" s="15"/>
      <c r="Z27" s="15"/>
    </row>
    <row r="28" spans="2:26" x14ac:dyDescent="0.35">
      <c r="B28" s="25"/>
      <c r="C28" s="15"/>
      <c r="D28" s="15"/>
      <c r="E28" s="15"/>
      <c r="F28" s="15"/>
      <c r="G28" s="25"/>
      <c r="H28" s="15"/>
      <c r="I28" s="15"/>
      <c r="J28" s="15"/>
      <c r="K28" s="15"/>
      <c r="L28" s="15"/>
      <c r="M28" s="15"/>
      <c r="N28" s="15"/>
      <c r="O28" s="15"/>
      <c r="P28" s="15"/>
      <c r="Q28" s="25"/>
      <c r="R28" s="15"/>
      <c r="S28" s="15"/>
      <c r="T28" s="15"/>
      <c r="U28" s="15"/>
      <c r="V28" s="15"/>
      <c r="W28" s="15"/>
      <c r="X28" s="15"/>
      <c r="Y28" s="15"/>
      <c r="Z28" s="15"/>
    </row>
    <row r="29" spans="2:26" x14ac:dyDescent="0.35">
      <c r="B29" s="25"/>
      <c r="C29" s="15"/>
      <c r="D29" s="15"/>
      <c r="E29" s="15"/>
      <c r="F29" s="15"/>
      <c r="G29" s="25"/>
      <c r="H29" s="15"/>
      <c r="I29" s="15"/>
      <c r="J29" s="15"/>
      <c r="K29" s="15"/>
      <c r="L29" s="15"/>
      <c r="M29" s="15"/>
      <c r="N29" s="15"/>
      <c r="O29" s="15"/>
      <c r="P29" s="15"/>
      <c r="Q29" s="25"/>
      <c r="R29" s="15"/>
      <c r="S29" s="15"/>
      <c r="T29" s="15"/>
      <c r="U29" s="15"/>
      <c r="V29" s="15"/>
      <c r="W29" s="15"/>
      <c r="X29" s="15"/>
      <c r="Y29" s="15"/>
      <c r="Z29" s="15"/>
    </row>
    <row r="30" spans="2:26" x14ac:dyDescent="0.35">
      <c r="B30" s="25"/>
      <c r="C30" s="15"/>
      <c r="D30" s="15"/>
      <c r="E30" s="15"/>
      <c r="F30" s="15"/>
      <c r="G30" s="25"/>
      <c r="H30" s="15"/>
      <c r="I30" s="15"/>
      <c r="J30" s="15"/>
      <c r="K30" s="15"/>
      <c r="L30" s="15"/>
      <c r="M30" s="15"/>
      <c r="N30" s="15"/>
      <c r="O30" s="15"/>
      <c r="P30" s="15"/>
      <c r="Q30" s="25"/>
      <c r="R30" s="15"/>
      <c r="S30" s="15"/>
      <c r="T30" s="15"/>
      <c r="U30" s="15"/>
      <c r="V30" s="15"/>
      <c r="W30" s="15"/>
      <c r="X30" s="15"/>
      <c r="Y30" s="15"/>
      <c r="Z30" s="15"/>
    </row>
    <row r="31" spans="2:26" x14ac:dyDescent="0.35">
      <c r="B31" s="25"/>
      <c r="C31" s="15"/>
      <c r="D31" s="15"/>
      <c r="E31" s="15"/>
      <c r="F31" s="15"/>
      <c r="G31" s="25"/>
      <c r="H31" s="15"/>
      <c r="I31" s="15"/>
      <c r="J31" s="15"/>
      <c r="K31" s="15"/>
      <c r="L31" s="15"/>
      <c r="M31" s="15"/>
      <c r="N31" s="15"/>
      <c r="O31" s="15"/>
      <c r="P31" s="15"/>
      <c r="Q31" s="25"/>
      <c r="R31" s="15"/>
      <c r="S31" s="15"/>
      <c r="T31" s="15"/>
      <c r="U31" s="15"/>
      <c r="V31" s="15"/>
      <c r="W31" s="15"/>
      <c r="X31" s="15"/>
      <c r="Y31" s="15"/>
      <c r="Z31" s="15"/>
    </row>
    <row r="32" spans="2:26" x14ac:dyDescent="0.35">
      <c r="B32" s="25"/>
      <c r="C32" s="15"/>
      <c r="D32" s="15"/>
      <c r="E32" s="15"/>
      <c r="F32" s="15"/>
      <c r="G32" s="25"/>
      <c r="H32" s="15"/>
      <c r="I32" s="15"/>
      <c r="J32" s="15"/>
      <c r="K32" s="15"/>
      <c r="L32" s="15"/>
      <c r="M32" s="15"/>
      <c r="N32" s="15"/>
      <c r="O32" s="15"/>
      <c r="P32" s="15"/>
      <c r="Q32" s="25"/>
      <c r="R32" s="15"/>
      <c r="S32" s="15"/>
      <c r="T32" s="15"/>
      <c r="U32" s="15"/>
      <c r="V32" s="15"/>
      <c r="W32" s="15"/>
      <c r="X32" s="15"/>
      <c r="Y32" s="15"/>
      <c r="Z32" s="15"/>
    </row>
    <row r="33" spans="2:26" x14ac:dyDescent="0.35">
      <c r="B33" s="25"/>
      <c r="C33" s="15"/>
      <c r="D33" s="15"/>
      <c r="E33" s="15"/>
      <c r="F33" s="15"/>
      <c r="G33" s="25"/>
      <c r="H33" s="15"/>
      <c r="I33" s="15"/>
      <c r="J33" s="15"/>
      <c r="K33" s="15"/>
      <c r="L33" s="15"/>
      <c r="M33" s="15"/>
      <c r="N33" s="15"/>
      <c r="O33" s="15"/>
      <c r="P33" s="15"/>
      <c r="Q33" s="25"/>
      <c r="R33" s="15"/>
      <c r="S33" s="15"/>
      <c r="T33" s="15"/>
      <c r="U33" s="15"/>
      <c r="V33" s="15"/>
      <c r="W33" s="15"/>
      <c r="X33" s="15"/>
      <c r="Y33" s="15"/>
      <c r="Z33" s="15"/>
    </row>
    <row r="34" spans="2:26" x14ac:dyDescent="0.35">
      <c r="B34" s="25"/>
      <c r="C34" s="15"/>
      <c r="D34" s="15"/>
      <c r="E34" s="15"/>
      <c r="F34" s="15"/>
      <c r="G34" s="25"/>
      <c r="H34" s="15"/>
      <c r="I34" s="15"/>
      <c r="J34" s="15"/>
      <c r="K34" s="15"/>
      <c r="L34" s="15"/>
      <c r="M34" s="15"/>
      <c r="N34" s="15"/>
      <c r="O34" s="15"/>
      <c r="P34" s="15"/>
      <c r="Q34" s="25"/>
      <c r="R34" s="15"/>
      <c r="S34" s="15"/>
      <c r="T34" s="15"/>
      <c r="U34" s="15"/>
      <c r="V34" s="15"/>
      <c r="W34" s="15"/>
      <c r="X34" s="15"/>
      <c r="Y34" s="15"/>
      <c r="Z34" s="15"/>
    </row>
    <row r="35" spans="2:26" x14ac:dyDescent="0.35">
      <c r="B35" s="25"/>
      <c r="C35" s="15"/>
      <c r="D35" s="15"/>
      <c r="E35" s="15"/>
      <c r="F35" s="15"/>
      <c r="G35" s="25"/>
      <c r="H35" s="15"/>
      <c r="I35" s="15"/>
      <c r="J35" s="15"/>
      <c r="K35" s="15"/>
      <c r="L35" s="15"/>
      <c r="M35" s="15"/>
      <c r="N35" s="15"/>
      <c r="O35" s="15"/>
      <c r="P35" s="15"/>
      <c r="Q35" s="25"/>
      <c r="R35" s="15"/>
      <c r="S35" s="15"/>
      <c r="T35" s="15"/>
      <c r="U35" s="15"/>
      <c r="V35" s="15"/>
      <c r="W35" s="15"/>
      <c r="X35" s="15"/>
      <c r="Y35" s="15"/>
      <c r="Z35" s="15"/>
    </row>
    <row r="36" spans="2:26" x14ac:dyDescent="0.35">
      <c r="B36" s="25"/>
      <c r="C36" s="15"/>
      <c r="D36" s="15"/>
      <c r="E36" s="15"/>
      <c r="F36" s="15"/>
      <c r="G36" s="25"/>
      <c r="H36" s="15"/>
      <c r="I36" s="15"/>
      <c r="J36" s="15"/>
      <c r="K36" s="15"/>
      <c r="L36" s="15"/>
      <c r="M36" s="15"/>
      <c r="N36" s="15"/>
      <c r="O36" s="15"/>
      <c r="P36" s="15"/>
      <c r="Q36" s="25"/>
      <c r="R36" s="15"/>
      <c r="S36" s="15"/>
      <c r="T36" s="15"/>
      <c r="U36" s="15"/>
      <c r="V36" s="15"/>
      <c r="W36" s="15"/>
      <c r="X36" s="15"/>
      <c r="Y36" s="15"/>
      <c r="Z36" s="15"/>
    </row>
    <row r="37" spans="2:26" x14ac:dyDescent="0.35">
      <c r="B37" s="25"/>
      <c r="C37" s="15"/>
      <c r="D37" s="15"/>
      <c r="E37" s="15"/>
      <c r="F37" s="15"/>
      <c r="G37" s="25"/>
      <c r="H37" s="15"/>
      <c r="I37" s="15"/>
      <c r="J37" s="15"/>
      <c r="K37" s="15"/>
      <c r="L37" s="15"/>
      <c r="M37" s="15"/>
      <c r="N37" s="15"/>
      <c r="O37" s="15"/>
      <c r="P37" s="15"/>
      <c r="Q37" s="25"/>
      <c r="R37" s="15"/>
      <c r="S37" s="15"/>
      <c r="T37" s="15"/>
      <c r="U37" s="15"/>
      <c r="V37" s="15"/>
      <c r="W37" s="15"/>
      <c r="X37" s="15"/>
      <c r="Y37" s="15"/>
      <c r="Z37" s="15"/>
    </row>
    <row r="38" spans="2:26" x14ac:dyDescent="0.35">
      <c r="B38" s="25"/>
      <c r="C38" s="15"/>
      <c r="D38" s="15"/>
      <c r="E38" s="15"/>
      <c r="F38" s="15"/>
      <c r="G38" s="25"/>
      <c r="H38" s="15"/>
      <c r="I38" s="15"/>
      <c r="J38" s="15"/>
      <c r="K38" s="15"/>
      <c r="L38" s="15"/>
      <c r="M38" s="15"/>
      <c r="N38" s="15"/>
      <c r="O38" s="15"/>
      <c r="P38" s="15"/>
      <c r="Q38" s="25"/>
      <c r="R38" s="15"/>
      <c r="S38" s="15"/>
      <c r="T38" s="15"/>
      <c r="U38" s="15"/>
      <c r="V38" s="15"/>
      <c r="W38" s="15"/>
      <c r="X38" s="15"/>
      <c r="Y38" s="15"/>
      <c r="Z38" s="15"/>
    </row>
    <row r="39" spans="2:26" x14ac:dyDescent="0.35">
      <c r="B39" s="25"/>
      <c r="C39" s="15"/>
      <c r="D39" s="15"/>
      <c r="E39" s="15"/>
      <c r="F39" s="15"/>
      <c r="G39" s="2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2:26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2:26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2:26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2:26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2:26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2:26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2:26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2:26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2:26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2:26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2:26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2:26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2:26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2:26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2:26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2:26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2:26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2:26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2:26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2:26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2:26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2:26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2:26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2:26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2:26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2:26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2:26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2:26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2:26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</sheetData>
  <mergeCells count="1">
    <mergeCell ref="I17:P17"/>
  </mergeCells>
  <hyperlinks>
    <hyperlink ref="B3" r:id="rId1" location="get-open-orders"/>
    <hyperlink ref="B15" location="'Kraken P Open Orders'!B15" display="Get open orders"/>
    <hyperlink ref="B16" location="'Kraken P Open Orders'!B16" display="Clear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B72"/>
  <sheetViews>
    <sheetView topLeftCell="A14" workbookViewId="0">
      <selection activeCell="D16" sqref="D16"/>
    </sheetView>
  </sheetViews>
  <sheetFormatPr baseColWidth="10" defaultRowHeight="14.5" x14ac:dyDescent="0.35"/>
  <sheetData>
    <row r="2" spans="2:5" ht="17.5" x14ac:dyDescent="0.35">
      <c r="B2" s="13" t="s">
        <v>611</v>
      </c>
    </row>
    <row r="3" spans="2:5" x14ac:dyDescent="0.35">
      <c r="B3" s="14" t="s">
        <v>610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582</v>
      </c>
      <c r="D12" s="10"/>
      <c r="E12" t="s">
        <v>585</v>
      </c>
    </row>
    <row r="13" spans="2:5" x14ac:dyDescent="0.35">
      <c r="C13" t="s">
        <v>583</v>
      </c>
      <c r="D13" s="10"/>
      <c r="E13" t="s">
        <v>584</v>
      </c>
    </row>
    <row r="14" spans="2:5" x14ac:dyDescent="0.35">
      <c r="C14" t="s">
        <v>612</v>
      </c>
      <c r="D14" s="10"/>
      <c r="E14" t="s">
        <v>618</v>
      </c>
    </row>
    <row r="15" spans="2:5" x14ac:dyDescent="0.35">
      <c r="C15" t="s">
        <v>613</v>
      </c>
      <c r="D15" s="10"/>
      <c r="E15" t="s">
        <v>617</v>
      </c>
    </row>
    <row r="16" spans="2:5" x14ac:dyDescent="0.35">
      <c r="C16" t="s">
        <v>615</v>
      </c>
      <c r="D16" s="10"/>
      <c r="E16" t="s">
        <v>616</v>
      </c>
    </row>
    <row r="17" spans="2:28" x14ac:dyDescent="0.35">
      <c r="C17" t="s">
        <v>614</v>
      </c>
      <c r="D17" s="10"/>
      <c r="E17" t="s">
        <v>619</v>
      </c>
    </row>
    <row r="19" spans="2:28" x14ac:dyDescent="0.35">
      <c r="B19" s="14" t="s">
        <v>611</v>
      </c>
      <c r="D19" s="16"/>
    </row>
    <row r="20" spans="2:28" ht="15" thickBot="1" x14ac:dyDescent="0.4">
      <c r="B20" s="14" t="s">
        <v>649</v>
      </c>
    </row>
    <row r="21" spans="2:28" ht="15.5" thickTop="1" thickBot="1" x14ac:dyDescent="0.4">
      <c r="F21" t="s">
        <v>622</v>
      </c>
      <c r="H21" t="s">
        <v>622</v>
      </c>
      <c r="K21" s="24" t="s">
        <v>598</v>
      </c>
      <c r="L21" s="24"/>
      <c r="M21" s="24"/>
      <c r="N21" s="24"/>
      <c r="O21" s="24"/>
      <c r="P21" s="24"/>
      <c r="Q21" s="24"/>
      <c r="R21" s="24"/>
    </row>
    <row r="22" spans="2:28" ht="15.5" thickTop="1" thickBot="1" x14ac:dyDescent="0.4">
      <c r="B22" s="3" t="s">
        <v>586</v>
      </c>
      <c r="C22" s="3" t="s">
        <v>587</v>
      </c>
      <c r="D22" s="3" t="s">
        <v>602</v>
      </c>
      <c r="E22" s="3" t="s">
        <v>588</v>
      </c>
      <c r="F22" s="3" t="s">
        <v>621</v>
      </c>
      <c r="G22" s="3" t="s">
        <v>589</v>
      </c>
      <c r="H22" s="3" t="s">
        <v>620</v>
      </c>
      <c r="I22" s="3" t="s">
        <v>590</v>
      </c>
      <c r="J22" s="3" t="s">
        <v>591</v>
      </c>
      <c r="K22" s="3" t="s">
        <v>592</v>
      </c>
      <c r="L22" s="3" t="s">
        <v>593</v>
      </c>
      <c r="M22" s="3" t="s">
        <v>594</v>
      </c>
      <c r="N22" s="3" t="s">
        <v>508</v>
      </c>
      <c r="O22" s="3" t="s">
        <v>595</v>
      </c>
      <c r="P22" s="3" t="s">
        <v>596</v>
      </c>
      <c r="Q22" s="3" t="s">
        <v>597</v>
      </c>
      <c r="R22" s="3" t="s">
        <v>521</v>
      </c>
      <c r="S22" s="23" t="s">
        <v>600</v>
      </c>
      <c r="T22" s="23" t="s">
        <v>601</v>
      </c>
      <c r="U22" s="3" t="s">
        <v>599</v>
      </c>
      <c r="V22" s="3" t="s">
        <v>603</v>
      </c>
      <c r="W22" s="3" t="s">
        <v>604</v>
      </c>
      <c r="X22" s="3" t="s">
        <v>605</v>
      </c>
      <c r="Y22" s="3" t="s">
        <v>606</v>
      </c>
      <c r="Z22" s="3" t="s">
        <v>538</v>
      </c>
      <c r="AA22" s="3" t="s">
        <v>607</v>
      </c>
      <c r="AB22" s="3" t="s">
        <v>608</v>
      </c>
    </row>
    <row r="23" spans="2:28" ht="15" thickTop="1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  <row r="70" spans="2:28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2:28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</row>
    <row r="72" spans="2:28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</row>
  </sheetData>
  <dataConsolidate/>
  <mergeCells count="1">
    <mergeCell ref="K21:R21"/>
  </mergeCells>
  <dataValidations count="1">
    <dataValidation type="list" allowBlank="1" showInputMessage="1" showErrorMessage="1" sqref="D17">
      <formula1>"open,close,both"</formula1>
    </dataValidation>
  </dataValidations>
  <hyperlinks>
    <hyperlink ref="B3" r:id="rId1" location="get-closed-orders"/>
    <hyperlink ref="B19" location="'Kraken P Closed Orders'!B19" display="Get closed orders"/>
    <hyperlink ref="B20" location="'Kraken P Closed Orders'!B20" display="Clear"/>
  </hyperlinks>
  <pageMargins left="0.7" right="0.7" top="0.78740157499999996" bottom="0.78740157499999996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AB69"/>
  <sheetViews>
    <sheetView workbookViewId="0">
      <selection activeCell="B5" sqref="B5:E17"/>
    </sheetView>
  </sheetViews>
  <sheetFormatPr baseColWidth="10" defaultRowHeight="14.5" x14ac:dyDescent="0.35"/>
  <sheetData>
    <row r="2" spans="2:8" ht="17.5" x14ac:dyDescent="0.35">
      <c r="B2" s="13" t="s">
        <v>623</v>
      </c>
    </row>
    <row r="3" spans="2:8" x14ac:dyDescent="0.35">
      <c r="B3" s="14" t="s">
        <v>624</v>
      </c>
    </row>
    <row r="5" spans="2:8" x14ac:dyDescent="0.35">
      <c r="B5" t="s">
        <v>553</v>
      </c>
      <c r="C5" t="s">
        <v>554</v>
      </c>
      <c r="D5" s="10"/>
      <c r="E5" t="s">
        <v>556</v>
      </c>
    </row>
    <row r="6" spans="2:8" x14ac:dyDescent="0.35">
      <c r="C6" t="s">
        <v>555</v>
      </c>
      <c r="D6" s="10"/>
      <c r="E6" t="s">
        <v>557</v>
      </c>
    </row>
    <row r="8" spans="2:8" x14ac:dyDescent="0.35">
      <c r="C8" t="s">
        <v>558</v>
      </c>
      <c r="D8" s="10"/>
    </row>
    <row r="9" spans="2:8" x14ac:dyDescent="0.35">
      <c r="C9" t="s">
        <v>559</v>
      </c>
      <c r="D9" s="15" t="b">
        <f>ExistsKrakenCredentialsFile(D8)</f>
        <v>1</v>
      </c>
      <c r="E9" t="s">
        <v>561</v>
      </c>
    </row>
    <row r="10" spans="2:8" x14ac:dyDescent="0.35">
      <c r="C10" t="s">
        <v>560</v>
      </c>
      <c r="D10" s="15" t="str">
        <f>GetDefaultKrakenCredentialsFilepath()</f>
        <v>C:\Users\koerner\Desktop\kraken.key</v>
      </c>
    </row>
    <row r="12" spans="2:8" x14ac:dyDescent="0.35">
      <c r="B12" t="s">
        <v>24</v>
      </c>
      <c r="C12" t="s">
        <v>582</v>
      </c>
      <c r="D12" s="10"/>
      <c r="E12" t="s">
        <v>585</v>
      </c>
    </row>
    <row r="13" spans="2:8" x14ac:dyDescent="0.35">
      <c r="C13" t="s">
        <v>583</v>
      </c>
      <c r="D13" s="10"/>
      <c r="E13" t="s">
        <v>584</v>
      </c>
    </row>
    <row r="14" spans="2:8" x14ac:dyDescent="0.35">
      <c r="C14" t="s">
        <v>625</v>
      </c>
      <c r="D14" s="10"/>
      <c r="E14" t="s">
        <v>626</v>
      </c>
      <c r="H14" t="s">
        <v>651</v>
      </c>
    </row>
    <row r="16" spans="2:8" x14ac:dyDescent="0.35">
      <c r="B16" s="14" t="s">
        <v>623</v>
      </c>
      <c r="D16" s="16" t="s">
        <v>650</v>
      </c>
    </row>
    <row r="17" spans="2:28" ht="15" thickBot="1" x14ac:dyDescent="0.4">
      <c r="B17" s="14" t="s">
        <v>649</v>
      </c>
    </row>
    <row r="18" spans="2:28" ht="15.5" thickTop="1" thickBot="1" x14ac:dyDescent="0.4">
      <c r="F18" t="s">
        <v>622</v>
      </c>
      <c r="H18" t="s">
        <v>622</v>
      </c>
      <c r="K18" s="24" t="s">
        <v>598</v>
      </c>
      <c r="L18" s="24"/>
      <c r="M18" s="24"/>
      <c r="N18" s="24"/>
      <c r="O18" s="24"/>
      <c r="P18" s="24"/>
      <c r="Q18" s="24"/>
      <c r="R18" s="24"/>
    </row>
    <row r="19" spans="2:28" ht="15.5" thickTop="1" thickBot="1" x14ac:dyDescent="0.4">
      <c r="B19" s="3" t="s">
        <v>586</v>
      </c>
      <c r="C19" s="3" t="s">
        <v>587</v>
      </c>
      <c r="D19" s="3" t="s">
        <v>602</v>
      </c>
      <c r="E19" s="3" t="s">
        <v>588</v>
      </c>
      <c r="F19" s="3" t="s">
        <v>621</v>
      </c>
      <c r="G19" s="3" t="s">
        <v>589</v>
      </c>
      <c r="H19" s="3" t="s">
        <v>620</v>
      </c>
      <c r="I19" s="3" t="s">
        <v>590</v>
      </c>
      <c r="J19" s="3" t="s">
        <v>591</v>
      </c>
      <c r="K19" s="3" t="s">
        <v>592</v>
      </c>
      <c r="L19" s="3" t="s">
        <v>593</v>
      </c>
      <c r="M19" s="3" t="s">
        <v>594</v>
      </c>
      <c r="N19" s="3" t="s">
        <v>508</v>
      </c>
      <c r="O19" s="3" t="s">
        <v>595</v>
      </c>
      <c r="P19" s="3" t="s">
        <v>596</v>
      </c>
      <c r="Q19" s="3" t="s">
        <v>597</v>
      </c>
      <c r="R19" s="3" t="s">
        <v>521</v>
      </c>
      <c r="S19" s="23" t="s">
        <v>600</v>
      </c>
      <c r="T19" s="23" t="s">
        <v>601</v>
      </c>
      <c r="U19" s="3" t="s">
        <v>599</v>
      </c>
      <c r="V19" s="3" t="s">
        <v>603</v>
      </c>
      <c r="W19" s="3" t="s">
        <v>604</v>
      </c>
      <c r="X19" s="3" t="s">
        <v>605</v>
      </c>
      <c r="Y19" s="3" t="s">
        <v>606</v>
      </c>
      <c r="Z19" s="3" t="s">
        <v>538</v>
      </c>
      <c r="AA19" s="3" t="s">
        <v>607</v>
      </c>
      <c r="AB19" s="3" t="s">
        <v>608</v>
      </c>
    </row>
    <row r="20" spans="2:28" ht="15" thickTop="1" x14ac:dyDescent="0.3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</row>
    <row r="21" spans="2:28" x14ac:dyDescent="0.3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</row>
    <row r="22" spans="2:28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2:28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</sheetData>
  <mergeCells count="1">
    <mergeCell ref="K18:R18"/>
  </mergeCells>
  <hyperlinks>
    <hyperlink ref="B3" r:id="rId1" location="query-orders-info"/>
    <hyperlink ref="B16" location="'Kraken P Query OrdersInfo'!B16" display="Query orders info"/>
    <hyperlink ref="B17" location="'Kraken P Query OrdersInfo'!B17" display="Clear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B2:V121"/>
  <sheetViews>
    <sheetView topLeftCell="A6" workbookViewId="0">
      <selection activeCell="B20" sqref="B20:V21"/>
    </sheetView>
  </sheetViews>
  <sheetFormatPr baseColWidth="10" defaultRowHeight="14.5" x14ac:dyDescent="0.35"/>
  <sheetData>
    <row r="2" spans="2:5" ht="17.5" x14ac:dyDescent="0.35">
      <c r="B2" s="13" t="s">
        <v>627</v>
      </c>
    </row>
    <row r="3" spans="2:5" x14ac:dyDescent="0.35">
      <c r="B3" s="14" t="s">
        <v>628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593</v>
      </c>
      <c r="D12" s="10"/>
    </row>
    <row r="13" spans="2:5" x14ac:dyDescent="0.35">
      <c r="C13" t="s">
        <v>582</v>
      </c>
      <c r="D13" s="10"/>
      <c r="E13" t="s">
        <v>585</v>
      </c>
    </row>
    <row r="14" spans="2:5" x14ac:dyDescent="0.35">
      <c r="C14" t="s">
        <v>612</v>
      </c>
      <c r="D14" s="10"/>
      <c r="E14" t="s">
        <v>618</v>
      </c>
    </row>
    <row r="15" spans="2:5" x14ac:dyDescent="0.35">
      <c r="C15" t="s">
        <v>613</v>
      </c>
      <c r="D15" s="10"/>
      <c r="E15" t="s">
        <v>617</v>
      </c>
    </row>
    <row r="16" spans="2:5" x14ac:dyDescent="0.35">
      <c r="C16" t="s">
        <v>615</v>
      </c>
      <c r="D16" s="10"/>
      <c r="E16" t="s">
        <v>616</v>
      </c>
    </row>
    <row r="18" spans="2:22" x14ac:dyDescent="0.35">
      <c r="B18" s="14" t="s">
        <v>627</v>
      </c>
      <c r="D18" s="16"/>
    </row>
    <row r="19" spans="2:22" ht="15" thickBot="1" x14ac:dyDescent="0.4">
      <c r="B19" s="14" t="s">
        <v>649</v>
      </c>
    </row>
    <row r="20" spans="2:22" ht="15.5" thickTop="1" thickBot="1" x14ac:dyDescent="0.4">
      <c r="D20" t="s">
        <v>648</v>
      </c>
      <c r="I20" s="24" t="s">
        <v>635</v>
      </c>
      <c r="J20" s="24"/>
      <c r="K20" s="24"/>
      <c r="L20" s="3" t="s">
        <v>636</v>
      </c>
      <c r="M20" s="3" t="s">
        <v>639</v>
      </c>
      <c r="O20" s="24" t="s">
        <v>647</v>
      </c>
      <c r="P20" s="24"/>
      <c r="Q20" s="24"/>
      <c r="R20" s="24"/>
      <c r="S20" s="24"/>
      <c r="T20" s="24"/>
      <c r="U20" s="24"/>
      <c r="V20" s="24"/>
    </row>
    <row r="21" spans="2:22" ht="15.5" thickTop="1" thickBot="1" x14ac:dyDescent="0.4">
      <c r="B21" s="3" t="s">
        <v>625</v>
      </c>
      <c r="C21" s="3" t="s">
        <v>629</v>
      </c>
      <c r="D21" s="3" t="s">
        <v>630</v>
      </c>
      <c r="E21" s="3" t="s">
        <v>631</v>
      </c>
      <c r="F21" s="3" t="s">
        <v>632</v>
      </c>
      <c r="G21" s="3" t="s">
        <v>536</v>
      </c>
      <c r="H21" s="3" t="s">
        <v>594</v>
      </c>
      <c r="I21" s="3" t="s">
        <v>508</v>
      </c>
      <c r="J21" s="3" t="s">
        <v>633</v>
      </c>
      <c r="K21" s="3" t="s">
        <v>634</v>
      </c>
      <c r="L21" s="3" t="s">
        <v>637</v>
      </c>
      <c r="M21" s="3" t="s">
        <v>638</v>
      </c>
      <c r="N21" s="3" t="s">
        <v>538</v>
      </c>
      <c r="O21" s="3" t="s">
        <v>640</v>
      </c>
      <c r="P21" s="3" t="s">
        <v>641</v>
      </c>
      <c r="Q21" s="3" t="s">
        <v>642</v>
      </c>
      <c r="R21" s="3" t="s">
        <v>643</v>
      </c>
      <c r="S21" s="3" t="s">
        <v>644</v>
      </c>
      <c r="T21" s="3" t="s">
        <v>645</v>
      </c>
      <c r="U21" s="3" t="s">
        <v>646</v>
      </c>
      <c r="V21" s="3" t="s">
        <v>582</v>
      </c>
    </row>
    <row r="22" spans="2:22" ht="15" thickTop="1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2:22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2:22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2:22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2:22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2:22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2:22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2:22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2:22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2:22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</row>
    <row r="41" spans="2:22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</row>
    <row r="44" spans="2:22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</row>
    <row r="45" spans="2:22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</row>
    <row r="46" spans="2:22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</row>
    <row r="47" spans="2:22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</row>
    <row r="48" spans="2:22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</row>
    <row r="49" spans="2:22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</row>
    <row r="50" spans="2:22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</row>
    <row r="51" spans="2:22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</row>
    <row r="52" spans="2:22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</row>
    <row r="53" spans="2:22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</row>
    <row r="54" spans="2:22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</row>
    <row r="55" spans="2:22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</row>
    <row r="56" spans="2:22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</row>
    <row r="57" spans="2:22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</row>
    <row r="58" spans="2:22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</row>
    <row r="59" spans="2:22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</row>
    <row r="60" spans="2:22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</row>
    <row r="61" spans="2:22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2:22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</row>
    <row r="63" spans="2:22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</row>
    <row r="64" spans="2:22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</row>
    <row r="65" spans="2:22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</row>
    <row r="66" spans="2:22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</row>
    <row r="67" spans="2:22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</row>
    <row r="68" spans="2:22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</row>
    <row r="69" spans="2:22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2:22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</row>
    <row r="71" spans="2:22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</row>
    <row r="72" spans="2:22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2:22" x14ac:dyDescent="0.3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</row>
    <row r="74" spans="2:22" x14ac:dyDescent="0.3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</row>
    <row r="75" spans="2:22" x14ac:dyDescent="0.3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</row>
    <row r="76" spans="2:22" x14ac:dyDescent="0.3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2:22" x14ac:dyDescent="0.3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2:22" x14ac:dyDescent="0.3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</row>
    <row r="79" spans="2:22" x14ac:dyDescent="0.3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</row>
    <row r="80" spans="2:22" x14ac:dyDescent="0.3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2:22" x14ac:dyDescent="0.3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</row>
    <row r="82" spans="2:22" x14ac:dyDescent="0.3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</row>
    <row r="83" spans="2:22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</row>
    <row r="84" spans="2:22" x14ac:dyDescent="0.3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</row>
    <row r="85" spans="2:22" x14ac:dyDescent="0.3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</row>
    <row r="86" spans="2:22" x14ac:dyDescent="0.3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</row>
    <row r="87" spans="2:22" x14ac:dyDescent="0.3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</row>
    <row r="88" spans="2:22" x14ac:dyDescent="0.35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</row>
    <row r="89" spans="2:22" x14ac:dyDescent="0.3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</row>
    <row r="90" spans="2:22" x14ac:dyDescent="0.35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</row>
    <row r="91" spans="2:22" x14ac:dyDescent="0.3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</row>
    <row r="92" spans="2:22" x14ac:dyDescent="0.3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</row>
    <row r="93" spans="2:22" x14ac:dyDescent="0.3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</row>
    <row r="94" spans="2:22" x14ac:dyDescent="0.3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2:22" x14ac:dyDescent="0.3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</row>
    <row r="96" spans="2:22" x14ac:dyDescent="0.3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</row>
    <row r="97" spans="2:22" x14ac:dyDescent="0.3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</row>
    <row r="98" spans="2:22" x14ac:dyDescent="0.35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</row>
    <row r="99" spans="2:22" x14ac:dyDescent="0.3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</row>
    <row r="100" spans="2:22" x14ac:dyDescent="0.35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</row>
    <row r="101" spans="2:22" x14ac:dyDescent="0.3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</row>
    <row r="102" spans="2:22" x14ac:dyDescent="0.35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</row>
    <row r="103" spans="2:22" x14ac:dyDescent="0.3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</row>
    <row r="104" spans="2:22" x14ac:dyDescent="0.3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</row>
    <row r="105" spans="2:22" x14ac:dyDescent="0.3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</row>
    <row r="106" spans="2:22" x14ac:dyDescent="0.35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</row>
    <row r="107" spans="2:22" x14ac:dyDescent="0.3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</row>
    <row r="108" spans="2:22" x14ac:dyDescent="0.35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</row>
    <row r="109" spans="2:22" x14ac:dyDescent="0.3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</row>
    <row r="110" spans="2:22" x14ac:dyDescent="0.3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</row>
    <row r="111" spans="2:22" x14ac:dyDescent="0.3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2:22" x14ac:dyDescent="0.35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2:22" x14ac:dyDescent="0.3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</row>
    <row r="114" spans="2:22" x14ac:dyDescent="0.35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</row>
    <row r="115" spans="2:22" x14ac:dyDescent="0.3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</row>
    <row r="116" spans="2:22" x14ac:dyDescent="0.35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</row>
    <row r="117" spans="2:22" x14ac:dyDescent="0.3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</row>
    <row r="118" spans="2:22" x14ac:dyDescent="0.3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</row>
    <row r="119" spans="2:22" x14ac:dyDescent="0.3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</row>
    <row r="120" spans="2:22" x14ac:dyDescent="0.3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</row>
    <row r="121" spans="2:22" x14ac:dyDescent="0.3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</row>
  </sheetData>
  <mergeCells count="2">
    <mergeCell ref="I20:K20"/>
    <mergeCell ref="O20:V20"/>
  </mergeCells>
  <hyperlinks>
    <hyperlink ref="B3" r:id="rId1" location="get-trades-history"/>
    <hyperlink ref="B18" location="'Kraken P Trade History'!B18" display="Get trades history"/>
    <hyperlink ref="B19" location="'Kraken P Trade History'!B19" display="Clear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B2:V20"/>
  <sheetViews>
    <sheetView tabSelected="1" topLeftCell="A10" workbookViewId="0">
      <selection activeCell="B21" sqref="B21"/>
    </sheetView>
  </sheetViews>
  <sheetFormatPr baseColWidth="10" defaultRowHeight="14.5" x14ac:dyDescent="0.35"/>
  <sheetData>
    <row r="2" spans="2:5" ht="17.5" x14ac:dyDescent="0.35">
      <c r="B2" s="13" t="s">
        <v>653</v>
      </c>
    </row>
    <row r="3" spans="2:5" x14ac:dyDescent="0.35">
      <c r="B3" s="14" t="s">
        <v>652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625</v>
      </c>
      <c r="D12" s="10"/>
      <c r="E12" t="s">
        <v>626</v>
      </c>
    </row>
    <row r="13" spans="2:5" x14ac:dyDescent="0.35">
      <c r="C13" t="s">
        <v>582</v>
      </c>
      <c r="D13" s="10"/>
      <c r="E13" t="s">
        <v>585</v>
      </c>
    </row>
    <row r="15" spans="2:5" x14ac:dyDescent="0.35">
      <c r="B15" s="14" t="s">
        <v>653</v>
      </c>
      <c r="D15" s="16"/>
    </row>
    <row r="16" spans="2:5" ht="15" thickBot="1" x14ac:dyDescent="0.4">
      <c r="B16" s="14" t="s">
        <v>649</v>
      </c>
    </row>
    <row r="17" spans="2:22" ht="15.5" thickTop="1" thickBot="1" x14ac:dyDescent="0.4">
      <c r="D17" t="s">
        <v>648</v>
      </c>
      <c r="I17" s="24" t="s">
        <v>635</v>
      </c>
      <c r="J17" s="24"/>
      <c r="K17" s="24"/>
      <c r="L17" s="3" t="s">
        <v>636</v>
      </c>
      <c r="M17" s="3" t="s">
        <v>639</v>
      </c>
      <c r="O17" s="24" t="s">
        <v>647</v>
      </c>
      <c r="P17" s="24"/>
      <c r="Q17" s="24"/>
      <c r="R17" s="24"/>
      <c r="S17" s="24"/>
      <c r="T17" s="24"/>
      <c r="U17" s="24"/>
      <c r="V17" s="24"/>
    </row>
    <row r="18" spans="2:22" ht="15.5" thickTop="1" thickBot="1" x14ac:dyDescent="0.4">
      <c r="B18" s="3" t="s">
        <v>625</v>
      </c>
      <c r="C18" s="3" t="s">
        <v>629</v>
      </c>
      <c r="D18" s="3" t="s">
        <v>630</v>
      </c>
      <c r="E18" s="3" t="s">
        <v>631</v>
      </c>
      <c r="F18" s="3" t="s">
        <v>632</v>
      </c>
      <c r="G18" s="3" t="s">
        <v>536</v>
      </c>
      <c r="H18" s="3" t="s">
        <v>594</v>
      </c>
      <c r="I18" s="3" t="s">
        <v>508</v>
      </c>
      <c r="J18" s="3" t="s">
        <v>633</v>
      </c>
      <c r="K18" s="3" t="s">
        <v>634</v>
      </c>
      <c r="L18" s="3" t="s">
        <v>637</v>
      </c>
      <c r="M18" s="3" t="s">
        <v>638</v>
      </c>
      <c r="N18" s="3" t="s">
        <v>538</v>
      </c>
      <c r="O18" s="3" t="s">
        <v>640</v>
      </c>
      <c r="P18" s="3" t="s">
        <v>641</v>
      </c>
      <c r="Q18" s="3" t="s">
        <v>642</v>
      </c>
      <c r="R18" s="3" t="s">
        <v>643</v>
      </c>
      <c r="S18" s="3" t="s">
        <v>644</v>
      </c>
      <c r="T18" s="3" t="s">
        <v>645</v>
      </c>
      <c r="U18" s="3" t="s">
        <v>646</v>
      </c>
      <c r="V18" s="3" t="s">
        <v>582</v>
      </c>
    </row>
    <row r="19" spans="2:22" ht="15" thickTop="1" x14ac:dyDescent="0.35"/>
    <row r="20" spans="2:22" x14ac:dyDescent="0.35">
      <c r="B20" t="s">
        <v>654</v>
      </c>
    </row>
  </sheetData>
  <mergeCells count="2">
    <mergeCell ref="I17:K17"/>
    <mergeCell ref="O17:V17"/>
  </mergeCells>
  <hyperlinks>
    <hyperlink ref="B3" r:id="rId1" location="query-trades-info"/>
    <hyperlink ref="B15" location="'Kraken P Query TradesInfo'!B15" display="Query trades info"/>
    <hyperlink ref="B16" location="'Kraken P Query TradesInfo'!B16" display="Clear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  <vt:lpstr>Kraken P Account Balance</vt:lpstr>
      <vt:lpstr>Kraken P Trade Balance</vt:lpstr>
      <vt:lpstr>Kraken P Open Orders</vt:lpstr>
      <vt:lpstr>Kraken P Closed Orders</vt:lpstr>
      <vt:lpstr>Kraken P Query OrdersInfo</vt:lpstr>
      <vt:lpstr>Kraken P Trade History</vt:lpstr>
      <vt:lpstr>Kraken P Query TradesInfo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2020-06-09T12:39:17Z</dcterms:modified>
</cp:coreProperties>
</file>