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oerner\Desktop\"/>
    </mc:Choice>
  </mc:AlternateContent>
  <bookViews>
    <workbookView xWindow="0" yWindow="0" windowWidth="17030" windowHeight="6450"/>
  </bookViews>
  <sheets>
    <sheet name="Kraken GetCurrentPrice" sheetId="1" r:id="rId1"/>
    <sheet name="Kraken Time" sheetId="2" r:id="rId2"/>
    <sheet name="Kraken AssetInfos" sheetId="3" r:id="rId3"/>
    <sheet name="Kraken AssetPairs" sheetId="4" r:id="rId4"/>
    <sheet name="Kraken Ticker" sheetId="5" r:id="rId5"/>
    <sheet name="Kraken OHLC data" sheetId="6" r:id="rId6"/>
    <sheet name="Kraken OrderBook" sheetId="7" r:id="rId7"/>
    <sheet name="Kraken RecentTrades" sheetId="8" r:id="rId8"/>
    <sheet name="Kraken Spread" sheetId="9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6" l="1"/>
  <c r="K16" i="7"/>
  <c r="K14" i="7"/>
  <c r="G64" i="9"/>
  <c r="G128" i="9"/>
  <c r="G192" i="9"/>
  <c r="G182" i="9"/>
  <c r="G65" i="9"/>
  <c r="G129" i="9"/>
  <c r="G193" i="9"/>
  <c r="G203" i="9"/>
  <c r="G31" i="9"/>
  <c r="G42" i="9"/>
  <c r="G106" i="9"/>
  <c r="G170" i="9"/>
  <c r="G29" i="9"/>
  <c r="G183" i="9"/>
  <c r="G75" i="9"/>
  <c r="G61" i="9"/>
  <c r="G199" i="9"/>
  <c r="G76" i="9"/>
  <c r="G140" i="9"/>
  <c r="G204" i="9"/>
  <c r="G133" i="9"/>
  <c r="G191" i="9"/>
  <c r="G78" i="9"/>
  <c r="G142" i="9"/>
  <c r="G151" i="9"/>
  <c r="G34" i="9"/>
  <c r="G134" i="9"/>
  <c r="J8" i="8"/>
  <c r="K17" i="7"/>
  <c r="J14" i="7"/>
  <c r="G72" i="9"/>
  <c r="G136" i="9"/>
  <c r="G200" i="9"/>
  <c r="G55" i="9"/>
  <c r="G73" i="9"/>
  <c r="G137" i="9"/>
  <c r="G201" i="9"/>
  <c r="G53" i="9"/>
  <c r="G103" i="9"/>
  <c r="G50" i="9"/>
  <c r="G114" i="9"/>
  <c r="G178" i="9"/>
  <c r="G101" i="9"/>
  <c r="G19" i="9"/>
  <c r="G83" i="9"/>
  <c r="G141" i="9"/>
  <c r="G20" i="9"/>
  <c r="G84" i="9"/>
  <c r="G148" i="9"/>
  <c r="G212" i="9"/>
  <c r="G157" i="9"/>
  <c r="G22" i="9"/>
  <c r="G86" i="9"/>
  <c r="G150" i="9"/>
  <c r="G14" i="9"/>
  <c r="G190" i="9"/>
  <c r="M10" i="6"/>
  <c r="J18" i="7"/>
  <c r="G16" i="9"/>
  <c r="G80" i="9"/>
  <c r="G144" i="9"/>
  <c r="G208" i="9"/>
  <c r="G17" i="9"/>
  <c r="G81" i="9"/>
  <c r="G145" i="9"/>
  <c r="G209" i="9"/>
  <c r="G93" i="9"/>
  <c r="G143" i="9"/>
  <c r="G58" i="9"/>
  <c r="G122" i="9"/>
  <c r="G186" i="9"/>
  <c r="G165" i="9"/>
  <c r="G27" i="9"/>
  <c r="G91" i="9"/>
  <c r="G189" i="9"/>
  <c r="G28" i="9"/>
  <c r="G92" i="9"/>
  <c r="G156" i="9"/>
  <c r="G21" i="9"/>
  <c r="G197" i="9"/>
  <c r="G30" i="9"/>
  <c r="G94" i="9"/>
  <c r="G158" i="9"/>
  <c r="J8" i="9"/>
  <c r="G184" i="9"/>
  <c r="G195" i="9"/>
  <c r="G109" i="9"/>
  <c r="J17" i="1"/>
  <c r="K18" i="7"/>
  <c r="G24" i="9"/>
  <c r="G88" i="9"/>
  <c r="G152" i="9"/>
  <c r="G115" i="9"/>
  <c r="G25" i="9"/>
  <c r="G89" i="9"/>
  <c r="G153" i="9"/>
  <c r="G210" i="9"/>
  <c r="G125" i="9"/>
  <c r="G175" i="9"/>
  <c r="G66" i="9"/>
  <c r="G130" i="9"/>
  <c r="G194" i="9"/>
  <c r="G205" i="9"/>
  <c r="G35" i="9"/>
  <c r="G99" i="9"/>
  <c r="G198" i="9"/>
  <c r="G36" i="9"/>
  <c r="G100" i="9"/>
  <c r="G164" i="9"/>
  <c r="G45" i="9"/>
  <c r="G174" i="9"/>
  <c r="G38" i="9"/>
  <c r="G102" i="9"/>
  <c r="G166" i="9"/>
  <c r="G120" i="9"/>
  <c r="G173" i="9"/>
  <c r="G185" i="9"/>
  <c r="G119" i="9"/>
  <c r="G68" i="9"/>
  <c r="G70" i="9"/>
  <c r="J20" i="1"/>
  <c r="J15" i="7"/>
  <c r="G32" i="9"/>
  <c r="G96" i="9"/>
  <c r="G160" i="9"/>
  <c r="G179" i="9"/>
  <c r="G33" i="9"/>
  <c r="G97" i="9"/>
  <c r="G161" i="9"/>
  <c r="G123" i="9"/>
  <c r="G149" i="9"/>
  <c r="G207" i="9"/>
  <c r="G74" i="9"/>
  <c r="G138" i="9"/>
  <c r="G202" i="9"/>
  <c r="G15" i="9"/>
  <c r="G43" i="9"/>
  <c r="G107" i="9"/>
  <c r="G23" i="9"/>
  <c r="G44" i="9"/>
  <c r="G108" i="9"/>
  <c r="G172" i="9"/>
  <c r="G69" i="9"/>
  <c r="G47" i="9"/>
  <c r="G46" i="9"/>
  <c r="G110" i="9"/>
  <c r="G206" i="9"/>
  <c r="G56" i="9"/>
  <c r="G57" i="9"/>
  <c r="G98" i="9"/>
  <c r="G211" i="9"/>
  <c r="G196" i="9"/>
  <c r="J16" i="1"/>
  <c r="K15" i="7"/>
  <c r="G40" i="9"/>
  <c r="G104" i="9"/>
  <c r="G168" i="9"/>
  <c r="G37" i="9"/>
  <c r="G41" i="9"/>
  <c r="G105" i="9"/>
  <c r="G169" i="9"/>
  <c r="G147" i="9"/>
  <c r="G181" i="9"/>
  <c r="G18" i="9"/>
  <c r="G82" i="9"/>
  <c r="G146" i="9"/>
  <c r="G131" i="9"/>
  <c r="G63" i="9"/>
  <c r="G51" i="9"/>
  <c r="G139" i="9"/>
  <c r="G79" i="9"/>
  <c r="G52" i="9"/>
  <c r="G116" i="9"/>
  <c r="G180" i="9"/>
  <c r="G77" i="9"/>
  <c r="G95" i="9"/>
  <c r="G54" i="9"/>
  <c r="G118" i="9"/>
  <c r="G39" i="9"/>
  <c r="J16" i="7"/>
  <c r="G121" i="9"/>
  <c r="G162" i="9"/>
  <c r="G159" i="9"/>
  <c r="G167" i="9"/>
  <c r="J19" i="1"/>
  <c r="J17" i="7"/>
  <c r="G48" i="9"/>
  <c r="G112" i="9"/>
  <c r="G176" i="9"/>
  <c r="G117" i="9"/>
  <c r="G49" i="9"/>
  <c r="G113" i="9"/>
  <c r="G177" i="9"/>
  <c r="G155" i="9"/>
  <c r="G213" i="9"/>
  <c r="G26" i="9"/>
  <c r="G90" i="9"/>
  <c r="G154" i="9"/>
  <c r="G163" i="9"/>
  <c r="G87" i="9"/>
  <c r="G59" i="9"/>
  <c r="G171" i="9"/>
  <c r="G127" i="9"/>
  <c r="G60" i="9"/>
  <c r="G124" i="9"/>
  <c r="G188" i="9"/>
  <c r="G85" i="9"/>
  <c r="G135" i="9"/>
  <c r="G62" i="9"/>
  <c r="G126" i="9"/>
  <c r="G71" i="9"/>
  <c r="H5" i="2"/>
  <c r="G187" i="9"/>
  <c r="G67" i="9"/>
  <c r="G132" i="9"/>
  <c r="G111" i="9"/>
</calcChain>
</file>

<file path=xl/sharedStrings.xml><?xml version="1.0" encoding="utf-8"?>
<sst xmlns="http://schemas.openxmlformats.org/spreadsheetml/2006/main" count="2287" uniqueCount="546">
  <si>
    <t>XXBTZEUR</t>
  </si>
  <si>
    <t>XETHZEUR</t>
  </si>
  <si>
    <t>XXRPZEUR</t>
  </si>
  <si>
    <t>XTZEUR</t>
  </si>
  <si>
    <t>PAXGEUR</t>
  </si>
  <si>
    <t>SCEUR</t>
  </si>
  <si>
    <t>LSKEUR</t>
  </si>
  <si>
    <t>XDGEUR</t>
  </si>
  <si>
    <t>USDTEUR</t>
  </si>
  <si>
    <t>sInput</t>
  </si>
  <si>
    <t>SHA256 (base64)</t>
  </si>
  <si>
    <t>SHA256 (bytes)</t>
  </si>
  <si>
    <t>Bytes (first?)</t>
  </si>
  <si>
    <t>Bytes (all)</t>
  </si>
  <si>
    <t>current price</t>
  </si>
  <si>
    <t>difference to last price</t>
  </si>
  <si>
    <t>Note: Assign Link to self on crypto name and process link click in code …</t>
  </si>
  <si>
    <t>https://www.kraken.com/features/api#get-server-time</t>
  </si>
  <si>
    <t>Get server time</t>
  </si>
  <si>
    <t>Get</t>
  </si>
  <si>
    <t>rfc1123</t>
  </si>
  <si>
    <t>unixtime</t>
  </si>
  <si>
    <t>Get asset info</t>
  </si>
  <si>
    <t>https://www.kraken.com/features/api#get-asset-info</t>
  </si>
  <si>
    <t>Params</t>
  </si>
  <si>
    <t>XBT</t>
  </si>
  <si>
    <t>Assets</t>
  </si>
  <si>
    <t>XETH</t>
  </si>
  <si>
    <t>ETH</t>
  </si>
  <si>
    <t>XXBT</t>
  </si>
  <si>
    <t>aclass</t>
  </si>
  <si>
    <t>altname</t>
  </si>
  <si>
    <t>asset</t>
  </si>
  <si>
    <t>decimals</t>
  </si>
  <si>
    <t>display_decimals</t>
  </si>
  <si>
    <t>currency</t>
  </si>
  <si>
    <t>ADA</t>
  </si>
  <si>
    <t>ALGO</t>
  </si>
  <si>
    <t>ATOM</t>
  </si>
  <si>
    <t>BAT</t>
  </si>
  <si>
    <t>BCH</t>
  </si>
  <si>
    <t>BSV</t>
  </si>
  <si>
    <t>CHF</t>
  </si>
  <si>
    <t>DAI</t>
  </si>
  <si>
    <t>DASH</t>
  </si>
  <si>
    <t>EOS</t>
  </si>
  <si>
    <t>GNO</t>
  </si>
  <si>
    <t>ICX</t>
  </si>
  <si>
    <t>KFEE</t>
  </si>
  <si>
    <t>FEE</t>
  </si>
  <si>
    <t>LINK</t>
  </si>
  <si>
    <t>LSK</t>
  </si>
  <si>
    <t>NANO</t>
  </si>
  <si>
    <t>OMG</t>
  </si>
  <si>
    <t>OXT</t>
  </si>
  <si>
    <t>PAXG</t>
  </si>
  <si>
    <t>QTUM</t>
  </si>
  <si>
    <t>SC</t>
  </si>
  <si>
    <t>TRX</t>
  </si>
  <si>
    <t>USDC</t>
  </si>
  <si>
    <t>USDT</t>
  </si>
  <si>
    <t>WAVES</t>
  </si>
  <si>
    <t>XETC</t>
  </si>
  <si>
    <t>ETC</t>
  </si>
  <si>
    <t>XLTC</t>
  </si>
  <si>
    <t>LTC</t>
  </si>
  <si>
    <t>XMLN</t>
  </si>
  <si>
    <t>MLN</t>
  </si>
  <si>
    <t>XREP</t>
  </si>
  <si>
    <t>REP</t>
  </si>
  <si>
    <t>XTZ</t>
  </si>
  <si>
    <t>XTZ.S</t>
  </si>
  <si>
    <t>XXDG</t>
  </si>
  <si>
    <t>XDG</t>
  </si>
  <si>
    <t>XXLM</t>
  </si>
  <si>
    <t>XLM</t>
  </si>
  <si>
    <t>XXMR</t>
  </si>
  <si>
    <t>XMR</t>
  </si>
  <si>
    <t>XXRP</t>
  </si>
  <si>
    <t>XRP</t>
  </si>
  <si>
    <t>XZEC</t>
  </si>
  <si>
    <t>ZEC</t>
  </si>
  <si>
    <t>ZCAD</t>
  </si>
  <si>
    <t>CAD</t>
  </si>
  <si>
    <t>ZEUR</t>
  </si>
  <si>
    <t>EUR</t>
  </si>
  <si>
    <t>ZGBP</t>
  </si>
  <si>
    <t>GBP</t>
  </si>
  <si>
    <t>ZJPY</t>
  </si>
  <si>
    <t>JPY</t>
  </si>
  <si>
    <t>ZUSD</t>
  </si>
  <si>
    <t>USD</t>
  </si>
  <si>
    <t>(kommalist; empty for default, all)</t>
  </si>
  <si>
    <t>BTC,ETH,ZEUR</t>
  </si>
  <si>
    <t>Get tradable asset pairs</t>
  </si>
  <si>
    <t>https://www.kraken.com/features/api#get-tradable-pairs</t>
  </si>
  <si>
    <t>Infos</t>
  </si>
  <si>
    <t>fees</t>
  </si>
  <si>
    <t>XBTEUR</t>
  </si>
  <si>
    <t>XBT/EUR</t>
  </si>
  <si>
    <t>unit</t>
  </si>
  <si>
    <t>wsclass</t>
  </si>
  <si>
    <t>aclass_base</t>
  </si>
  <si>
    <t>base</t>
  </si>
  <si>
    <t>aclass_quote</t>
  </si>
  <si>
    <t>quote</t>
  </si>
  <si>
    <t>lot</t>
  </si>
  <si>
    <t>pair_decimals</t>
  </si>
  <si>
    <t>lot_decimals</t>
  </si>
  <si>
    <t>lot_multiplier</t>
  </si>
  <si>
    <t>fee_volume_currency</t>
  </si>
  <si>
    <t>margin_call</t>
  </si>
  <si>
    <t>margin_stop</t>
  </si>
  <si>
    <t>fees_maker</t>
  </si>
  <si>
    <t>leverage_buy</t>
  </si>
  <si>
    <t>leverage_sell</t>
  </si>
  <si>
    <t>ADAETH</t>
  </si>
  <si>
    <t>ADA/ETH</t>
  </si>
  <si>
    <t>ADAEUR</t>
  </si>
  <si>
    <t>ADA/EUR</t>
  </si>
  <si>
    <t>ADAUSD</t>
  </si>
  <si>
    <t>ADA/USD</t>
  </si>
  <si>
    <t>ADAXBT</t>
  </si>
  <si>
    <t>ADA/XBT</t>
  </si>
  <si>
    <t>ALGOETH</t>
  </si>
  <si>
    <t>ALGO/ETH</t>
  </si>
  <si>
    <t>ALGOEUR</t>
  </si>
  <si>
    <t>ALGO/EUR</t>
  </si>
  <si>
    <t>ALGOUSD</t>
  </si>
  <si>
    <t>ALGO/USD</t>
  </si>
  <si>
    <t>ALGOXBT</t>
  </si>
  <si>
    <t>ALGO/XBT</t>
  </si>
  <si>
    <t>ATOMETH</t>
  </si>
  <si>
    <t>ATOM/ETH</t>
  </si>
  <si>
    <t>ATOMEUR</t>
  </si>
  <si>
    <t>ATOM/EUR</t>
  </si>
  <si>
    <t>ATOMUSD</t>
  </si>
  <si>
    <t>ATOM/USD</t>
  </si>
  <si>
    <t>ATOMXBT</t>
  </si>
  <si>
    <t>ATOM/XBT</t>
  </si>
  <si>
    <t>BATETH</t>
  </si>
  <si>
    <t>BAT/ETH</t>
  </si>
  <si>
    <t>BATEUR</t>
  </si>
  <si>
    <t>BAT/EUR</t>
  </si>
  <si>
    <t>BATUSD</t>
  </si>
  <si>
    <t>BAT/USD</t>
  </si>
  <si>
    <t>BATXBT</t>
  </si>
  <si>
    <t>BAT/XBT</t>
  </si>
  <si>
    <t>BCHETH</t>
  </si>
  <si>
    <t>BCH/ETH</t>
  </si>
  <si>
    <t>BCHEUR</t>
  </si>
  <si>
    <t>BCH/EUR</t>
  </si>
  <si>
    <t>BCHGBP</t>
  </si>
  <si>
    <t>BCH/GBP</t>
  </si>
  <si>
    <t>BCHUSD</t>
  </si>
  <si>
    <t>BCH/USD</t>
  </si>
  <si>
    <t>BCHUSDT</t>
  </si>
  <si>
    <t>BCH/USDT</t>
  </si>
  <si>
    <t>BCHXBT</t>
  </si>
  <si>
    <t>BCH/XBT</t>
  </si>
  <si>
    <t>DAIEUR</t>
  </si>
  <si>
    <t>DAI/EUR</t>
  </si>
  <si>
    <t>DAIUSD</t>
  </si>
  <si>
    <t>DAI/USD</t>
  </si>
  <si>
    <t>DAIUSDT</t>
  </si>
  <si>
    <t>DAI/USDT</t>
  </si>
  <si>
    <t>DASHEUR</t>
  </si>
  <si>
    <t>DASH/EUR</t>
  </si>
  <si>
    <t>DASHUSD</t>
  </si>
  <si>
    <t>DASH/USD</t>
  </si>
  <si>
    <t>DASHXBT</t>
  </si>
  <si>
    <t>DASH/XBT</t>
  </si>
  <si>
    <t>EOSETH</t>
  </si>
  <si>
    <t>EOS/ETH</t>
  </si>
  <si>
    <t>EOSEUR</t>
  </si>
  <si>
    <t>EOS/EUR</t>
  </si>
  <si>
    <t>EOSUSD</t>
  </si>
  <si>
    <t>EOS/USD</t>
  </si>
  <si>
    <t>EOSXBT</t>
  </si>
  <si>
    <t>EOS/XBT</t>
  </si>
  <si>
    <t>ETHCHF</t>
  </si>
  <si>
    <t>ETH/CHF</t>
  </si>
  <si>
    <t>ETHDAI</t>
  </si>
  <si>
    <t>ETH/DAI</t>
  </si>
  <si>
    <t>ETHUSDC</t>
  </si>
  <si>
    <t>ETH/USDC</t>
  </si>
  <si>
    <t>ETHUSDT</t>
  </si>
  <si>
    <t>ETH/USDT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</si>
  <si>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</si>
  <si>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</si>
  <si>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</si>
  <si>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</si>
  <si>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</si>
  <si>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</si>
  <si>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</si>
  <si>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</si>
  <si>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GNOETH</t>
  </si>
  <si>
    <t>GNO/ETH</t>
  </si>
  <si>
    <t>GNOEUR</t>
  </si>
  <si>
    <t>GNO/EUR</t>
  </si>
  <si>
    <t>GNOUSD</t>
  </si>
  <si>
    <t>GNO/USD</t>
  </si>
  <si>
    <t>GNOXBT</t>
  </si>
  <si>
    <t>GNO/XBT</t>
  </si>
  <si>
    <t>ICXETH</t>
  </si>
  <si>
    <t>ICX/ETH</t>
  </si>
  <si>
    <t>ICXEUR</t>
  </si>
  <si>
    <t>ICX/EUR</t>
  </si>
  <si>
    <t>ICXUSD</t>
  </si>
  <si>
    <t>ICX/USD</t>
  </si>
  <si>
    <t>ICXXBT</t>
  </si>
  <si>
    <t>ICX/XBT</t>
  </si>
  <si>
    <t>LINKETH</t>
  </si>
  <si>
    <t>LINK/ETH</t>
  </si>
  <si>
    <t>LINKEUR</t>
  </si>
  <si>
    <t>LINK/EUR</t>
  </si>
  <si>
    <t>LINKUSD</t>
  </si>
  <si>
    <t>LINK/USD</t>
  </si>
  <si>
    <t>LINKXBT</t>
  </si>
  <si>
    <t>LINK/XBT</t>
  </si>
  <si>
    <t>LSKETH</t>
  </si>
  <si>
    <t>LSK/ETH</t>
  </si>
  <si>
    <t>LSK/EUR</t>
  </si>
  <si>
    <t>LSKUSD</t>
  </si>
  <si>
    <t>LSK/USD</t>
  </si>
  <si>
    <t>LSKXBT</t>
  </si>
  <si>
    <t>LSK/XBT</t>
  </si>
  <si>
    <t>LTCETH</t>
  </si>
  <si>
    <t>LTC/ETH</t>
  </si>
  <si>
    <t>LTCGBP</t>
  </si>
  <si>
    <t>LTC/GBP</t>
  </si>
  <si>
    <t>LTCUSDT</t>
  </si>
  <si>
    <t>LTC/USDT</t>
  </si>
  <si>
    <t>NANOETH</t>
  </si>
  <si>
    <t>NANO/ETH</t>
  </si>
  <si>
    <t>NANOEUR</t>
  </si>
  <si>
    <t>NANO/EUR</t>
  </si>
  <si>
    <t>NANOUSD</t>
  </si>
  <si>
    <t>NANO/USD</t>
  </si>
  <si>
    <t>NANOXBT</t>
  </si>
  <si>
    <t>NANO/XBT</t>
  </si>
  <si>
    <t>OMGETH</t>
  </si>
  <si>
    <t>OMG/ETH</t>
  </si>
  <si>
    <t>OMGEUR</t>
  </si>
  <si>
    <t>OMG/EUR</t>
  </si>
  <si>
    <t>OMGUSD</t>
  </si>
  <si>
    <t>OMG/USD</t>
  </si>
  <si>
    <t>OMGXBT</t>
  </si>
  <si>
    <t>OMG/XBT</t>
  </si>
  <si>
    <t>OXTETH</t>
  </si>
  <si>
    <t>OXT/ETH</t>
  </si>
  <si>
    <t>OXTEUR</t>
  </si>
  <si>
    <t>OXT/EUR</t>
  </si>
  <si>
    <t>OXTUSD</t>
  </si>
  <si>
    <t>OXT/USD</t>
  </si>
  <si>
    <t>OXTXBT</t>
  </si>
  <si>
    <t>OXT/XBT</t>
  </si>
  <si>
    <t>PAXGETH</t>
  </si>
  <si>
    <t>PAXG/ETH</t>
  </si>
  <si>
    <t>PAXG/EUR</t>
  </si>
  <si>
    <t>PAXGUSD</t>
  </si>
  <si>
    <t>PAXG/USD</t>
  </si>
  <si>
    <t>PAXGXBT</t>
  </si>
  <si>
    <t>PAXG/XBT</t>
  </si>
  <si>
    <t>QTUMETH</t>
  </si>
  <si>
    <t>QTUM/ETH</t>
  </si>
  <si>
    <t>QTUMEUR</t>
  </si>
  <si>
    <t>QTUM/EUR</t>
  </si>
  <si>
    <t>QTUMUSD</t>
  </si>
  <si>
    <t>QTUM/USD</t>
  </si>
  <si>
    <t>QTUMXBT</t>
  </si>
  <si>
    <t>QTUM/XBT</t>
  </si>
  <si>
    <t>SCETH</t>
  </si>
  <si>
    <t>SC/ETH</t>
  </si>
  <si>
    <t>SC/EUR</t>
  </si>
  <si>
    <t>SCUSD</t>
  </si>
  <si>
    <t>SC/USD</t>
  </si>
  <si>
    <t>SCXBT</t>
  </si>
  <si>
    <t>SC/XBT</t>
  </si>
  <si>
    <t>TRXETH</t>
  </si>
  <si>
    <t>TRX/ETH</t>
  </si>
  <si>
    <t>TRXEUR</t>
  </si>
  <si>
    <t>TRX/EUR</t>
  </si>
  <si>
    <t>TRXUSD</t>
  </si>
  <si>
    <t>TRX/USD</t>
  </si>
  <si>
    <t>TRXXBT</t>
  </si>
  <si>
    <t>TRX/XBT</t>
  </si>
  <si>
    <t>USDCEUR</t>
  </si>
  <si>
    <t>USDC/EUR</t>
  </si>
  <si>
    <t>USDCHF</t>
  </si>
  <si>
    <t>USD/CHF</t>
  </si>
  <si>
    <t>USDCUSD</t>
  </si>
  <si>
    <t>USDC/USD</t>
  </si>
  <si>
    <t>USDCUSDT</t>
  </si>
  <si>
    <t>USDC/USDT</t>
  </si>
  <si>
    <t>USDTCAD</t>
  </si>
  <si>
    <t>USDT/CAD</t>
  </si>
  <si>
    <t>USDTCHF</t>
  </si>
  <si>
    <t>USDT/CHF</t>
  </si>
  <si>
    <t>USDT/EUR</t>
  </si>
  <si>
    <t>USDTGBP</t>
  </si>
  <si>
    <t>USDT/GBP</t>
  </si>
  <si>
    <t>USDTJPY</t>
  </si>
  <si>
    <t>USDT/JPY</t>
  </si>
  <si>
    <t>USDTZUSD</t>
  </si>
  <si>
    <t>USDTUSD</t>
  </si>
  <si>
    <t>USDT/USD</t>
  </si>
  <si>
    <t>WAVESETH</t>
  </si>
  <si>
    <t>WAVES/ETH</t>
  </si>
  <si>
    <t>WAVESEUR</t>
  </si>
  <si>
    <t>WAVES/EUR</t>
  </si>
  <si>
    <t>WAVESUSD</t>
  </si>
  <si>
    <t>WAVES/USD</t>
  </si>
  <si>
    <t>WAVESXBT</t>
  </si>
  <si>
    <t>WAVES/XBT</t>
  </si>
  <si>
    <t>XBTCHF</t>
  </si>
  <si>
    <t>XBT/CHF</t>
  </si>
  <si>
    <t>XBTDAI</t>
  </si>
  <si>
    <t>XBT/DAI</t>
  </si>
  <si>
    <t>XBTUSDC</t>
  </si>
  <si>
    <t>XBT/USDC</t>
  </si>
  <si>
    <t>XBTUSDT</t>
  </si>
  <si>
    <t>XBT/USDT</t>
  </si>
  <si>
    <t>XDG/EUR</t>
  </si>
  <si>
    <t>XDGUSD</t>
  </si>
  <si>
    <t>XDG/USD</t>
  </si>
  <si>
    <t>XETCXETH</t>
  </si>
  <si>
    <t>ETCETH</t>
  </si>
  <si>
    <t>ETC/ETH</t>
  </si>
  <si>
    <t>XETCXXBT</t>
  </si>
  <si>
    <t>ETCXBT</t>
  </si>
  <si>
    <t>ETC/XBT</t>
  </si>
  <si>
    <t>XETCZEUR</t>
  </si>
  <si>
    <t>ETCEUR</t>
  </si>
  <si>
    <t>ETC/EUR</t>
  </si>
  <si>
    <t>XETCZUSD</t>
  </si>
  <si>
    <t>ETCUSD</t>
  </si>
  <si>
    <t>ETC/USD</t>
  </si>
  <si>
    <t>XETHXXBT</t>
  </si>
  <si>
    <t>ETHXBT</t>
  </si>
  <si>
    <t>ETH/XBT</t>
  </si>
  <si>
    <t>XETHXXBT.d</t>
  </si>
  <si>
    <t>ETHXBT.d</t>
  </si>
  <si>
    <t>XETHZCAD</t>
  </si>
  <si>
    <t>ETHCAD</t>
  </si>
  <si>
    <t>ETH/CAD</t>
  </si>
  <si>
    <t>XETHZCAD.d</t>
  </si>
  <si>
    <t>ETHCAD.d</t>
  </si>
  <si>
    <t>ETHEUR</t>
  </si>
  <si>
    <t>ETH/EUR</t>
  </si>
  <si>
    <t>XETHZEUR.d</t>
  </si>
  <si>
    <t>ETHEUR.d</t>
  </si>
  <si>
    <t>XETHZGBP</t>
  </si>
  <si>
    <t>ETHGBP</t>
  </si>
  <si>
    <t>ETH/GBP</t>
  </si>
  <si>
    <t>XETHZGBP.d</t>
  </si>
  <si>
    <t>ETHGBP.d</t>
  </si>
  <si>
    <t>XETHZJPY</t>
  </si>
  <si>
    <t>ETHJPY</t>
  </si>
  <si>
    <t>ETH/JPY</t>
  </si>
  <si>
    <t>XETHZJPY.d</t>
  </si>
  <si>
    <t>ETHJPY.d</t>
  </si>
  <si>
    <t>XETHZUSD</t>
  </si>
  <si>
    <t>ETHUSD</t>
  </si>
  <si>
    <t>ETH/USD</t>
  </si>
  <si>
    <t>XETHZUSD.d</t>
  </si>
  <si>
    <t>ETHUSD.d</t>
  </si>
  <si>
    <t>XLTCXXBT</t>
  </si>
  <si>
    <t>LTCXBT</t>
  </si>
  <si>
    <t>LTC/XBT</t>
  </si>
  <si>
    <t>XLTCZEUR</t>
  </si>
  <si>
    <t>LTCEUR</t>
  </si>
  <si>
    <t>LTC/EUR</t>
  </si>
  <si>
    <t>XLTCZUSD</t>
  </si>
  <si>
    <t>LTCUSD</t>
  </si>
  <si>
    <t>LTC/USD</t>
  </si>
  <si>
    <t>XMLNXETH</t>
  </si>
  <si>
    <t>MLNETH</t>
  </si>
  <si>
    <t>MLN/ETH</t>
  </si>
  <si>
    <t>XMLNXXBT</t>
  </si>
  <si>
    <t>MLNXBT</t>
  </si>
  <si>
    <t>MLN/XBT</t>
  </si>
  <si>
    <t>XMLNZEUR</t>
  </si>
  <si>
    <t>MLNEUR</t>
  </si>
  <si>
    <t>MLN/EUR</t>
  </si>
  <si>
    <t>XMLNZUSD</t>
  </si>
  <si>
    <t>MLNUSD</t>
  </si>
  <si>
    <t>MLN/USD</t>
  </si>
  <si>
    <t>XREPXETH</t>
  </si>
  <si>
    <t>REPETH</t>
  </si>
  <si>
    <t>REP/ETH</t>
  </si>
  <si>
    <t>XREPXXBT</t>
  </si>
  <si>
    <t>REPXBT</t>
  </si>
  <si>
    <t>REP/XBT</t>
  </si>
  <si>
    <t>XREPZEUR</t>
  </si>
  <si>
    <t>REPEUR</t>
  </si>
  <si>
    <t>REP/EUR</t>
  </si>
  <si>
    <t>XREPZUSD</t>
  </si>
  <si>
    <t>REPUSD</t>
  </si>
  <si>
    <t>REP/USD</t>
  </si>
  <si>
    <t>XRPETH</t>
  </si>
  <si>
    <t>XRP/ETH</t>
  </si>
  <si>
    <t>XRPGBP</t>
  </si>
  <si>
    <t>XRP/GBP</t>
  </si>
  <si>
    <t>XRPUSDT</t>
  </si>
  <si>
    <t>XRP/USDT</t>
  </si>
  <si>
    <t>XTZETH</t>
  </si>
  <si>
    <t>XTZ/ETH</t>
  </si>
  <si>
    <t>XTZ/EUR</t>
  </si>
  <si>
    <t>XTZUSD</t>
  </si>
  <si>
    <t>XTZ/USD</t>
  </si>
  <si>
    <t>XTZXBT</t>
  </si>
  <si>
    <t>XTZ/XBT</t>
  </si>
  <si>
    <t>XXBTZCAD</t>
  </si>
  <si>
    <t>XBTCAD</t>
  </si>
  <si>
    <t>XBT/CAD</t>
  </si>
  <si>
    <t>XXBTZCAD.d</t>
  </si>
  <si>
    <t>XBTCAD.d</t>
  </si>
  <si>
    <t>XXBTZEUR.d</t>
  </si>
  <si>
    <t>XBTEUR.d</t>
  </si>
  <si>
    <t>XXBTZGBP</t>
  </si>
  <si>
    <t>XBTGBP</t>
  </si>
  <si>
    <t>XBT/GBP</t>
  </si>
  <si>
    <t>XXBTZGBP.d</t>
  </si>
  <si>
    <t>XBTGBP.d</t>
  </si>
  <si>
    <t>XXBTZJPY</t>
  </si>
  <si>
    <t>XBTJPY</t>
  </si>
  <si>
    <t>XBT/JPY</t>
  </si>
  <si>
    <t>XXBTZJPY.d</t>
  </si>
  <si>
    <t>XBTJPY.d</t>
  </si>
  <si>
    <t>XXBTZUSD</t>
  </si>
  <si>
    <t>XBTUSD</t>
  </si>
  <si>
    <t>XBT/USD</t>
  </si>
  <si>
    <t>XXBTZUSD.d</t>
  </si>
  <si>
    <t>XBTUSD.d</t>
  </si>
  <si>
    <t>XXDGXXBT</t>
  </si>
  <si>
    <t>XDGXBT</t>
  </si>
  <si>
    <t>XDG/XBT</t>
  </si>
  <si>
    <t>XXLMXXBT</t>
  </si>
  <si>
    <t>XLMXBT</t>
  </si>
  <si>
    <t>XLM/XBT</t>
  </si>
  <si>
    <t>XXLMZEUR</t>
  </si>
  <si>
    <t>XLMEUR</t>
  </si>
  <si>
    <t>XLM/EUR</t>
  </si>
  <si>
    <t>XXLMZUSD</t>
  </si>
  <si>
    <t>XLMUSD</t>
  </si>
  <si>
    <t>XLM/USD</t>
  </si>
  <si>
    <t>XXMRXXBT</t>
  </si>
  <si>
    <t>XMRXBT</t>
  </si>
  <si>
    <t>XMR/XBT</t>
  </si>
  <si>
    <t>XXMRZEUR</t>
  </si>
  <si>
    <t>XMREUR</t>
  </si>
  <si>
    <t>XMR/EUR</t>
  </si>
  <si>
    <t>XXMRZUSD</t>
  </si>
  <si>
    <t>XMRUSD</t>
  </si>
  <si>
    <t>XMR/USD</t>
  </si>
  <si>
    <t>XXRPXXBT</t>
  </si>
  <si>
    <t>XRPXBT</t>
  </si>
  <si>
    <t>XRP/XBT</t>
  </si>
  <si>
    <t>XXRPZCAD</t>
  </si>
  <si>
    <t>XRPCAD</t>
  </si>
  <si>
    <t>XRP/CAD</t>
  </si>
  <si>
    <t>XRPEUR</t>
  </si>
  <si>
    <t>XRP/EUR</t>
  </si>
  <si>
    <t>XXRPZJPY</t>
  </si>
  <si>
    <t>XRPJPY</t>
  </si>
  <si>
    <t>XRP/JPY</t>
  </si>
  <si>
    <t>XXRPZUSD</t>
  </si>
  <si>
    <t>XRPUSD</t>
  </si>
  <si>
    <t>XRP/USD</t>
  </si>
  <si>
    <t>XZECXXBT</t>
  </si>
  <si>
    <t>ZECXBT</t>
  </si>
  <si>
    <t>ZEC/XBT</t>
  </si>
  <si>
    <t>XZECZEUR</t>
  </si>
  <si>
    <t>ZECEUR</t>
  </si>
  <si>
    <t>ZEC/EUR</t>
  </si>
  <si>
    <t>XZECZUSD</t>
  </si>
  <si>
    <t>ZECUSD</t>
  </si>
  <si>
    <t>ZEC/USD</t>
  </si>
  <si>
    <t>ZEURZUSD</t>
  </si>
  <si>
    <t>EURUSD</t>
  </si>
  <si>
    <t>EUR/USD</t>
  </si>
  <si>
    <t>ZGBPZUSD</t>
  </si>
  <si>
    <t>GBPUSD</t>
  </si>
  <si>
    <t>GBP/USD</t>
  </si>
  <si>
    <t>ZUSDZCAD</t>
  </si>
  <si>
    <t>USDCAD</t>
  </si>
  <si>
    <t>USD/CAD</t>
  </si>
  <si>
    <t>ZUSDZJPY</t>
  </si>
  <si>
    <t>USDJPY</t>
  </si>
  <si>
    <t>USD/JPY</t>
  </si>
  <si>
    <t>assetpair</t>
  </si>
  <si>
    <t>info</t>
  </si>
  <si>
    <t>(info|leverage|fees|margin; empty for default, info)</t>
  </si>
  <si>
    <t>XXBTZEUR,XETHZEUR</t>
  </si>
  <si>
    <t>Get ticker information</t>
  </si>
  <si>
    <t>https://www.kraken.com/features/api#get-ticker-info</t>
  </si>
  <si>
    <t>opening-price</t>
  </si>
  <si>
    <t>ask</t>
  </si>
  <si>
    <t>bid</t>
  </si>
  <si>
    <t>last-trade-closed</t>
  </si>
  <si>
    <t>volume</t>
  </si>
  <si>
    <t>volume-weighted-avg-price</t>
  </si>
  <si>
    <t>number-of-trades</t>
  </si>
  <si>
    <t>low</t>
  </si>
  <si>
    <t>high</t>
  </si>
  <si>
    <t>whole-lot-volume</t>
  </si>
  <si>
    <t>lot-volume</t>
  </si>
  <si>
    <t>price</t>
  </si>
  <si>
    <t>today</t>
  </si>
  <si>
    <t>last-24h</t>
  </si>
  <si>
    <t>ADAETH,ADAEUR,ADAUSD,ADAXBT,ALGOETH,ALGOEUR,ALGOUSD,ALGOXBT,ATOMETH,ATOMEUR,ATOMUSD,ATOMXBT,BATETH,BATEUR,BATUSD,BATXBT,BCHETH,BCHEUR,BCHGBP,BCHUSD,BCHUSDT,BCHXBT,DAIEUR,DAIUSD,DAIUSDT,DASHEUR,DASHUSD,DASHXBT,EOSETH,EOSEUR,EOSUSD,EOSXBT,ETHCHF,ETHDAI,ETHUSDC,ETHUSDT,EURCAD,EURCHF,EURGBP,EURJPY,GNOETH,GNOEUR,GNOUSD,GNOXBT,ICXETH,ICXEUR,ICXUSD,ICXXBT,LINKETH,LINKEUR,LINKUSD,LINKXBT,LSKETH,LSKEUR,LSKUSD,LSKXBT,LTCETH,LTCGBP,LTCUSDT,NANOETH,NANOEUR,NANOUSD,NANOXBT,OMGETH,OMGEUR,OMGUSD,OMGXBT,OXTETH,OXTEUR,OXTUSD,OXTXBT,PAXGETH,PAXGEUR,PAXGUSD,PAXGXBT,QTUMETH,QTUMEUR,QTUMUSD,QTUMXBT,SCETH,SCEUR,SCUSD,SCXBT,TRXETH,TRXEUR,TRXUSD,TRXXBT,USDCEUR,USDCHF,USDCUSD,USDCUSDT,USDTCAD,USDTCHF,USDTEUR,USDTGBP,USDTJPY,USDTUSD,WAVESETH,WAVESEUR,WAVESUSD,WAVESXBT,XBTCHF,XBTDAI,XBTUSDC,XBTUSDT,XDGEUR,XDGUSD,ETCETH,ETCXBT,ETCEUR,ETCUSD,ETHXBT,ETHCAD,ETHEUR,ETHGBP,ETHJPY,ETHUSD,LTCXBT,LTCEUR,LTCUSD,MLNETH,MLNXBT,MLNEUR,MLNUSD,REPETH,REPXBT,REPEUR,REPUSD,XRPETH,XRPGBP,XRPUSDT,XTZETH,XTZEUR,XTZUSD,XTZXBT,XBTCAD,XBTEUR,XBTGBP,XBTJPY,XBTUSD,XDGXBT,XLMXBT,XLMEUR,XLMUSD,XMRXBT,XMREUR,XMRUSD,XRPXBT,XRPCAD,XRPEUR,XRPJPY,XRPUSD,ZECXBT,ZECEUR,ZECUSD,EURUSD,GBPUSD,USDCAD,USDJPY</t>
  </si>
  <si>
    <t>(kommalist; default queries all available)</t>
  </si>
  <si>
    <t>Get OHLC data</t>
  </si>
  <si>
    <t>https://www.kraken.com/features/api#get-ohlc-data</t>
  </si>
  <si>
    <t>AssetPair</t>
  </si>
  <si>
    <t>Interval</t>
  </si>
  <si>
    <t>(in minutes: 1 (default), 5, 15, 30, 60, 240, 1440, 10080, 21600)</t>
  </si>
  <si>
    <t>Since</t>
  </si>
  <si>
    <t>time</t>
  </si>
  <si>
    <t>open</t>
  </si>
  <si>
    <t>close</t>
  </si>
  <si>
    <t>vwap</t>
  </si>
  <si>
    <t>count</t>
  </si>
  <si>
    <t>(clear to get default time, max. entries)</t>
  </si>
  <si>
    <t>(required, only one!)</t>
  </si>
  <si>
    <t>timestamp as date:</t>
  </si>
  <si>
    <t>TODO: store last offset and append to rows? (can dynamically clear, too)</t>
  </si>
  <si>
    <t>Get order book</t>
  </si>
  <si>
    <t>https://www.kraken.com/features/api#get-order-book</t>
  </si>
  <si>
    <t>Count</t>
  </si>
  <si>
    <t>asks</t>
  </si>
  <si>
    <t>bids</t>
  </si>
  <si>
    <t>timestamp</t>
  </si>
  <si>
    <t>Get recent trades</t>
  </si>
  <si>
    <t>https://www.kraken.com/features/api#get-recent-trades</t>
  </si>
  <si>
    <t>buy/sell</t>
  </si>
  <si>
    <t>market/limit</t>
  </si>
  <si>
    <t>misc</t>
  </si>
  <si>
    <t>(clear to get default id, max. entries)</t>
  </si>
  <si>
    <t>id (timestamp + ???) as date:</t>
  </si>
  <si>
    <t>https://www.kraken.com/features/api#get-recent-spread-data</t>
  </si>
  <si>
    <t>Get recent spread data</t>
  </si>
  <si>
    <t>(clear to get default timestamp, max. entries)</t>
  </si>
  <si>
    <t>(optional, maximum number of asks/bids; minimum seems te be 100)</t>
  </si>
  <si>
    <t>Sun,  7 Jun 20 22:27:45 +0000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</si>
</sst>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#,##0.00\ &quot;€&quot;"/>
    <numFmt numFmtId="165" formatCode="#,##0.00000\ &quot;€&quot;"/>
    <numFmt numFmtId="166" formatCode="_-* #,##0.00000\ &quot;€&quot;_-;\-* #,##0.00000\ &quot;€&quot;_-;_-* &quot;-&quot;??\ &quot;€&quot;_-;_-@_-"/>
    <numFmt numFmtId="167" formatCode="d/m/yy\ h:mm;@"/>
    <numFmt numFmtId="168" formatCode="dd/mm/yyyy\ hh:mm:ss"/>
    <numFmt numFmtId="169" formatCode="_-* #,##0.000000\ &quot;€&quot;_-;\-* #,##0.000000\ &quot;€&quot;_-;_-* &quot;-&quot;??\ &quot;€&quot;_-;_-@_-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44" fontId="3" fillId="0" borderId="0" applyFont="0" applyFill="0" applyBorder="0" applyAlignment="0" applyProtection="0"/>
    <xf numFmtId="0" fontId="4" fillId="3" borderId="2" applyNumberFormat="0" applyAlignment="0" applyProtection="0"/>
    <xf numFmtId="0" fontId="6" fillId="4" borderId="5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164" fontId="0" fillId="0" borderId="0" xfId="0" applyNumberFormat="1" applyFill="1"/>
    <xf numFmtId="165" fontId="0" fillId="0" borderId="0" xfId="0" applyNumberFormat="1" applyFill="1"/>
    <xf numFmtId="0" fontId="1" fillId="2" borderId="1" xfId="1"/>
    <xf numFmtId="44" fontId="0" fillId="0" borderId="0" xfId="2" applyFont="1"/>
    <xf numFmtId="166" fontId="0" fillId="0" borderId="0" xfId="2" applyNumberFormat="1" applyFont="1"/>
    <xf numFmtId="167" fontId="0" fillId="0" borderId="0" xfId="0" applyNumberFormat="1"/>
    <xf numFmtId="0" fontId="5" fillId="0" borderId="0" xfId="0" applyFont="1"/>
    <xf numFmtId="168" fontId="4" fillId="3" borderId="4" xfId="3" applyNumberFormat="1" applyBorder="1"/>
    <xf numFmtId="0" fontId="4" fillId="3" borderId="3" xfId="3" applyBorder="1"/>
    <xf numFmtId="0" fontId="6" fillId="4" borderId="5" xfId="4"/>
    <xf numFmtId="44" fontId="0" fillId="0" borderId="0" xfId="2" applyNumberFormat="1" applyFont="1"/>
    <xf numFmtId="169" fontId="0" fillId="0" borderId="0" xfId="2" applyNumberFormat="1" applyFont="1"/>
    <xf numFmtId="0" fontId="9" fillId="0" borderId="0" xfId="0" applyFont="1" applyAlignment="1">
      <alignment vertical="center"/>
    </xf>
    <xf numFmtId="0" fontId="8" fillId="0" borderId="0" xfId="6"/>
    <xf numFmtId="0" fontId="4" fillId="3" borderId="2" xfId="3"/>
    <xf numFmtId="0" fontId="7" fillId="0" borderId="0" xfId="5"/>
    <xf numFmtId="0" fontId="8" fillId="0" borderId="0" xfId="6" applyAlignment="1">
      <alignment horizontal="center"/>
    </xf>
    <xf numFmtId="0" fontId="8" fillId="3" borderId="5" xfId="6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1" fillId="2" borderId="1" xfId="1" applyAlignment="1">
      <alignment horizontal="center"/>
    </xf>
  </cellXfs>
  <cellStyles count="7">
    <cellStyle name="Ausgabe" xfId="3" builtinId="21"/>
    <cellStyle name="Eingabe" xfId="4" builtinId="20"/>
    <cellStyle name="Link" xfId="6" builtinId="8"/>
    <cellStyle name="Standard" xfId="0" builtinId="0"/>
    <cellStyle name="Währung" xfId="2" builtinId="4"/>
    <cellStyle name="Warnender Text" xfId="5" builtinId="11"/>
    <cellStyle name="Zelle überprüfen" xfId="1" builtinId="23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2</xdr:row>
          <xdr:rowOff>69850</xdr:rowOff>
        </xdr:from>
        <xdr:to>
          <xdr:col>5</xdr:col>
          <xdr:colOff>234950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J20"/>
  <sheetViews>
    <sheetView tabSelected="1" workbookViewId="0">
      <selection activeCell="B4" sqref="B4"/>
    </sheetView>
  </sheetViews>
  <sheetFormatPr baseColWidth="10" defaultRowHeight="14.5" x14ac:dyDescent="0.35"/>
  <cols>
    <col min="3" max="3" width="17.54296875" bestFit="1" customWidth="1"/>
    <col min="4" max="4" width="19.453125" bestFit="1" customWidth="1"/>
    <col min="6" max="6" width="10.90625" bestFit="1" customWidth="1"/>
    <col min="7" max="7" width="14.81640625" bestFit="1" customWidth="1"/>
    <col min="9" max="9" width="10.7265625" customWidth="1"/>
  </cols>
  <sheetData>
    <row r="2" spans="2:10" x14ac:dyDescent="0.35">
      <c r="C2" s="9" t="s">
        <v>14</v>
      </c>
      <c r="D2" s="9" t="s">
        <v>15</v>
      </c>
    </row>
    <row r="3" spans="2:10" ht="15" thickBot="1" x14ac:dyDescent="0.4">
      <c r="C3" s="8">
        <v>43990.045324074075</v>
      </c>
      <c r="D3" s="8">
        <v>43990.029108796298</v>
      </c>
      <c r="G3" t="s">
        <v>16</v>
      </c>
    </row>
    <row r="4" spans="2:10" ht="15.5" thickTop="1" thickBot="1" x14ac:dyDescent="0.4">
      <c r="B4" s="3" t="s">
        <v>0</v>
      </c>
      <c r="C4" s="1">
        <v>8647.4</v>
      </c>
      <c r="D4" s="11">
        <v>9.6</v>
      </c>
    </row>
    <row r="5" spans="2:10" ht="15.5" thickTop="1" thickBot="1" x14ac:dyDescent="0.4">
      <c r="B5" s="3" t="s">
        <v>1</v>
      </c>
      <c r="C5" s="1">
        <v>216.66</v>
      </c>
      <c r="D5" s="4">
        <v>1.66</v>
      </c>
      <c r="F5" s="7"/>
    </row>
    <row r="6" spans="2:10" ht="15.5" thickTop="1" thickBot="1" x14ac:dyDescent="0.4">
      <c r="B6" s="3" t="s">
        <v>2</v>
      </c>
      <c r="C6" s="2">
        <v>0.1802</v>
      </c>
      <c r="D6" s="5">
        <v>2.9999999999999997E-4</v>
      </c>
      <c r="F6" s="6"/>
    </row>
    <row r="7" spans="2:10" ht="15.5" thickTop="1" thickBot="1" x14ac:dyDescent="0.4">
      <c r="B7" s="3" t="s">
        <v>3</v>
      </c>
      <c r="C7" s="2">
        <v>2.5428000000000002</v>
      </c>
      <c r="D7" s="5">
        <v>-1.2999999999999999E-3</v>
      </c>
    </row>
    <row r="8" spans="2:10" ht="15.5" thickTop="1" thickBot="1" x14ac:dyDescent="0.4">
      <c r="B8" s="3" t="s">
        <v>4</v>
      </c>
      <c r="C8" s="1">
        <v>1508.91</v>
      </c>
      <c r="D8" s="4">
        <v>0</v>
      </c>
    </row>
    <row r="9" spans="2:10" ht="15.5" thickTop="1" thickBot="1" x14ac:dyDescent="0.4">
      <c r="B9" s="3" t="s">
        <v>5</v>
      </c>
      <c r="C9" s="2">
        <v>2.3600000000000001E-3</v>
      </c>
      <c r="D9" s="12">
        <v>1E-4</v>
      </c>
    </row>
    <row r="10" spans="2:10" ht="15.5" thickTop="1" thickBot="1" x14ac:dyDescent="0.4">
      <c r="B10" s="3" t="s">
        <v>6</v>
      </c>
      <c r="C10" s="2">
        <v>1.154358</v>
      </c>
      <c r="D10" s="5">
        <v>6.9999999999999999E-4</v>
      </c>
    </row>
    <row r="11" spans="2:10" ht="15.5" thickTop="1" thickBot="1" x14ac:dyDescent="0.4">
      <c r="B11" s="3" t="s">
        <v>7</v>
      </c>
      <c r="C11" s="2">
        <v>2.3094999999999999E-3</v>
      </c>
      <c r="D11" s="5">
        <v>0</v>
      </c>
    </row>
    <row r="12" spans="2:10" ht="15.5" thickTop="1" thickBot="1" x14ac:dyDescent="0.4">
      <c r="B12" s="3" t="s">
        <v>8</v>
      </c>
      <c r="C12" s="2">
        <v>0.88490000000000002</v>
      </c>
      <c r="D12" s="5">
        <v>1E-4</v>
      </c>
    </row>
    <row r="13" spans="2:10" ht="15" thickTop="1" x14ac:dyDescent="0.35"/>
    <row r="15" spans="2:10" x14ac:dyDescent="0.35">
      <c r="I15" t="s">
        <v>9</v>
      </c>
      <c r="J15">
        <v>123456</v>
      </c>
    </row>
    <row r="16" spans="2:10" x14ac:dyDescent="0.35">
      <c r="I16" t="s">
        <v>11</v>
      </c>
      <c r="J16" t="str">
        <f>SHA256String(J15)</f>
        <v>8d969eef6ecad3c29a3a629280e686cf0c3f5d5a86aff3ca12020c923adc6c92</v>
      </c>
    </row>
    <row r="17" spans="9:10" x14ac:dyDescent="0.35">
      <c r="I17" t="s">
        <v>10</v>
      </c>
      <c r="J17" t="str">
        <f>SHA256String(J15,1)</f>
        <v>jZae727K08KaOmKSgOaGzww/XVqGr/PKEgIMkjrcbJI=</v>
      </c>
    </row>
    <row r="19" spans="9:10" x14ac:dyDescent="0.35">
      <c r="I19" t="s">
        <v>12</v>
      </c>
      <c r="J19">
        <f>ToBytes(J15)</f>
        <v>49</v>
      </c>
    </row>
    <row r="20" spans="9:10" x14ac:dyDescent="0.35">
      <c r="I20" t="s">
        <v>13</v>
      </c>
      <c r="J20" t="e">
        <f>ConvToHexString(ToBytes(J15))</f>
        <v>#VALUE!</v>
      </c>
    </row>
  </sheetData>
  <conditionalFormatting sqref="D4:D12">
    <cfRule type="cellIs" dxfId="6" priority="1" operator="equal">
      <formula>0</formula>
    </cfRule>
    <cfRule type="cellIs" dxfId="5" priority="2" operator="lessThan">
      <formula>0</formula>
    </cfRule>
    <cfRule type="cellIs" dxfId="4" priority="3" operator="greaterThan">
      <formula>0</formula>
    </cfRule>
    <cfRule type="cellIs" dxfId="3" priority="4" operator="equal">
      <formula>0.01</formula>
    </cfRule>
    <cfRule type="cellIs" dxfId="2" priority="5" operator="equal">
      <formula>0.01</formula>
    </cfRule>
    <cfRule type="cellIs" dxfId="1" priority="6" operator="lessThan">
      <formula>0.01</formula>
    </cfRule>
    <cfRule type="cellIs" dxfId="0" priority="7" operator="greaterThan">
      <formula>0.01</formula>
    </cfRule>
  </conditionalFormatting>
  <hyperlinks>
    <hyperlink ref="B4" location="'Kraken GetCurrentPrice'!B4" display="XXBTZEUR"/>
    <hyperlink ref="B5" location="'Kraken GetCurrentPrice'!B5" display="XETHZEUR"/>
    <hyperlink ref="B6" location="'Kraken GetCurrentPrice'!B6" display="XXRPZEUR"/>
    <hyperlink ref="B7" location="'Kraken GetCurrentPrice'!B7" display="XTZEUR"/>
    <hyperlink ref="B8" location="'Kraken GetCurrentPrice'!B8" display="PAXGEUR"/>
    <hyperlink ref="B9" location="'Kraken GetCurrentPrice'!B9" display="SCEUR"/>
    <hyperlink ref="B10" location="'Kraken GetCurrentPrice'!B10" display="LSKEUR"/>
    <hyperlink ref="B11" location="'Kraken GetCurrentPrice'!B11" display="XDGEUR"/>
    <hyperlink ref="B12" location="'Kraken GetCurrentPrice'!B12" display="USDTEUR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UpdatePrices2">
                <anchor moveWithCells="1" sizeWithCells="1">
                  <from>
                    <xdr:col>4</xdr:col>
                    <xdr:colOff>196850</xdr:colOff>
                    <xdr:row>2</xdr:row>
                    <xdr:rowOff>69850</xdr:rowOff>
                  </from>
                  <to>
                    <xdr:col>5</xdr:col>
                    <xdr:colOff>234950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H8"/>
  <sheetViews>
    <sheetView workbookViewId="0">
      <selection activeCell="B4" sqref="B4"/>
    </sheetView>
  </sheetViews>
  <sheetFormatPr baseColWidth="10" defaultRowHeight="14.5" x14ac:dyDescent="0.35"/>
  <cols>
    <col min="2" max="2" width="17.08984375" bestFit="1" customWidth="1"/>
    <col min="8" max="8" width="17.54296875" bestFit="1" customWidth="1"/>
  </cols>
  <sheetData>
    <row r="2" spans="2:8" ht="17.5" x14ac:dyDescent="0.35">
      <c r="B2" s="13" t="s">
        <v>18</v>
      </c>
      <c r="D2" t="s">
        <v>17</v>
      </c>
    </row>
    <row r="4" spans="2:8" x14ac:dyDescent="0.35">
      <c r="B4" s="14" t="s">
        <v>18</v>
      </c>
      <c r="C4" t="s">
        <v>20</v>
      </c>
      <c r="D4" t="s">
        <v>545</v>
      </c>
    </row>
    <row r="5" spans="2:8" x14ac:dyDescent="0.35">
      <c r="C5" t="s">
        <v>21</v>
      </c>
      <c r="D5">
        <v>1591568865</v>
      </c>
      <c r="G5" s="20" t="s">
        <v>526</v>
      </c>
      <c r="H5" s="19">
        <f>IFERROR(TimestampToExcel_2(D5),)</f>
        <v>43989.935937499999</v>
      </c>
    </row>
    <row r="8" spans="2:8" ht="17.5" x14ac:dyDescent="0.35">
      <c r="B8" s="13"/>
    </row>
  </sheetData>
  <hyperlinks>
    <hyperlink ref="B4" location="Tabelle2!B4" display="Get server time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54"/>
  <sheetViews>
    <sheetView workbookViewId="0">
      <selection activeCell="D8" sqref="D8"/>
    </sheetView>
  </sheetViews>
  <sheetFormatPr baseColWidth="10" defaultRowHeight="14.5" x14ac:dyDescent="0.35"/>
  <sheetData>
    <row r="2" spans="2:7" ht="17.5" x14ac:dyDescent="0.35">
      <c r="B2" s="13" t="s">
        <v>22</v>
      </c>
    </row>
    <row r="3" spans="2:7" x14ac:dyDescent="0.35">
      <c r="B3" t="s">
        <v>23</v>
      </c>
    </row>
    <row r="5" spans="2:7" x14ac:dyDescent="0.35">
      <c r="B5" t="s">
        <v>24</v>
      </c>
      <c r="C5" t="s">
        <v>26</v>
      </c>
    </row>
    <row r="6" spans="2:7" x14ac:dyDescent="0.35">
      <c r="C6" s="10"/>
      <c r="D6" t="s">
        <v>92</v>
      </c>
      <c r="G6" t="s">
        <v>93</v>
      </c>
    </row>
    <row r="8" spans="2:7" x14ac:dyDescent="0.35">
      <c r="B8" s="17" t="s">
        <v>19</v>
      </c>
      <c r="D8" s="16"/>
    </row>
    <row r="10" spans="2:7" ht="15" thickBot="1" x14ac:dyDescent="0.4"/>
    <row r="11" spans="2:7" ht="15.5" thickTop="1" thickBot="1" x14ac:dyDescent="0.4">
      <c r="B11" s="3" t="s">
        <v>32</v>
      </c>
      <c r="C11" s="3" t="s">
        <v>31</v>
      </c>
      <c r="D11" s="3" t="s">
        <v>30</v>
      </c>
      <c r="E11" s="3" t="s">
        <v>33</v>
      </c>
      <c r="F11" s="3" t="s">
        <v>34</v>
      </c>
    </row>
    <row r="12" spans="2:7" ht="15" thickTop="1" x14ac:dyDescent="0.35">
      <c r="B12" s="15" t="s">
        <v>36</v>
      </c>
      <c r="C12" s="15" t="s">
        <v>36</v>
      </c>
      <c r="D12" s="15" t="s">
        <v>35</v>
      </c>
      <c r="E12" s="15">
        <v>8</v>
      </c>
      <c r="F12" s="15">
        <v>6</v>
      </c>
    </row>
    <row r="13" spans="2:7" x14ac:dyDescent="0.35">
      <c r="B13" s="15" t="s">
        <v>37</v>
      </c>
      <c r="C13" s="15" t="s">
        <v>37</v>
      </c>
      <c r="D13" s="15" t="s">
        <v>35</v>
      </c>
      <c r="E13" s="15">
        <v>8</v>
      </c>
      <c r="F13" s="15">
        <v>5</v>
      </c>
    </row>
    <row r="14" spans="2:7" x14ac:dyDescent="0.35">
      <c r="B14" s="15" t="s">
        <v>38</v>
      </c>
      <c r="C14" s="15" t="s">
        <v>38</v>
      </c>
      <c r="D14" s="15" t="s">
        <v>35</v>
      </c>
      <c r="E14" s="15">
        <v>8</v>
      </c>
      <c r="F14" s="15">
        <v>6</v>
      </c>
    </row>
    <row r="15" spans="2:7" x14ac:dyDescent="0.35">
      <c r="B15" s="15" t="s">
        <v>39</v>
      </c>
      <c r="C15" s="15" t="s">
        <v>39</v>
      </c>
      <c r="D15" s="15" t="s">
        <v>35</v>
      </c>
      <c r="E15" s="15">
        <v>10</v>
      </c>
      <c r="F15" s="15">
        <v>5</v>
      </c>
    </row>
    <row r="16" spans="2:7" x14ac:dyDescent="0.35">
      <c r="B16" s="15" t="s">
        <v>40</v>
      </c>
      <c r="C16" s="15" t="s">
        <v>40</v>
      </c>
      <c r="D16" s="15" t="s">
        <v>35</v>
      </c>
      <c r="E16" s="15">
        <v>10</v>
      </c>
      <c r="F16" s="15">
        <v>5</v>
      </c>
    </row>
    <row r="17" spans="2:6" x14ac:dyDescent="0.35">
      <c r="B17" s="15" t="s">
        <v>41</v>
      </c>
      <c r="C17" s="15" t="s">
        <v>41</v>
      </c>
      <c r="D17" s="15" t="s">
        <v>35</v>
      </c>
      <c r="E17" s="15">
        <v>10</v>
      </c>
      <c r="F17" s="15">
        <v>5</v>
      </c>
    </row>
    <row r="18" spans="2:6" x14ac:dyDescent="0.35">
      <c r="B18" s="15" t="s">
        <v>42</v>
      </c>
      <c r="C18" s="15" t="s">
        <v>42</v>
      </c>
      <c r="D18" s="15" t="s">
        <v>35</v>
      </c>
      <c r="E18" s="15">
        <v>4</v>
      </c>
      <c r="F18" s="15">
        <v>2</v>
      </c>
    </row>
    <row r="19" spans="2:6" x14ac:dyDescent="0.35">
      <c r="B19" s="15" t="s">
        <v>43</v>
      </c>
      <c r="C19" s="15" t="s">
        <v>43</v>
      </c>
      <c r="D19" s="15" t="s">
        <v>35</v>
      </c>
      <c r="E19" s="15">
        <v>10</v>
      </c>
      <c r="F19" s="15">
        <v>5</v>
      </c>
    </row>
    <row r="20" spans="2:6" x14ac:dyDescent="0.35">
      <c r="B20" s="15" t="s">
        <v>44</v>
      </c>
      <c r="C20" s="15" t="s">
        <v>44</v>
      </c>
      <c r="D20" s="15" t="s">
        <v>35</v>
      </c>
      <c r="E20" s="15">
        <v>10</v>
      </c>
      <c r="F20" s="15">
        <v>5</v>
      </c>
    </row>
    <row r="21" spans="2:6" x14ac:dyDescent="0.35">
      <c r="B21" s="15" t="s">
        <v>45</v>
      </c>
      <c r="C21" s="15" t="s">
        <v>45</v>
      </c>
      <c r="D21" s="15" t="s">
        <v>35</v>
      </c>
      <c r="E21" s="15">
        <v>10</v>
      </c>
      <c r="F21" s="15">
        <v>5</v>
      </c>
    </row>
    <row r="22" spans="2:6" x14ac:dyDescent="0.35">
      <c r="B22" s="15" t="s">
        <v>46</v>
      </c>
      <c r="C22" s="15" t="s">
        <v>46</v>
      </c>
      <c r="D22" s="15" t="s">
        <v>35</v>
      </c>
      <c r="E22" s="15">
        <v>10</v>
      </c>
      <c r="F22" s="15">
        <v>5</v>
      </c>
    </row>
    <row r="23" spans="2:6" x14ac:dyDescent="0.35">
      <c r="B23" s="15" t="s">
        <v>47</v>
      </c>
      <c r="C23" s="15" t="s">
        <v>47</v>
      </c>
      <c r="D23" s="15" t="s">
        <v>35</v>
      </c>
      <c r="E23" s="15">
        <v>10</v>
      </c>
      <c r="F23" s="15">
        <v>5</v>
      </c>
    </row>
    <row r="24" spans="2:6" x14ac:dyDescent="0.35">
      <c r="B24" s="15" t="s">
        <v>48</v>
      </c>
      <c r="C24" s="15" t="s">
        <v>49</v>
      </c>
      <c r="D24" s="15" t="s">
        <v>35</v>
      </c>
      <c r="E24" s="15">
        <v>2</v>
      </c>
      <c r="F24" s="15">
        <v>2</v>
      </c>
    </row>
    <row r="25" spans="2:6" x14ac:dyDescent="0.35">
      <c r="B25" s="15" t="s">
        <v>50</v>
      </c>
      <c r="C25" s="15" t="s">
        <v>50</v>
      </c>
      <c r="D25" s="15" t="s">
        <v>35</v>
      </c>
      <c r="E25" s="15">
        <v>10</v>
      </c>
      <c r="F25" s="15">
        <v>5</v>
      </c>
    </row>
    <row r="26" spans="2:6" x14ac:dyDescent="0.35">
      <c r="B26" s="15" t="s">
        <v>51</v>
      </c>
      <c r="C26" s="15" t="s">
        <v>51</v>
      </c>
      <c r="D26" s="15" t="s">
        <v>35</v>
      </c>
      <c r="E26" s="15">
        <v>10</v>
      </c>
      <c r="F26" s="15">
        <v>5</v>
      </c>
    </row>
    <row r="27" spans="2:6" x14ac:dyDescent="0.35">
      <c r="B27" s="15" t="s">
        <v>52</v>
      </c>
      <c r="C27" s="15" t="s">
        <v>52</v>
      </c>
      <c r="D27" s="15" t="s">
        <v>35</v>
      </c>
      <c r="E27" s="15">
        <v>10</v>
      </c>
      <c r="F27" s="15">
        <v>5</v>
      </c>
    </row>
    <row r="28" spans="2:6" x14ac:dyDescent="0.35">
      <c r="B28" s="15" t="s">
        <v>53</v>
      </c>
      <c r="C28" s="15" t="s">
        <v>53</v>
      </c>
      <c r="D28" s="15" t="s">
        <v>35</v>
      </c>
      <c r="E28" s="15">
        <v>10</v>
      </c>
      <c r="F28" s="15">
        <v>5</v>
      </c>
    </row>
    <row r="29" spans="2:6" x14ac:dyDescent="0.35">
      <c r="B29" s="15" t="s">
        <v>54</v>
      </c>
      <c r="C29" s="15" t="s">
        <v>54</v>
      </c>
      <c r="D29" s="15" t="s">
        <v>35</v>
      </c>
      <c r="E29" s="15">
        <v>10</v>
      </c>
      <c r="F29" s="15">
        <v>5</v>
      </c>
    </row>
    <row r="30" spans="2:6" x14ac:dyDescent="0.35">
      <c r="B30" s="15" t="s">
        <v>55</v>
      </c>
      <c r="C30" s="15" t="s">
        <v>55</v>
      </c>
      <c r="D30" s="15" t="s">
        <v>35</v>
      </c>
      <c r="E30" s="15">
        <v>10</v>
      </c>
      <c r="F30" s="15">
        <v>5</v>
      </c>
    </row>
    <row r="31" spans="2:6" x14ac:dyDescent="0.35">
      <c r="B31" s="15" t="s">
        <v>56</v>
      </c>
      <c r="C31" s="15" t="s">
        <v>56</v>
      </c>
      <c r="D31" s="15" t="s">
        <v>35</v>
      </c>
      <c r="E31" s="15">
        <v>10</v>
      </c>
      <c r="F31" s="15">
        <v>6</v>
      </c>
    </row>
    <row r="32" spans="2:6" x14ac:dyDescent="0.35">
      <c r="B32" s="15" t="s">
        <v>57</v>
      </c>
      <c r="C32" s="15" t="s">
        <v>57</v>
      </c>
      <c r="D32" s="15" t="s">
        <v>35</v>
      </c>
      <c r="E32" s="15">
        <v>10</v>
      </c>
      <c r="F32" s="15">
        <v>5</v>
      </c>
    </row>
    <row r="33" spans="2:6" x14ac:dyDescent="0.35">
      <c r="B33" s="15" t="s">
        <v>58</v>
      </c>
      <c r="C33" s="15" t="s">
        <v>58</v>
      </c>
      <c r="D33" s="15" t="s">
        <v>35</v>
      </c>
      <c r="E33" s="15">
        <v>8</v>
      </c>
      <c r="F33" s="15">
        <v>6</v>
      </c>
    </row>
    <row r="34" spans="2:6" x14ac:dyDescent="0.35">
      <c r="B34" s="15" t="s">
        <v>59</v>
      </c>
      <c r="C34" s="15" t="s">
        <v>59</v>
      </c>
      <c r="D34" s="15" t="s">
        <v>35</v>
      </c>
      <c r="E34" s="15">
        <v>8</v>
      </c>
      <c r="F34" s="15">
        <v>4</v>
      </c>
    </row>
    <row r="35" spans="2:6" x14ac:dyDescent="0.35">
      <c r="B35" s="15" t="s">
        <v>60</v>
      </c>
      <c r="C35" s="15" t="s">
        <v>60</v>
      </c>
      <c r="D35" s="15" t="s">
        <v>35</v>
      </c>
      <c r="E35" s="15">
        <v>8</v>
      </c>
      <c r="F35" s="15">
        <v>4</v>
      </c>
    </row>
    <row r="36" spans="2:6" x14ac:dyDescent="0.35">
      <c r="B36" s="15" t="s">
        <v>61</v>
      </c>
      <c r="C36" s="15" t="s">
        <v>61</v>
      </c>
      <c r="D36" s="15" t="s">
        <v>35</v>
      </c>
      <c r="E36" s="15">
        <v>10</v>
      </c>
      <c r="F36" s="15">
        <v>5</v>
      </c>
    </row>
    <row r="37" spans="2:6" x14ac:dyDescent="0.35">
      <c r="B37" s="15" t="s">
        <v>62</v>
      </c>
      <c r="C37" s="15" t="s">
        <v>63</v>
      </c>
      <c r="D37" s="15" t="s">
        <v>35</v>
      </c>
      <c r="E37" s="15">
        <v>10</v>
      </c>
      <c r="F37" s="15">
        <v>5</v>
      </c>
    </row>
    <row r="38" spans="2:6" x14ac:dyDescent="0.35">
      <c r="B38" s="15" t="s">
        <v>27</v>
      </c>
      <c r="C38" s="15" t="s">
        <v>28</v>
      </c>
      <c r="D38" s="15" t="s">
        <v>35</v>
      </c>
      <c r="E38" s="15">
        <v>10</v>
      </c>
      <c r="F38" s="15">
        <v>5</v>
      </c>
    </row>
    <row r="39" spans="2:6" x14ac:dyDescent="0.35">
      <c r="B39" s="15" t="s">
        <v>64</v>
      </c>
      <c r="C39" s="15" t="s">
        <v>65</v>
      </c>
      <c r="D39" s="15" t="s">
        <v>35</v>
      </c>
      <c r="E39" s="15">
        <v>10</v>
      </c>
      <c r="F39" s="15">
        <v>5</v>
      </c>
    </row>
    <row r="40" spans="2:6" x14ac:dyDescent="0.35">
      <c r="B40" s="15" t="s">
        <v>66</v>
      </c>
      <c r="C40" s="15" t="s">
        <v>67</v>
      </c>
      <c r="D40" s="15" t="s">
        <v>35</v>
      </c>
      <c r="E40" s="15">
        <v>10</v>
      </c>
      <c r="F40" s="15">
        <v>5</v>
      </c>
    </row>
    <row r="41" spans="2:6" x14ac:dyDescent="0.35">
      <c r="B41" s="15" t="s">
        <v>68</v>
      </c>
      <c r="C41" s="15" t="s">
        <v>69</v>
      </c>
      <c r="D41" s="15" t="s">
        <v>35</v>
      </c>
      <c r="E41" s="15">
        <v>10</v>
      </c>
      <c r="F41" s="15">
        <v>5</v>
      </c>
    </row>
    <row r="42" spans="2:6" x14ac:dyDescent="0.35">
      <c r="B42" s="15" t="s">
        <v>70</v>
      </c>
      <c r="C42" s="15" t="s">
        <v>70</v>
      </c>
      <c r="D42" s="15" t="s">
        <v>35</v>
      </c>
      <c r="E42" s="15">
        <v>8</v>
      </c>
      <c r="F42" s="15">
        <v>6</v>
      </c>
    </row>
    <row r="43" spans="2:6" x14ac:dyDescent="0.35">
      <c r="B43" s="15" t="s">
        <v>71</v>
      </c>
      <c r="C43" s="15" t="s">
        <v>71</v>
      </c>
      <c r="D43" s="15" t="s">
        <v>35</v>
      </c>
      <c r="E43" s="15">
        <v>8</v>
      </c>
      <c r="F43" s="15">
        <v>6</v>
      </c>
    </row>
    <row r="44" spans="2:6" x14ac:dyDescent="0.35">
      <c r="B44" s="15" t="s">
        <v>29</v>
      </c>
      <c r="C44" s="15" t="s">
        <v>25</v>
      </c>
      <c r="D44" s="15" t="s">
        <v>35</v>
      </c>
      <c r="E44" s="15">
        <v>10</v>
      </c>
      <c r="F44" s="15">
        <v>5</v>
      </c>
    </row>
    <row r="45" spans="2:6" x14ac:dyDescent="0.35">
      <c r="B45" s="15" t="s">
        <v>72</v>
      </c>
      <c r="C45" s="15" t="s">
        <v>73</v>
      </c>
      <c r="D45" s="15" t="s">
        <v>35</v>
      </c>
      <c r="E45" s="15">
        <v>8</v>
      </c>
      <c r="F45" s="15">
        <v>2</v>
      </c>
    </row>
    <row r="46" spans="2:6" x14ac:dyDescent="0.35">
      <c r="B46" s="15" t="s">
        <v>74</v>
      </c>
      <c r="C46" s="15" t="s">
        <v>75</v>
      </c>
      <c r="D46" s="15" t="s">
        <v>35</v>
      </c>
      <c r="E46" s="15">
        <v>8</v>
      </c>
      <c r="F46" s="15">
        <v>5</v>
      </c>
    </row>
    <row r="47" spans="2:6" x14ac:dyDescent="0.35">
      <c r="B47" s="15" t="s">
        <v>76</v>
      </c>
      <c r="C47" s="15" t="s">
        <v>77</v>
      </c>
      <c r="D47" s="15" t="s">
        <v>35</v>
      </c>
      <c r="E47" s="15">
        <v>10</v>
      </c>
      <c r="F47" s="15">
        <v>5</v>
      </c>
    </row>
    <row r="48" spans="2:6" x14ac:dyDescent="0.35">
      <c r="B48" s="15" t="s">
        <v>78</v>
      </c>
      <c r="C48" s="15" t="s">
        <v>79</v>
      </c>
      <c r="D48" s="15" t="s">
        <v>35</v>
      </c>
      <c r="E48" s="15">
        <v>8</v>
      </c>
      <c r="F48" s="15">
        <v>5</v>
      </c>
    </row>
    <row r="49" spans="2:6" x14ac:dyDescent="0.35">
      <c r="B49" s="15" t="s">
        <v>80</v>
      </c>
      <c r="C49" s="15" t="s">
        <v>81</v>
      </c>
      <c r="D49" s="15" t="s">
        <v>35</v>
      </c>
      <c r="E49" s="15">
        <v>10</v>
      </c>
      <c r="F49" s="15">
        <v>5</v>
      </c>
    </row>
    <row r="50" spans="2:6" x14ac:dyDescent="0.35">
      <c r="B50" s="15" t="s">
        <v>82</v>
      </c>
      <c r="C50" s="15" t="s">
        <v>83</v>
      </c>
      <c r="D50" s="15" t="s">
        <v>35</v>
      </c>
      <c r="E50" s="15">
        <v>4</v>
      </c>
      <c r="F50" s="15">
        <v>2</v>
      </c>
    </row>
    <row r="51" spans="2:6" x14ac:dyDescent="0.35">
      <c r="B51" s="15" t="s">
        <v>84</v>
      </c>
      <c r="C51" s="15" t="s">
        <v>85</v>
      </c>
      <c r="D51" s="15" t="s">
        <v>35</v>
      </c>
      <c r="E51" s="15">
        <v>4</v>
      </c>
      <c r="F51" s="15">
        <v>2</v>
      </c>
    </row>
    <row r="52" spans="2:6" x14ac:dyDescent="0.35">
      <c r="B52" s="15" t="s">
        <v>86</v>
      </c>
      <c r="C52" s="15" t="s">
        <v>87</v>
      </c>
      <c r="D52" s="15" t="s">
        <v>35</v>
      </c>
      <c r="E52" s="15">
        <v>4</v>
      </c>
      <c r="F52" s="15">
        <v>2</v>
      </c>
    </row>
    <row r="53" spans="2:6" x14ac:dyDescent="0.35">
      <c r="B53" s="15" t="s">
        <v>88</v>
      </c>
      <c r="C53" s="15" t="s">
        <v>89</v>
      </c>
      <c r="D53" s="15" t="s">
        <v>35</v>
      </c>
      <c r="E53" s="15">
        <v>2</v>
      </c>
      <c r="F53" s="15">
        <v>0</v>
      </c>
    </row>
    <row r="54" spans="2:6" x14ac:dyDescent="0.35">
      <c r="B54" s="15" t="s">
        <v>90</v>
      </c>
      <c r="C54" s="15" t="s">
        <v>91</v>
      </c>
      <c r="D54" s="15" t="s">
        <v>35</v>
      </c>
      <c r="E54" s="15">
        <v>4</v>
      </c>
      <c r="F54" s="15">
        <v>2</v>
      </c>
    </row>
  </sheetData>
  <dataConsolidate/>
  <hyperlinks>
    <hyperlink ref="B8" location="'Kraken AssetInfos'!B8" display="Get"/>
  </hyperlink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S183"/>
  <sheetViews>
    <sheetView workbookViewId="0">
      <selection activeCell="B5" sqref="B5:H10"/>
    </sheetView>
  </sheetViews>
  <sheetFormatPr baseColWidth="10" defaultRowHeight="14.5" x14ac:dyDescent="0.35"/>
  <sheetData>
    <row r="2" spans="2:19" ht="17.5" x14ac:dyDescent="0.35">
      <c r="B2" s="13" t="s">
        <v>94</v>
      </c>
    </row>
    <row r="3" spans="2:19" x14ac:dyDescent="0.35">
      <c r="B3" t="s">
        <v>95</v>
      </c>
    </row>
    <row r="5" spans="2:19" x14ac:dyDescent="0.35">
      <c r="B5" t="s">
        <v>24</v>
      </c>
      <c r="C5" t="s">
        <v>26</v>
      </c>
    </row>
    <row r="6" spans="2:19" x14ac:dyDescent="0.35">
      <c r="C6" s="10"/>
      <c r="D6" t="s">
        <v>92</v>
      </c>
      <c r="H6" t="s">
        <v>494</v>
      </c>
    </row>
    <row r="7" spans="2:19" x14ac:dyDescent="0.35">
      <c r="C7" t="s">
        <v>96</v>
      </c>
    </row>
    <row r="8" spans="2:19" x14ac:dyDescent="0.35">
      <c r="C8" s="10" t="s">
        <v>492</v>
      </c>
      <c r="D8" t="s">
        <v>493</v>
      </c>
    </row>
    <row r="10" spans="2:19" x14ac:dyDescent="0.35">
      <c r="B10" s="18" t="s">
        <v>19</v>
      </c>
      <c r="D10" s="16"/>
    </row>
    <row r="12" spans="2:19" ht="15" thickBot="1" x14ac:dyDescent="0.4"/>
    <row r="13" spans="2:19" ht="15.5" thickTop="1" thickBot="1" x14ac:dyDescent="0.4">
      <c r="B13" s="3" t="s">
        <v>491</v>
      </c>
      <c r="C13" s="3" t="s">
        <v>31</v>
      </c>
      <c r="D13" s="3" t="s">
        <v>101</v>
      </c>
      <c r="E13" s="3" t="s">
        <v>102</v>
      </c>
      <c r="F13" s="3" t="s">
        <v>103</v>
      </c>
      <c r="G13" s="3" t="s">
        <v>104</v>
      </c>
      <c r="H13" s="3" t="s">
        <v>105</v>
      </c>
      <c r="I13" s="3" t="s">
        <v>106</v>
      </c>
      <c r="J13" s="3" t="s">
        <v>107</v>
      </c>
      <c r="K13" s="3" t="s">
        <v>108</v>
      </c>
      <c r="L13" s="3" t="s">
        <v>109</v>
      </c>
      <c r="M13" s="3" t="s">
        <v>114</v>
      </c>
      <c r="N13" s="3" t="s">
        <v>115</v>
      </c>
      <c r="O13" s="3" t="s">
        <v>97</v>
      </c>
      <c r="P13" s="3" t="s">
        <v>113</v>
      </c>
      <c r="Q13" s="3" t="s">
        <v>110</v>
      </c>
      <c r="R13" s="3" t="s">
        <v>111</v>
      </c>
      <c r="S13" s="3" t="s">
        <v>112</v>
      </c>
    </row>
    <row r="14" spans="2:19" ht="15" thickTop="1" x14ac:dyDescent="0.35">
      <c r="B14" s="15" t="s">
        <v>116</v>
      </c>
      <c r="C14" s="15" t="s">
        <v>116</v>
      </c>
      <c r="D14" s="15" t="s">
        <v>117</v>
      </c>
      <c r="E14" s="15" t="s">
        <v>35</v>
      </c>
      <c r="F14" s="15" t="s">
        <v>36</v>
      </c>
      <c r="G14" s="15" t="s">
        <v>35</v>
      </c>
      <c r="H14" s="15" t="s">
        <v>27</v>
      </c>
      <c r="I14" s="15" t="s">
        <v>100</v>
      </c>
      <c r="J14" s="15">
        <v>7</v>
      </c>
      <c r="K14" s="15">
        <v>8</v>
      </c>
      <c r="L14" s="15">
        <v>1</v>
      </c>
      <c r="M14" s="15"/>
      <c r="N14" s="15"/>
      <c r="O14" s="15"/>
      <c r="P14" s="15"/>
      <c r="Q14" s="15" t="s">
        <v>90</v>
      </c>
      <c r="R14" s="15">
        <v>80</v>
      </c>
      <c r="S14" s="15">
        <v>40</v>
      </c>
    </row>
    <row r="15" spans="2:19" x14ac:dyDescent="0.35">
      <c r="B15" s="15" t="s">
        <v>118</v>
      </c>
      <c r="C15" s="15" t="s">
        <v>118</v>
      </c>
      <c r="D15" s="15" t="s">
        <v>119</v>
      </c>
      <c r="E15" s="15" t="s">
        <v>35</v>
      </c>
      <c r="F15" s="15" t="s">
        <v>36</v>
      </c>
      <c r="G15" s="15" t="s">
        <v>35</v>
      </c>
      <c r="H15" s="15" t="s">
        <v>84</v>
      </c>
      <c r="I15" s="15" t="s">
        <v>100</v>
      </c>
      <c r="J15" s="15">
        <v>6</v>
      </c>
      <c r="K15" s="15">
        <v>8</v>
      </c>
      <c r="L15" s="15">
        <v>1</v>
      </c>
      <c r="M15" s="15"/>
      <c r="N15" s="15"/>
      <c r="O15" s="15"/>
      <c r="P15" s="15"/>
      <c r="Q15" s="15" t="s">
        <v>90</v>
      </c>
      <c r="R15" s="15">
        <v>80</v>
      </c>
      <c r="S15" s="15">
        <v>40</v>
      </c>
    </row>
    <row r="16" spans="2:19" x14ac:dyDescent="0.35">
      <c r="B16" s="15" t="s">
        <v>120</v>
      </c>
      <c r="C16" s="15" t="s">
        <v>120</v>
      </c>
      <c r="D16" s="15" t="s">
        <v>121</v>
      </c>
      <c r="E16" s="15" t="s">
        <v>35</v>
      </c>
      <c r="F16" s="15" t="s">
        <v>36</v>
      </c>
      <c r="G16" s="15" t="s">
        <v>35</v>
      </c>
      <c r="H16" s="15" t="s">
        <v>90</v>
      </c>
      <c r="I16" s="15" t="s">
        <v>100</v>
      </c>
      <c r="J16" s="15">
        <v>6</v>
      </c>
      <c r="K16" s="15">
        <v>8</v>
      </c>
      <c r="L16" s="15">
        <v>1</v>
      </c>
      <c r="M16" s="15"/>
      <c r="N16" s="15"/>
      <c r="O16" s="15"/>
      <c r="P16" s="15"/>
      <c r="Q16" s="15" t="s">
        <v>90</v>
      </c>
      <c r="R16" s="15">
        <v>80</v>
      </c>
      <c r="S16" s="15">
        <v>40</v>
      </c>
    </row>
    <row r="17" spans="2:19" x14ac:dyDescent="0.35">
      <c r="B17" s="15" t="s">
        <v>122</v>
      </c>
      <c r="C17" s="15" t="s">
        <v>122</v>
      </c>
      <c r="D17" s="15" t="s">
        <v>123</v>
      </c>
      <c r="E17" s="15" t="s">
        <v>35</v>
      </c>
      <c r="F17" s="15" t="s">
        <v>36</v>
      </c>
      <c r="G17" s="15" t="s">
        <v>35</v>
      </c>
      <c r="H17" s="15" t="s">
        <v>29</v>
      </c>
      <c r="I17" s="15" t="s">
        <v>100</v>
      </c>
      <c r="J17" s="15">
        <v>8</v>
      </c>
      <c r="K17" s="15">
        <v>8</v>
      </c>
      <c r="L17" s="15">
        <v>1</v>
      </c>
      <c r="M17" s="15"/>
      <c r="N17" s="15"/>
      <c r="O17" s="15"/>
      <c r="P17" s="15"/>
      <c r="Q17" s="15" t="s">
        <v>90</v>
      </c>
      <c r="R17" s="15">
        <v>80</v>
      </c>
      <c r="S17" s="15">
        <v>40</v>
      </c>
    </row>
    <row r="18" spans="2:19" x14ac:dyDescent="0.35">
      <c r="B18" s="15" t="s">
        <v>124</v>
      </c>
      <c r="C18" s="15" t="s">
        <v>124</v>
      </c>
      <c r="D18" s="15" t="s">
        <v>125</v>
      </c>
      <c r="E18" s="15" t="s">
        <v>35</v>
      </c>
      <c r="F18" s="15" t="s">
        <v>37</v>
      </c>
      <c r="G18" s="15" t="s">
        <v>35</v>
      </c>
      <c r="H18" s="15" t="s">
        <v>27</v>
      </c>
      <c r="I18" s="15" t="s">
        <v>100</v>
      </c>
      <c r="J18" s="15">
        <v>7</v>
      </c>
      <c r="K18" s="15">
        <v>8</v>
      </c>
      <c r="L18" s="15">
        <v>1</v>
      </c>
      <c r="M18" s="15"/>
      <c r="N18" s="15"/>
      <c r="O18" s="15"/>
      <c r="P18" s="15"/>
      <c r="Q18" s="15" t="s">
        <v>90</v>
      </c>
      <c r="R18" s="15">
        <v>80</v>
      </c>
      <c r="S18" s="15">
        <v>40</v>
      </c>
    </row>
    <row r="19" spans="2:19" x14ac:dyDescent="0.35">
      <c r="B19" s="15" t="s">
        <v>126</v>
      </c>
      <c r="C19" s="15" t="s">
        <v>126</v>
      </c>
      <c r="D19" s="15" t="s">
        <v>127</v>
      </c>
      <c r="E19" s="15" t="s">
        <v>35</v>
      </c>
      <c r="F19" s="15" t="s">
        <v>37</v>
      </c>
      <c r="G19" s="15" t="s">
        <v>35</v>
      </c>
      <c r="H19" s="15" t="s">
        <v>84</v>
      </c>
      <c r="I19" s="15" t="s">
        <v>100</v>
      </c>
      <c r="J19" s="15">
        <v>5</v>
      </c>
      <c r="K19" s="15">
        <v>8</v>
      </c>
      <c r="L19" s="15">
        <v>1</v>
      </c>
      <c r="M19" s="15"/>
      <c r="N19" s="15"/>
      <c r="O19" s="15"/>
      <c r="P19" s="15"/>
      <c r="Q19" s="15" t="s">
        <v>90</v>
      </c>
      <c r="R19" s="15">
        <v>80</v>
      </c>
      <c r="S19" s="15">
        <v>40</v>
      </c>
    </row>
    <row r="20" spans="2:19" x14ac:dyDescent="0.35">
      <c r="B20" s="15" t="s">
        <v>128</v>
      </c>
      <c r="C20" s="15" t="s">
        <v>128</v>
      </c>
      <c r="D20" s="15" t="s">
        <v>129</v>
      </c>
      <c r="E20" s="15" t="s">
        <v>35</v>
      </c>
      <c r="F20" s="15" t="s">
        <v>37</v>
      </c>
      <c r="G20" s="15" t="s">
        <v>35</v>
      </c>
      <c r="H20" s="15" t="s">
        <v>90</v>
      </c>
      <c r="I20" s="15" t="s">
        <v>100</v>
      </c>
      <c r="J20" s="15">
        <v>5</v>
      </c>
      <c r="K20" s="15">
        <v>8</v>
      </c>
      <c r="L20" s="15">
        <v>1</v>
      </c>
      <c r="M20" s="15"/>
      <c r="N20" s="15"/>
      <c r="O20" s="15"/>
      <c r="P20" s="15"/>
      <c r="Q20" s="15" t="s">
        <v>90</v>
      </c>
      <c r="R20" s="15">
        <v>80</v>
      </c>
      <c r="S20" s="15">
        <v>40</v>
      </c>
    </row>
    <row r="21" spans="2:19" x14ac:dyDescent="0.35">
      <c r="B21" s="15" t="s">
        <v>130</v>
      </c>
      <c r="C21" s="15" t="s">
        <v>130</v>
      </c>
      <c r="D21" s="15" t="s">
        <v>131</v>
      </c>
      <c r="E21" s="15" t="s">
        <v>35</v>
      </c>
      <c r="F21" s="15" t="s">
        <v>37</v>
      </c>
      <c r="G21" s="15" t="s">
        <v>35</v>
      </c>
      <c r="H21" s="15" t="s">
        <v>29</v>
      </c>
      <c r="I21" s="15" t="s">
        <v>100</v>
      </c>
      <c r="J21" s="15">
        <v>8</v>
      </c>
      <c r="K21" s="15">
        <v>8</v>
      </c>
      <c r="L21" s="15">
        <v>1</v>
      </c>
      <c r="M21" s="15"/>
      <c r="N21" s="15"/>
      <c r="O21" s="15"/>
      <c r="P21" s="15"/>
      <c r="Q21" s="15" t="s">
        <v>90</v>
      </c>
      <c r="R21" s="15">
        <v>80</v>
      </c>
      <c r="S21" s="15">
        <v>40</v>
      </c>
    </row>
    <row r="22" spans="2:19" x14ac:dyDescent="0.35">
      <c r="B22" s="15" t="s">
        <v>132</v>
      </c>
      <c r="C22" s="15" t="s">
        <v>132</v>
      </c>
      <c r="D22" s="15" t="s">
        <v>133</v>
      </c>
      <c r="E22" s="15" t="s">
        <v>35</v>
      </c>
      <c r="F22" s="15" t="s">
        <v>38</v>
      </c>
      <c r="G22" s="15" t="s">
        <v>35</v>
      </c>
      <c r="H22" s="15" t="s">
        <v>27</v>
      </c>
      <c r="I22" s="15" t="s">
        <v>100</v>
      </c>
      <c r="J22" s="15">
        <v>6</v>
      </c>
      <c r="K22" s="15">
        <v>8</v>
      </c>
      <c r="L22" s="15">
        <v>1</v>
      </c>
      <c r="M22" s="15"/>
      <c r="N22" s="15"/>
      <c r="O22" s="15"/>
      <c r="P22" s="15"/>
      <c r="Q22" s="15" t="s">
        <v>90</v>
      </c>
      <c r="R22" s="15">
        <v>80</v>
      </c>
      <c r="S22" s="15">
        <v>40</v>
      </c>
    </row>
    <row r="23" spans="2:19" x14ac:dyDescent="0.35">
      <c r="B23" s="15" t="s">
        <v>134</v>
      </c>
      <c r="C23" s="15" t="s">
        <v>134</v>
      </c>
      <c r="D23" s="15" t="s">
        <v>135</v>
      </c>
      <c r="E23" s="15" t="s">
        <v>35</v>
      </c>
      <c r="F23" s="15" t="s">
        <v>38</v>
      </c>
      <c r="G23" s="15" t="s">
        <v>35</v>
      </c>
      <c r="H23" s="15" t="s">
        <v>84</v>
      </c>
      <c r="I23" s="15" t="s">
        <v>100</v>
      </c>
      <c r="J23" s="15">
        <v>4</v>
      </c>
      <c r="K23" s="15">
        <v>8</v>
      </c>
      <c r="L23" s="15">
        <v>1</v>
      </c>
      <c r="M23" s="15"/>
      <c r="N23" s="15"/>
      <c r="O23" s="15"/>
      <c r="P23" s="15"/>
      <c r="Q23" s="15" t="s">
        <v>90</v>
      </c>
      <c r="R23" s="15">
        <v>80</v>
      </c>
      <c r="S23" s="15">
        <v>40</v>
      </c>
    </row>
    <row r="24" spans="2:19" x14ac:dyDescent="0.35">
      <c r="B24" s="15" t="s">
        <v>136</v>
      </c>
      <c r="C24" s="15" t="s">
        <v>136</v>
      </c>
      <c r="D24" s="15" t="s">
        <v>137</v>
      </c>
      <c r="E24" s="15" t="s">
        <v>35</v>
      </c>
      <c r="F24" s="15" t="s">
        <v>38</v>
      </c>
      <c r="G24" s="15" t="s">
        <v>35</v>
      </c>
      <c r="H24" s="15" t="s">
        <v>90</v>
      </c>
      <c r="I24" s="15" t="s">
        <v>100</v>
      </c>
      <c r="J24" s="15">
        <v>4</v>
      </c>
      <c r="K24" s="15">
        <v>8</v>
      </c>
      <c r="L24" s="15">
        <v>1</v>
      </c>
      <c r="M24" s="15"/>
      <c r="N24" s="15"/>
      <c r="O24" s="15"/>
      <c r="P24" s="15"/>
      <c r="Q24" s="15" t="s">
        <v>90</v>
      </c>
      <c r="R24" s="15">
        <v>80</v>
      </c>
      <c r="S24" s="15">
        <v>40</v>
      </c>
    </row>
    <row r="25" spans="2:19" x14ac:dyDescent="0.35">
      <c r="B25" s="15" t="s">
        <v>138</v>
      </c>
      <c r="C25" s="15" t="s">
        <v>138</v>
      </c>
      <c r="D25" s="15" t="s">
        <v>139</v>
      </c>
      <c r="E25" s="15" t="s">
        <v>35</v>
      </c>
      <c r="F25" s="15" t="s">
        <v>38</v>
      </c>
      <c r="G25" s="15" t="s">
        <v>35</v>
      </c>
      <c r="H25" s="15" t="s">
        <v>29</v>
      </c>
      <c r="I25" s="15" t="s">
        <v>100</v>
      </c>
      <c r="J25" s="15">
        <v>7</v>
      </c>
      <c r="K25" s="15">
        <v>8</v>
      </c>
      <c r="L25" s="15">
        <v>1</v>
      </c>
      <c r="M25" s="15"/>
      <c r="N25" s="15"/>
      <c r="O25" s="15"/>
      <c r="P25" s="15"/>
      <c r="Q25" s="15" t="s">
        <v>90</v>
      </c>
      <c r="R25" s="15">
        <v>80</v>
      </c>
      <c r="S25" s="15">
        <v>40</v>
      </c>
    </row>
    <row r="26" spans="2:19" x14ac:dyDescent="0.35">
      <c r="B26" s="15" t="s">
        <v>140</v>
      </c>
      <c r="C26" s="15" t="s">
        <v>140</v>
      </c>
      <c r="D26" s="15" t="s">
        <v>141</v>
      </c>
      <c r="E26" s="15" t="s">
        <v>35</v>
      </c>
      <c r="F26" s="15" t="s">
        <v>39</v>
      </c>
      <c r="G26" s="15" t="s">
        <v>35</v>
      </c>
      <c r="H26" s="15" t="s">
        <v>27</v>
      </c>
      <c r="I26" s="15" t="s">
        <v>100</v>
      </c>
      <c r="J26" s="15">
        <v>7</v>
      </c>
      <c r="K26" s="15">
        <v>8</v>
      </c>
      <c r="L26" s="15">
        <v>1</v>
      </c>
      <c r="M26" s="15"/>
      <c r="N26" s="15"/>
      <c r="O26" s="15"/>
      <c r="P26" s="15"/>
      <c r="Q26" s="15" t="s">
        <v>90</v>
      </c>
      <c r="R26" s="15">
        <v>80</v>
      </c>
      <c r="S26" s="15">
        <v>40</v>
      </c>
    </row>
    <row r="27" spans="2:19" x14ac:dyDescent="0.35">
      <c r="B27" s="15" t="s">
        <v>142</v>
      </c>
      <c r="C27" s="15" t="s">
        <v>142</v>
      </c>
      <c r="D27" s="15" t="s">
        <v>143</v>
      </c>
      <c r="E27" s="15" t="s">
        <v>35</v>
      </c>
      <c r="F27" s="15" t="s">
        <v>39</v>
      </c>
      <c r="G27" s="15" t="s">
        <v>35</v>
      </c>
      <c r="H27" s="15" t="s">
        <v>84</v>
      </c>
      <c r="I27" s="15" t="s">
        <v>100</v>
      </c>
      <c r="J27" s="15">
        <v>5</v>
      </c>
      <c r="K27" s="15">
        <v>8</v>
      </c>
      <c r="L27" s="15">
        <v>1</v>
      </c>
      <c r="M27" s="15"/>
      <c r="N27" s="15"/>
      <c r="O27" s="15"/>
      <c r="P27" s="15"/>
      <c r="Q27" s="15" t="s">
        <v>90</v>
      </c>
      <c r="R27" s="15">
        <v>80</v>
      </c>
      <c r="S27" s="15">
        <v>40</v>
      </c>
    </row>
    <row r="28" spans="2:19" x14ac:dyDescent="0.35">
      <c r="B28" s="15" t="s">
        <v>144</v>
      </c>
      <c r="C28" s="15" t="s">
        <v>144</v>
      </c>
      <c r="D28" s="15" t="s">
        <v>145</v>
      </c>
      <c r="E28" s="15" t="s">
        <v>35</v>
      </c>
      <c r="F28" s="15" t="s">
        <v>39</v>
      </c>
      <c r="G28" s="15" t="s">
        <v>35</v>
      </c>
      <c r="H28" s="15" t="s">
        <v>90</v>
      </c>
      <c r="I28" s="15" t="s">
        <v>100</v>
      </c>
      <c r="J28" s="15">
        <v>5</v>
      </c>
      <c r="K28" s="15">
        <v>8</v>
      </c>
      <c r="L28" s="15">
        <v>1</v>
      </c>
      <c r="M28" s="15"/>
      <c r="N28" s="15"/>
      <c r="O28" s="15"/>
      <c r="P28" s="15"/>
      <c r="Q28" s="15" t="s">
        <v>90</v>
      </c>
      <c r="R28" s="15">
        <v>80</v>
      </c>
      <c r="S28" s="15">
        <v>40</v>
      </c>
    </row>
    <row r="29" spans="2:19" x14ac:dyDescent="0.35">
      <c r="B29" s="15" t="s">
        <v>146</v>
      </c>
      <c r="C29" s="15" t="s">
        <v>146</v>
      </c>
      <c r="D29" s="15" t="s">
        <v>147</v>
      </c>
      <c r="E29" s="15" t="s">
        <v>35</v>
      </c>
      <c r="F29" s="15" t="s">
        <v>39</v>
      </c>
      <c r="G29" s="15" t="s">
        <v>35</v>
      </c>
      <c r="H29" s="15" t="s">
        <v>29</v>
      </c>
      <c r="I29" s="15" t="s">
        <v>100</v>
      </c>
      <c r="J29" s="15">
        <v>8</v>
      </c>
      <c r="K29" s="15">
        <v>8</v>
      </c>
      <c r="L29" s="15">
        <v>1</v>
      </c>
      <c r="M29" s="15"/>
      <c r="N29" s="15"/>
      <c r="O29" s="15"/>
      <c r="P29" s="15"/>
      <c r="Q29" s="15" t="s">
        <v>90</v>
      </c>
      <c r="R29" s="15">
        <v>80</v>
      </c>
      <c r="S29" s="15">
        <v>40</v>
      </c>
    </row>
    <row r="30" spans="2:19" x14ac:dyDescent="0.35">
      <c r="B30" s="15" t="s">
        <v>148</v>
      </c>
      <c r="C30" s="15" t="s">
        <v>148</v>
      </c>
      <c r="D30" s="15" t="s">
        <v>149</v>
      </c>
      <c r="E30" s="15" t="s">
        <v>35</v>
      </c>
      <c r="F30" s="15" t="s">
        <v>40</v>
      </c>
      <c r="G30" s="15" t="s">
        <v>35</v>
      </c>
      <c r="H30" s="15" t="s">
        <v>27</v>
      </c>
      <c r="I30" s="15" t="s">
        <v>100</v>
      </c>
      <c r="J30" s="15">
        <v>4</v>
      </c>
      <c r="K30" s="15">
        <v>8</v>
      </c>
      <c r="L30" s="15">
        <v>1</v>
      </c>
      <c r="M30" s="15"/>
      <c r="N30" s="15"/>
      <c r="O30" s="15"/>
      <c r="P30" s="15"/>
      <c r="Q30" s="15" t="s">
        <v>90</v>
      </c>
      <c r="R30" s="15">
        <v>80</v>
      </c>
      <c r="S30" s="15">
        <v>40</v>
      </c>
    </row>
    <row r="31" spans="2:19" x14ac:dyDescent="0.35">
      <c r="B31" s="15" t="s">
        <v>150</v>
      </c>
      <c r="C31" s="15" t="s">
        <v>150</v>
      </c>
      <c r="D31" s="15" t="s">
        <v>151</v>
      </c>
      <c r="E31" s="15" t="s">
        <v>35</v>
      </c>
      <c r="F31" s="15" t="s">
        <v>40</v>
      </c>
      <c r="G31" s="15" t="s">
        <v>35</v>
      </c>
      <c r="H31" s="15" t="s">
        <v>84</v>
      </c>
      <c r="I31" s="15" t="s">
        <v>100</v>
      </c>
      <c r="J31" s="15">
        <v>1</v>
      </c>
      <c r="K31" s="15">
        <v>8</v>
      </c>
      <c r="L31" s="15">
        <v>1</v>
      </c>
      <c r="M31" s="15"/>
      <c r="N31" s="15"/>
      <c r="O31" s="15"/>
      <c r="P31" s="15"/>
      <c r="Q31" s="15" t="s">
        <v>90</v>
      </c>
      <c r="R31" s="15">
        <v>80</v>
      </c>
      <c r="S31" s="15">
        <v>40</v>
      </c>
    </row>
    <row r="32" spans="2:19" x14ac:dyDescent="0.35">
      <c r="B32" s="15" t="s">
        <v>152</v>
      </c>
      <c r="C32" s="15" t="s">
        <v>152</v>
      </c>
      <c r="D32" s="15" t="s">
        <v>153</v>
      </c>
      <c r="E32" s="15" t="s">
        <v>35</v>
      </c>
      <c r="F32" s="15" t="s">
        <v>40</v>
      </c>
      <c r="G32" s="15" t="s">
        <v>35</v>
      </c>
      <c r="H32" s="15" t="s">
        <v>86</v>
      </c>
      <c r="I32" s="15" t="s">
        <v>100</v>
      </c>
      <c r="J32" s="15">
        <v>2</v>
      </c>
      <c r="K32" s="15">
        <v>8</v>
      </c>
      <c r="L32" s="15">
        <v>1</v>
      </c>
      <c r="M32" s="15"/>
      <c r="N32" s="15"/>
      <c r="O32" s="15"/>
      <c r="P32" s="15"/>
      <c r="Q32" s="15" t="s">
        <v>90</v>
      </c>
      <c r="R32" s="15">
        <v>80</v>
      </c>
      <c r="S32" s="15">
        <v>40</v>
      </c>
    </row>
    <row r="33" spans="2:19" x14ac:dyDescent="0.35">
      <c r="B33" s="15" t="s">
        <v>154</v>
      </c>
      <c r="C33" s="15" t="s">
        <v>154</v>
      </c>
      <c r="D33" s="15" t="s">
        <v>155</v>
      </c>
      <c r="E33" s="15" t="s">
        <v>35</v>
      </c>
      <c r="F33" s="15" t="s">
        <v>40</v>
      </c>
      <c r="G33" s="15" t="s">
        <v>35</v>
      </c>
      <c r="H33" s="15" t="s">
        <v>90</v>
      </c>
      <c r="I33" s="15" t="s">
        <v>100</v>
      </c>
      <c r="J33" s="15">
        <v>1</v>
      </c>
      <c r="K33" s="15">
        <v>8</v>
      </c>
      <c r="L33" s="15">
        <v>1</v>
      </c>
      <c r="M33" s="15"/>
      <c r="N33" s="15"/>
      <c r="O33" s="15"/>
      <c r="P33" s="15"/>
      <c r="Q33" s="15" t="s">
        <v>90</v>
      </c>
      <c r="R33" s="15">
        <v>80</v>
      </c>
      <c r="S33" s="15">
        <v>40</v>
      </c>
    </row>
    <row r="34" spans="2:19" x14ac:dyDescent="0.35">
      <c r="B34" s="15" t="s">
        <v>156</v>
      </c>
      <c r="C34" s="15" t="s">
        <v>156</v>
      </c>
      <c r="D34" s="15" t="s">
        <v>157</v>
      </c>
      <c r="E34" s="15" t="s">
        <v>35</v>
      </c>
      <c r="F34" s="15" t="s">
        <v>40</v>
      </c>
      <c r="G34" s="15" t="s">
        <v>35</v>
      </c>
      <c r="H34" s="15" t="s">
        <v>60</v>
      </c>
      <c r="I34" s="15" t="s">
        <v>100</v>
      </c>
      <c r="J34" s="15">
        <v>2</v>
      </c>
      <c r="K34" s="15">
        <v>8</v>
      </c>
      <c r="L34" s="15">
        <v>1</v>
      </c>
      <c r="M34" s="15"/>
      <c r="N34" s="15"/>
      <c r="O34" s="15"/>
      <c r="P34" s="15"/>
      <c r="Q34" s="15" t="s">
        <v>90</v>
      </c>
      <c r="R34" s="15">
        <v>80</v>
      </c>
      <c r="S34" s="15">
        <v>40</v>
      </c>
    </row>
    <row r="35" spans="2:19" x14ac:dyDescent="0.35">
      <c r="B35" s="15" t="s">
        <v>158</v>
      </c>
      <c r="C35" s="15" t="s">
        <v>158</v>
      </c>
      <c r="D35" s="15" t="s">
        <v>159</v>
      </c>
      <c r="E35" s="15" t="s">
        <v>35</v>
      </c>
      <c r="F35" s="15" t="s">
        <v>40</v>
      </c>
      <c r="G35" s="15" t="s">
        <v>35</v>
      </c>
      <c r="H35" s="15" t="s">
        <v>29</v>
      </c>
      <c r="I35" s="15" t="s">
        <v>100</v>
      </c>
      <c r="J35" s="15">
        <v>5</v>
      </c>
      <c r="K35" s="15">
        <v>8</v>
      </c>
      <c r="L35" s="15">
        <v>1</v>
      </c>
      <c r="M35" s="15"/>
      <c r="N35" s="15"/>
      <c r="O35" s="15"/>
      <c r="P35" s="15"/>
      <c r="Q35" s="15" t="s">
        <v>90</v>
      </c>
      <c r="R35" s="15">
        <v>80</v>
      </c>
      <c r="S35" s="15">
        <v>40</v>
      </c>
    </row>
    <row r="36" spans="2:19" x14ac:dyDescent="0.35">
      <c r="B36" s="15" t="s">
        <v>160</v>
      </c>
      <c r="C36" s="15" t="s">
        <v>160</v>
      </c>
      <c r="D36" s="15" t="s">
        <v>161</v>
      </c>
      <c r="E36" s="15" t="s">
        <v>35</v>
      </c>
      <c r="F36" s="15" t="s">
        <v>43</v>
      </c>
      <c r="G36" s="15" t="s">
        <v>35</v>
      </c>
      <c r="H36" s="15" t="s">
        <v>84</v>
      </c>
      <c r="I36" s="15" t="s">
        <v>100</v>
      </c>
      <c r="J36" s="15">
        <v>5</v>
      </c>
      <c r="K36" s="15">
        <v>8</v>
      </c>
      <c r="L36" s="15">
        <v>1</v>
      </c>
      <c r="M36" s="15"/>
      <c r="N36" s="15"/>
      <c r="O36" s="15"/>
      <c r="P36" s="15"/>
      <c r="Q36" s="15" t="s">
        <v>90</v>
      </c>
      <c r="R36" s="15">
        <v>80</v>
      </c>
      <c r="S36" s="15">
        <v>40</v>
      </c>
    </row>
    <row r="37" spans="2:19" x14ac:dyDescent="0.35">
      <c r="B37" s="15" t="s">
        <v>162</v>
      </c>
      <c r="C37" s="15" t="s">
        <v>162</v>
      </c>
      <c r="D37" s="15" t="s">
        <v>163</v>
      </c>
      <c r="E37" s="15" t="s">
        <v>35</v>
      </c>
      <c r="F37" s="15" t="s">
        <v>43</v>
      </c>
      <c r="G37" s="15" t="s">
        <v>35</v>
      </c>
      <c r="H37" s="15" t="s">
        <v>90</v>
      </c>
      <c r="I37" s="15" t="s">
        <v>100</v>
      </c>
      <c r="J37" s="15">
        <v>5</v>
      </c>
      <c r="K37" s="15">
        <v>8</v>
      </c>
      <c r="L37" s="15">
        <v>1</v>
      </c>
      <c r="M37" s="15"/>
      <c r="N37" s="15"/>
      <c r="O37" s="15"/>
      <c r="P37" s="15"/>
      <c r="Q37" s="15" t="s">
        <v>90</v>
      </c>
      <c r="R37" s="15">
        <v>80</v>
      </c>
      <c r="S37" s="15">
        <v>40</v>
      </c>
    </row>
    <row r="38" spans="2:19" x14ac:dyDescent="0.35">
      <c r="B38" s="15" t="s">
        <v>164</v>
      </c>
      <c r="C38" s="15" t="s">
        <v>164</v>
      </c>
      <c r="D38" s="15" t="s">
        <v>165</v>
      </c>
      <c r="E38" s="15" t="s">
        <v>35</v>
      </c>
      <c r="F38" s="15" t="s">
        <v>43</v>
      </c>
      <c r="G38" s="15" t="s">
        <v>35</v>
      </c>
      <c r="H38" s="15" t="s">
        <v>60</v>
      </c>
      <c r="I38" s="15" t="s">
        <v>100</v>
      </c>
      <c r="J38" s="15">
        <v>5</v>
      </c>
      <c r="K38" s="15">
        <v>8</v>
      </c>
      <c r="L38" s="15">
        <v>1</v>
      </c>
      <c r="M38" s="15"/>
      <c r="N38" s="15"/>
      <c r="O38" s="15"/>
      <c r="P38" s="15"/>
      <c r="Q38" s="15" t="s">
        <v>90</v>
      </c>
      <c r="R38" s="15">
        <v>80</v>
      </c>
      <c r="S38" s="15">
        <v>40</v>
      </c>
    </row>
    <row r="39" spans="2:19" x14ac:dyDescent="0.35">
      <c r="B39" s="15" t="s">
        <v>166</v>
      </c>
      <c r="C39" s="15" t="s">
        <v>166</v>
      </c>
      <c r="D39" s="15" t="s">
        <v>167</v>
      </c>
      <c r="E39" s="15" t="s">
        <v>35</v>
      </c>
      <c r="F39" s="15" t="s">
        <v>44</v>
      </c>
      <c r="G39" s="15" t="s">
        <v>35</v>
      </c>
      <c r="H39" s="15" t="s">
        <v>84</v>
      </c>
      <c r="I39" s="15" t="s">
        <v>100</v>
      </c>
      <c r="J39" s="15">
        <v>3</v>
      </c>
      <c r="K39" s="15">
        <v>8</v>
      </c>
      <c r="L39" s="15">
        <v>1</v>
      </c>
      <c r="M39" s="15"/>
      <c r="N39" s="15"/>
      <c r="O39" s="15"/>
      <c r="P39" s="15"/>
      <c r="Q39" s="15" t="s">
        <v>90</v>
      </c>
      <c r="R39" s="15">
        <v>80</v>
      </c>
      <c r="S39" s="15">
        <v>40</v>
      </c>
    </row>
    <row r="40" spans="2:19" x14ac:dyDescent="0.35">
      <c r="B40" s="15" t="s">
        <v>168</v>
      </c>
      <c r="C40" s="15" t="s">
        <v>168</v>
      </c>
      <c r="D40" s="15" t="s">
        <v>169</v>
      </c>
      <c r="E40" s="15" t="s">
        <v>35</v>
      </c>
      <c r="F40" s="15" t="s">
        <v>44</v>
      </c>
      <c r="G40" s="15" t="s">
        <v>35</v>
      </c>
      <c r="H40" s="15" t="s">
        <v>90</v>
      </c>
      <c r="I40" s="15" t="s">
        <v>100</v>
      </c>
      <c r="J40" s="15">
        <v>3</v>
      </c>
      <c r="K40" s="15">
        <v>8</v>
      </c>
      <c r="L40" s="15">
        <v>1</v>
      </c>
      <c r="M40" s="15"/>
      <c r="N40" s="15"/>
      <c r="O40" s="15"/>
      <c r="P40" s="15"/>
      <c r="Q40" s="15" t="s">
        <v>90</v>
      </c>
      <c r="R40" s="15">
        <v>80</v>
      </c>
      <c r="S40" s="15">
        <v>40</v>
      </c>
    </row>
    <row r="41" spans="2:19" x14ac:dyDescent="0.35">
      <c r="B41" s="15" t="s">
        <v>170</v>
      </c>
      <c r="C41" s="15" t="s">
        <v>170</v>
      </c>
      <c r="D41" s="15" t="s">
        <v>171</v>
      </c>
      <c r="E41" s="15" t="s">
        <v>35</v>
      </c>
      <c r="F41" s="15" t="s">
        <v>44</v>
      </c>
      <c r="G41" s="15" t="s">
        <v>35</v>
      </c>
      <c r="H41" s="15" t="s">
        <v>29</v>
      </c>
      <c r="I41" s="15" t="s">
        <v>100</v>
      </c>
      <c r="J41" s="15">
        <v>5</v>
      </c>
      <c r="K41" s="15">
        <v>8</v>
      </c>
      <c r="L41" s="15">
        <v>1</v>
      </c>
      <c r="M41" s="15"/>
      <c r="N41" s="15"/>
      <c r="O41" s="15"/>
      <c r="P41" s="15"/>
      <c r="Q41" s="15" t="s">
        <v>90</v>
      </c>
      <c r="R41" s="15">
        <v>80</v>
      </c>
      <c r="S41" s="15">
        <v>40</v>
      </c>
    </row>
    <row r="42" spans="2:19" x14ac:dyDescent="0.35">
      <c r="B42" s="15" t="s">
        <v>172</v>
      </c>
      <c r="C42" s="15" t="s">
        <v>172</v>
      </c>
      <c r="D42" s="15" t="s">
        <v>173</v>
      </c>
      <c r="E42" s="15" t="s">
        <v>35</v>
      </c>
      <c r="F42" s="15" t="s">
        <v>45</v>
      </c>
      <c r="G42" s="15" t="s">
        <v>35</v>
      </c>
      <c r="H42" s="15" t="s">
        <v>27</v>
      </c>
      <c r="I42" s="15" t="s">
        <v>100</v>
      </c>
      <c r="J42" s="15">
        <v>6</v>
      </c>
      <c r="K42" s="15">
        <v>8</v>
      </c>
      <c r="L42" s="15">
        <v>1</v>
      </c>
      <c r="M42" s="15"/>
      <c r="N42" s="15"/>
      <c r="O42" s="15"/>
      <c r="P42" s="15"/>
      <c r="Q42" s="15" t="s">
        <v>90</v>
      </c>
      <c r="R42" s="15">
        <v>80</v>
      </c>
      <c r="S42" s="15">
        <v>40</v>
      </c>
    </row>
    <row r="43" spans="2:19" x14ac:dyDescent="0.35">
      <c r="B43" s="15" t="s">
        <v>174</v>
      </c>
      <c r="C43" s="15" t="s">
        <v>174</v>
      </c>
      <c r="D43" s="15" t="s">
        <v>175</v>
      </c>
      <c r="E43" s="15" t="s">
        <v>35</v>
      </c>
      <c r="F43" s="15" t="s">
        <v>45</v>
      </c>
      <c r="G43" s="15" t="s">
        <v>35</v>
      </c>
      <c r="H43" s="15" t="s">
        <v>84</v>
      </c>
      <c r="I43" s="15" t="s">
        <v>100</v>
      </c>
      <c r="J43" s="15">
        <v>4</v>
      </c>
      <c r="K43" s="15">
        <v>8</v>
      </c>
      <c r="L43" s="15">
        <v>1</v>
      </c>
      <c r="M43" s="15"/>
      <c r="N43" s="15"/>
      <c r="O43" s="15"/>
      <c r="P43" s="15"/>
      <c r="Q43" s="15" t="s">
        <v>90</v>
      </c>
      <c r="R43" s="15">
        <v>80</v>
      </c>
      <c r="S43" s="15">
        <v>40</v>
      </c>
    </row>
    <row r="44" spans="2:19" x14ac:dyDescent="0.35">
      <c r="B44" s="15" t="s">
        <v>176</v>
      </c>
      <c r="C44" s="15" t="s">
        <v>176</v>
      </c>
      <c r="D44" s="15" t="s">
        <v>177</v>
      </c>
      <c r="E44" s="15" t="s">
        <v>35</v>
      </c>
      <c r="F44" s="15" t="s">
        <v>45</v>
      </c>
      <c r="G44" s="15" t="s">
        <v>35</v>
      </c>
      <c r="H44" s="15" t="s">
        <v>90</v>
      </c>
      <c r="I44" s="15" t="s">
        <v>100</v>
      </c>
      <c r="J44" s="15">
        <v>4</v>
      </c>
      <c r="K44" s="15">
        <v>8</v>
      </c>
      <c r="L44" s="15">
        <v>1</v>
      </c>
      <c r="M44" s="15"/>
      <c r="N44" s="15"/>
      <c r="O44" s="15"/>
      <c r="P44" s="15"/>
      <c r="Q44" s="15" t="s">
        <v>90</v>
      </c>
      <c r="R44" s="15">
        <v>80</v>
      </c>
      <c r="S44" s="15">
        <v>40</v>
      </c>
    </row>
    <row r="45" spans="2:19" x14ac:dyDescent="0.35">
      <c r="B45" s="15" t="s">
        <v>178</v>
      </c>
      <c r="C45" s="15" t="s">
        <v>178</v>
      </c>
      <c r="D45" s="15" t="s">
        <v>179</v>
      </c>
      <c r="E45" s="15" t="s">
        <v>35</v>
      </c>
      <c r="F45" s="15" t="s">
        <v>45</v>
      </c>
      <c r="G45" s="15" t="s">
        <v>35</v>
      </c>
      <c r="H45" s="15" t="s">
        <v>29</v>
      </c>
      <c r="I45" s="15" t="s">
        <v>100</v>
      </c>
      <c r="J45" s="15">
        <v>7</v>
      </c>
      <c r="K45" s="15">
        <v>8</v>
      </c>
      <c r="L45" s="15">
        <v>1</v>
      </c>
      <c r="M45" s="15"/>
      <c r="N45" s="15"/>
      <c r="O45" s="15"/>
      <c r="P45" s="15"/>
      <c r="Q45" s="15" t="s">
        <v>90</v>
      </c>
      <c r="R45" s="15">
        <v>80</v>
      </c>
      <c r="S45" s="15">
        <v>40</v>
      </c>
    </row>
    <row r="46" spans="2:19" x14ac:dyDescent="0.35">
      <c r="B46" s="15" t="s">
        <v>180</v>
      </c>
      <c r="C46" s="15" t="s">
        <v>180</v>
      </c>
      <c r="D46" s="15" t="s">
        <v>181</v>
      </c>
      <c r="E46" s="15" t="s">
        <v>35</v>
      </c>
      <c r="F46" s="15" t="s">
        <v>27</v>
      </c>
      <c r="G46" s="15" t="s">
        <v>35</v>
      </c>
      <c r="H46" s="15" t="s">
        <v>42</v>
      </c>
      <c r="I46" s="15" t="s">
        <v>100</v>
      </c>
      <c r="J46" s="15">
        <v>2</v>
      </c>
      <c r="K46" s="15">
        <v>8</v>
      </c>
      <c r="L46" s="15">
        <v>1</v>
      </c>
      <c r="M46" s="15"/>
      <c r="N46" s="15"/>
      <c r="O46" s="15"/>
      <c r="P46" s="15"/>
      <c r="Q46" s="15" t="s">
        <v>90</v>
      </c>
      <c r="R46" s="15">
        <v>80</v>
      </c>
      <c r="S46" s="15">
        <v>40</v>
      </c>
    </row>
    <row r="47" spans="2:19" x14ac:dyDescent="0.35">
      <c r="B47" s="15" t="s">
        <v>182</v>
      </c>
      <c r="C47" s="15" t="s">
        <v>182</v>
      </c>
      <c r="D47" s="15" t="s">
        <v>183</v>
      </c>
      <c r="E47" s="15" t="s">
        <v>35</v>
      </c>
      <c r="F47" s="15" t="s">
        <v>27</v>
      </c>
      <c r="G47" s="15" t="s">
        <v>35</v>
      </c>
      <c r="H47" s="15" t="s">
        <v>43</v>
      </c>
      <c r="I47" s="15" t="s">
        <v>100</v>
      </c>
      <c r="J47" s="15">
        <v>3</v>
      </c>
      <c r="K47" s="15">
        <v>8</v>
      </c>
      <c r="L47" s="15">
        <v>1</v>
      </c>
      <c r="M47" s="15"/>
      <c r="N47" s="15"/>
      <c r="O47" s="15"/>
      <c r="P47" s="15"/>
      <c r="Q47" s="15" t="s">
        <v>90</v>
      </c>
      <c r="R47" s="15">
        <v>80</v>
      </c>
      <c r="S47" s="15">
        <v>40</v>
      </c>
    </row>
    <row r="48" spans="2:19" x14ac:dyDescent="0.35">
      <c r="B48" s="15" t="s">
        <v>184</v>
      </c>
      <c r="C48" s="15" t="s">
        <v>184</v>
      </c>
      <c r="D48" s="15" t="s">
        <v>185</v>
      </c>
      <c r="E48" s="15" t="s">
        <v>35</v>
      </c>
      <c r="F48" s="15" t="s">
        <v>27</v>
      </c>
      <c r="G48" s="15" t="s">
        <v>35</v>
      </c>
      <c r="H48" s="15" t="s">
        <v>59</v>
      </c>
      <c r="I48" s="15" t="s">
        <v>100</v>
      </c>
      <c r="J48" s="15">
        <v>2</v>
      </c>
      <c r="K48" s="15">
        <v>8</v>
      </c>
      <c r="L48" s="15">
        <v>1</v>
      </c>
      <c r="M48" s="15"/>
      <c r="N48" s="15"/>
      <c r="O48" s="15"/>
      <c r="P48" s="15"/>
      <c r="Q48" s="15" t="s">
        <v>90</v>
      </c>
      <c r="R48" s="15">
        <v>80</v>
      </c>
      <c r="S48" s="15">
        <v>40</v>
      </c>
    </row>
    <row r="49" spans="2:19" x14ac:dyDescent="0.35">
      <c r="B49" s="15" t="s">
        <v>186</v>
      </c>
      <c r="C49" s="15" t="s">
        <v>186</v>
      </c>
      <c r="D49" s="15" t="s">
        <v>187</v>
      </c>
      <c r="E49" s="15" t="s">
        <v>35</v>
      </c>
      <c r="F49" s="15" t="s">
        <v>27</v>
      </c>
      <c r="G49" s="15" t="s">
        <v>35</v>
      </c>
      <c r="H49" s="15" t="s">
        <v>60</v>
      </c>
      <c r="I49" s="15" t="s">
        <v>100</v>
      </c>
      <c r="J49" s="15">
        <v>2</v>
      </c>
      <c r="K49" s="15">
        <v>8</v>
      </c>
      <c r="L49" s="15">
        <v>1</v>
      </c>
      <c r="M49" s="15"/>
      <c r="N49" s="15"/>
      <c r="O49" s="15"/>
      <c r="P49" s="15"/>
      <c r="Q49" s="15" t="s">
        <v>90</v>
      </c>
      <c r="R49" s="15">
        <v>80</v>
      </c>
      <c r="S49" s="15">
        <v>40</v>
      </c>
    </row>
    <row r="50" spans="2:19" x14ac:dyDescent="0.35">
      <c r="B50" s="15" t="s">
        <v>188</v>
      </c>
      <c r="C50" s="15" t="s">
        <v>188</v>
      </c>
      <c r="D50" s="15" t="s">
        <v>189</v>
      </c>
      <c r="E50" s="15" t="s">
        <v>35</v>
      </c>
      <c r="F50" s="15" t="s">
        <v>84</v>
      </c>
      <c r="G50" s="15" t="s">
        <v>35</v>
      </c>
      <c r="H50" s="15" t="s">
        <v>82</v>
      </c>
      <c r="I50" s="15" t="s">
        <v>100</v>
      </c>
      <c r="J50" s="15">
        <v>5</v>
      </c>
      <c r="K50" s="15">
        <v>8</v>
      </c>
      <c r="L50" s="15">
        <v>1</v>
      </c>
      <c r="M50" s="15"/>
      <c r="N50" s="15"/>
      <c r="O50" s="15"/>
      <c r="P50" s="15"/>
      <c r="Q50" s="15" t="s">
        <v>90</v>
      </c>
      <c r="R50" s="15">
        <v>80</v>
      </c>
      <c r="S50" s="15">
        <v>40</v>
      </c>
    </row>
    <row r="51" spans="2:19" x14ac:dyDescent="0.35">
      <c r="B51" s="15" t="s">
        <v>190</v>
      </c>
      <c r="C51" s="15" t="s">
        <v>190</v>
      </c>
      <c r="D51" s="15" t="s">
        <v>191</v>
      </c>
      <c r="E51" s="15" t="s">
        <v>35</v>
      </c>
      <c r="F51" s="15" t="s">
        <v>84</v>
      </c>
      <c r="G51" s="15" t="s">
        <v>35</v>
      </c>
      <c r="H51" s="15" t="s">
        <v>42</v>
      </c>
      <c r="I51" s="15" t="s">
        <v>100</v>
      </c>
      <c r="J51" s="15">
        <v>5</v>
      </c>
      <c r="K51" s="15">
        <v>8</v>
      </c>
      <c r="L51" s="15">
        <v>1</v>
      </c>
      <c r="M51" s="15"/>
      <c r="N51" s="15"/>
      <c r="O51" s="15"/>
      <c r="P51" s="15"/>
      <c r="Q51" s="15" t="s">
        <v>90</v>
      </c>
      <c r="R51" s="15">
        <v>80</v>
      </c>
      <c r="S51" s="15">
        <v>40</v>
      </c>
    </row>
    <row r="52" spans="2:19" x14ac:dyDescent="0.35">
      <c r="B52" s="15" t="s">
        <v>192</v>
      </c>
      <c r="C52" s="15" t="s">
        <v>192</v>
      </c>
      <c r="D52" s="15" t="s">
        <v>193</v>
      </c>
      <c r="E52" s="15" t="s">
        <v>35</v>
      </c>
      <c r="F52" s="15" t="s">
        <v>84</v>
      </c>
      <c r="G52" s="15" t="s">
        <v>35</v>
      </c>
      <c r="H52" s="15" t="s">
        <v>86</v>
      </c>
      <c r="I52" s="15" t="s">
        <v>100</v>
      </c>
      <c r="J52" s="15">
        <v>5</v>
      </c>
      <c r="K52" s="15">
        <v>8</v>
      </c>
      <c r="L52" s="15">
        <v>1</v>
      </c>
      <c r="M52" s="15"/>
      <c r="N52" s="15"/>
      <c r="O52" s="15"/>
      <c r="P52" s="15"/>
      <c r="Q52" s="15" t="s">
        <v>90</v>
      </c>
      <c r="R52" s="15">
        <v>80</v>
      </c>
      <c r="S52" s="15">
        <v>40</v>
      </c>
    </row>
    <row r="53" spans="2:19" x14ac:dyDescent="0.35">
      <c r="B53" s="15" t="s">
        <v>194</v>
      </c>
      <c r="C53" s="15" t="s">
        <v>194</v>
      </c>
      <c r="D53" s="15" t="s">
        <v>195</v>
      </c>
      <c r="E53" s="15" t="s">
        <v>35</v>
      </c>
      <c r="F53" s="15" t="s">
        <v>84</v>
      </c>
      <c r="G53" s="15" t="s">
        <v>35</v>
      </c>
      <c r="H53" s="15" t="s">
        <v>88</v>
      </c>
      <c r="I53" s="15" t="s">
        <v>100</v>
      </c>
      <c r="J53" s="15">
        <v>3</v>
      </c>
      <c r="K53" s="15">
        <v>8</v>
      </c>
      <c r="L53" s="15">
        <v>1</v>
      </c>
      <c r="M53" s="15"/>
      <c r="N53" s="15"/>
      <c r="O53" s="15"/>
      <c r="P53" s="15"/>
      <c r="Q53" s="15" t="s">
        <v>90</v>
      </c>
      <c r="R53" s="15">
        <v>80</v>
      </c>
      <c r="S53" s="15">
        <v>40</v>
      </c>
    </row>
    <row r="54" spans="2:19" x14ac:dyDescent="0.35">
      <c r="B54" s="15" t="s">
        <v>196</v>
      </c>
      <c r="C54" s="15" t="s">
        <v>196</v>
      </c>
      <c r="D54" s="15" t="s">
        <v>197</v>
      </c>
      <c r="E54" s="15" t="s">
        <v>35</v>
      </c>
      <c r="F54" s="15" t="s">
        <v>46</v>
      </c>
      <c r="G54" s="15" t="s">
        <v>35</v>
      </c>
      <c r="H54" s="15" t="s">
        <v>27</v>
      </c>
      <c r="I54" s="15" t="s">
        <v>100</v>
      </c>
      <c r="J54" s="15">
        <v>4</v>
      </c>
      <c r="K54" s="15">
        <v>8</v>
      </c>
      <c r="L54" s="15">
        <v>1</v>
      </c>
      <c r="M54" s="15"/>
      <c r="N54" s="15"/>
      <c r="O54" s="15"/>
      <c r="P54" s="15"/>
      <c r="Q54" s="15" t="s">
        <v>90</v>
      </c>
      <c r="R54" s="15">
        <v>80</v>
      </c>
      <c r="S54" s="15">
        <v>40</v>
      </c>
    </row>
    <row r="55" spans="2:19" x14ac:dyDescent="0.35">
      <c r="B55" s="15" t="s">
        <v>198</v>
      </c>
      <c r="C55" s="15" t="s">
        <v>198</v>
      </c>
      <c r="D55" s="15" t="s">
        <v>199</v>
      </c>
      <c r="E55" s="15" t="s">
        <v>35</v>
      </c>
      <c r="F55" s="15" t="s">
        <v>46</v>
      </c>
      <c r="G55" s="15" t="s">
        <v>35</v>
      </c>
      <c r="H55" s="15" t="s">
        <v>84</v>
      </c>
      <c r="I55" s="15" t="s">
        <v>100</v>
      </c>
      <c r="J55" s="15">
        <v>2</v>
      </c>
      <c r="K55" s="15">
        <v>8</v>
      </c>
      <c r="L55" s="15">
        <v>1</v>
      </c>
      <c r="M55" s="15"/>
      <c r="N55" s="15"/>
      <c r="O55" s="15"/>
      <c r="P55" s="15"/>
      <c r="Q55" s="15" t="s">
        <v>90</v>
      </c>
      <c r="R55" s="15">
        <v>80</v>
      </c>
      <c r="S55" s="15">
        <v>40</v>
      </c>
    </row>
    <row r="56" spans="2:19" x14ac:dyDescent="0.35">
      <c r="B56" s="15" t="s">
        <v>200</v>
      </c>
      <c r="C56" s="15" t="s">
        <v>200</v>
      </c>
      <c r="D56" s="15" t="s">
        <v>201</v>
      </c>
      <c r="E56" s="15" t="s">
        <v>35</v>
      </c>
      <c r="F56" s="15" t="s">
        <v>46</v>
      </c>
      <c r="G56" s="15" t="s">
        <v>35</v>
      </c>
      <c r="H56" s="15" t="s">
        <v>90</v>
      </c>
      <c r="I56" s="15" t="s">
        <v>100</v>
      </c>
      <c r="J56" s="15">
        <v>2</v>
      </c>
      <c r="K56" s="15">
        <v>8</v>
      </c>
      <c r="L56" s="15">
        <v>1</v>
      </c>
      <c r="M56" s="15"/>
      <c r="N56" s="15"/>
      <c r="O56" s="15"/>
      <c r="P56" s="15"/>
      <c r="Q56" s="15" t="s">
        <v>90</v>
      </c>
      <c r="R56" s="15">
        <v>80</v>
      </c>
      <c r="S56" s="15">
        <v>40</v>
      </c>
    </row>
    <row r="57" spans="2:19" x14ac:dyDescent="0.35">
      <c r="B57" s="15" t="s">
        <v>202</v>
      </c>
      <c r="C57" s="15" t="s">
        <v>202</v>
      </c>
      <c r="D57" s="15" t="s">
        <v>203</v>
      </c>
      <c r="E57" s="15" t="s">
        <v>35</v>
      </c>
      <c r="F57" s="15" t="s">
        <v>46</v>
      </c>
      <c r="G57" s="15" t="s">
        <v>35</v>
      </c>
      <c r="H57" s="15" t="s">
        <v>29</v>
      </c>
      <c r="I57" s="15" t="s">
        <v>100</v>
      </c>
      <c r="J57" s="15">
        <v>5</v>
      </c>
      <c r="K57" s="15">
        <v>8</v>
      </c>
      <c r="L57" s="15">
        <v>1</v>
      </c>
      <c r="M57" s="15"/>
      <c r="N57" s="15"/>
      <c r="O57" s="15"/>
      <c r="P57" s="15"/>
      <c r="Q57" s="15" t="s">
        <v>90</v>
      </c>
      <c r="R57" s="15">
        <v>80</v>
      </c>
      <c r="S57" s="15">
        <v>40</v>
      </c>
    </row>
    <row r="58" spans="2:19" x14ac:dyDescent="0.35">
      <c r="B58" s="15" t="s">
        <v>204</v>
      </c>
      <c r="C58" s="15" t="s">
        <v>204</v>
      </c>
      <c r="D58" s="15" t="s">
        <v>205</v>
      </c>
      <c r="E58" s="15" t="s">
        <v>35</v>
      </c>
      <c r="F58" s="15" t="s">
        <v>47</v>
      </c>
      <c r="G58" s="15" t="s">
        <v>35</v>
      </c>
      <c r="H58" s="15" t="s">
        <v>27</v>
      </c>
      <c r="I58" s="15" t="s">
        <v>100</v>
      </c>
      <c r="J58" s="15">
        <v>7</v>
      </c>
      <c r="K58" s="15">
        <v>8</v>
      </c>
      <c r="L58" s="15">
        <v>1</v>
      </c>
      <c r="M58" s="15"/>
      <c r="N58" s="15"/>
      <c r="O58" s="15"/>
      <c r="P58" s="15"/>
      <c r="Q58" s="15" t="s">
        <v>90</v>
      </c>
      <c r="R58" s="15">
        <v>80</v>
      </c>
      <c r="S58" s="15">
        <v>40</v>
      </c>
    </row>
    <row r="59" spans="2:19" x14ac:dyDescent="0.35">
      <c r="B59" s="15" t="s">
        <v>206</v>
      </c>
      <c r="C59" s="15" t="s">
        <v>206</v>
      </c>
      <c r="D59" s="15" t="s">
        <v>207</v>
      </c>
      <c r="E59" s="15" t="s">
        <v>35</v>
      </c>
      <c r="F59" s="15" t="s">
        <v>47</v>
      </c>
      <c r="G59" s="15" t="s">
        <v>35</v>
      </c>
      <c r="H59" s="15" t="s">
        <v>84</v>
      </c>
      <c r="I59" s="15" t="s">
        <v>100</v>
      </c>
      <c r="J59" s="15">
        <v>4</v>
      </c>
      <c r="K59" s="15">
        <v>8</v>
      </c>
      <c r="L59" s="15">
        <v>1</v>
      </c>
      <c r="M59" s="15"/>
      <c r="N59" s="15"/>
      <c r="O59" s="15"/>
      <c r="P59" s="15"/>
      <c r="Q59" s="15" t="s">
        <v>90</v>
      </c>
      <c r="R59" s="15">
        <v>80</v>
      </c>
      <c r="S59" s="15">
        <v>40</v>
      </c>
    </row>
    <row r="60" spans="2:19" x14ac:dyDescent="0.35">
      <c r="B60" s="15" t="s">
        <v>208</v>
      </c>
      <c r="C60" s="15" t="s">
        <v>208</v>
      </c>
      <c r="D60" s="15" t="s">
        <v>209</v>
      </c>
      <c r="E60" s="15" t="s">
        <v>35</v>
      </c>
      <c r="F60" s="15" t="s">
        <v>47</v>
      </c>
      <c r="G60" s="15" t="s">
        <v>35</v>
      </c>
      <c r="H60" s="15" t="s">
        <v>90</v>
      </c>
      <c r="I60" s="15" t="s">
        <v>100</v>
      </c>
      <c r="J60" s="15">
        <v>4</v>
      </c>
      <c r="K60" s="15">
        <v>8</v>
      </c>
      <c r="L60" s="15">
        <v>1</v>
      </c>
      <c r="M60" s="15"/>
      <c r="N60" s="15"/>
      <c r="O60" s="15"/>
      <c r="P60" s="15"/>
      <c r="Q60" s="15" t="s">
        <v>90</v>
      </c>
      <c r="R60" s="15">
        <v>80</v>
      </c>
      <c r="S60" s="15">
        <v>40</v>
      </c>
    </row>
    <row r="61" spans="2:19" x14ac:dyDescent="0.35">
      <c r="B61" s="15" t="s">
        <v>210</v>
      </c>
      <c r="C61" s="15" t="s">
        <v>210</v>
      </c>
      <c r="D61" s="15" t="s">
        <v>211</v>
      </c>
      <c r="E61" s="15" t="s">
        <v>35</v>
      </c>
      <c r="F61" s="15" t="s">
        <v>47</v>
      </c>
      <c r="G61" s="15" t="s">
        <v>35</v>
      </c>
      <c r="H61" s="15" t="s">
        <v>29</v>
      </c>
      <c r="I61" s="15" t="s">
        <v>100</v>
      </c>
      <c r="J61" s="15">
        <v>8</v>
      </c>
      <c r="K61" s="15">
        <v>8</v>
      </c>
      <c r="L61" s="15">
        <v>1</v>
      </c>
      <c r="M61" s="15"/>
      <c r="N61" s="15"/>
      <c r="O61" s="15"/>
      <c r="P61" s="15"/>
      <c r="Q61" s="15" t="s">
        <v>90</v>
      </c>
      <c r="R61" s="15">
        <v>80</v>
      </c>
      <c r="S61" s="15">
        <v>40</v>
      </c>
    </row>
    <row r="62" spans="2:19" x14ac:dyDescent="0.35">
      <c r="B62" s="15" t="s">
        <v>212</v>
      </c>
      <c r="C62" s="15" t="s">
        <v>212</v>
      </c>
      <c r="D62" s="15" t="s">
        <v>213</v>
      </c>
      <c r="E62" s="15" t="s">
        <v>35</v>
      </c>
      <c r="F62" s="15" t="s">
        <v>50</v>
      </c>
      <c r="G62" s="15" t="s">
        <v>35</v>
      </c>
      <c r="H62" s="15" t="s">
        <v>27</v>
      </c>
      <c r="I62" s="15" t="s">
        <v>100</v>
      </c>
      <c r="J62" s="15">
        <v>8</v>
      </c>
      <c r="K62" s="15">
        <v>8</v>
      </c>
      <c r="L62" s="15">
        <v>1</v>
      </c>
      <c r="M62" s="15"/>
      <c r="N62" s="15"/>
      <c r="O62" s="15"/>
      <c r="P62" s="15"/>
      <c r="Q62" s="15" t="s">
        <v>90</v>
      </c>
      <c r="R62" s="15">
        <v>80</v>
      </c>
      <c r="S62" s="15">
        <v>40</v>
      </c>
    </row>
    <row r="63" spans="2:19" x14ac:dyDescent="0.35">
      <c r="B63" s="15" t="s">
        <v>214</v>
      </c>
      <c r="C63" s="15" t="s">
        <v>214</v>
      </c>
      <c r="D63" s="15" t="s">
        <v>215</v>
      </c>
      <c r="E63" s="15" t="s">
        <v>35</v>
      </c>
      <c r="F63" s="15" t="s">
        <v>50</v>
      </c>
      <c r="G63" s="15" t="s">
        <v>35</v>
      </c>
      <c r="H63" s="15" t="s">
        <v>84</v>
      </c>
      <c r="I63" s="15" t="s">
        <v>100</v>
      </c>
      <c r="J63" s="15">
        <v>5</v>
      </c>
      <c r="K63" s="15">
        <v>8</v>
      </c>
      <c r="L63" s="15">
        <v>1</v>
      </c>
      <c r="M63" s="15"/>
      <c r="N63" s="15"/>
      <c r="O63" s="15"/>
      <c r="P63" s="15"/>
      <c r="Q63" s="15" t="s">
        <v>90</v>
      </c>
      <c r="R63" s="15">
        <v>80</v>
      </c>
      <c r="S63" s="15">
        <v>40</v>
      </c>
    </row>
    <row r="64" spans="2:19" x14ac:dyDescent="0.35">
      <c r="B64" s="15" t="s">
        <v>216</v>
      </c>
      <c r="C64" s="15" t="s">
        <v>216</v>
      </c>
      <c r="D64" s="15" t="s">
        <v>217</v>
      </c>
      <c r="E64" s="15" t="s">
        <v>35</v>
      </c>
      <c r="F64" s="15" t="s">
        <v>50</v>
      </c>
      <c r="G64" s="15" t="s">
        <v>35</v>
      </c>
      <c r="H64" s="15" t="s">
        <v>90</v>
      </c>
      <c r="I64" s="15" t="s">
        <v>100</v>
      </c>
      <c r="J64" s="15">
        <v>5</v>
      </c>
      <c r="K64" s="15">
        <v>8</v>
      </c>
      <c r="L64" s="15">
        <v>1</v>
      </c>
      <c r="M64" s="15"/>
      <c r="N64" s="15"/>
      <c r="O64" s="15"/>
      <c r="P64" s="15"/>
      <c r="Q64" s="15" t="s">
        <v>90</v>
      </c>
      <c r="R64" s="15">
        <v>80</v>
      </c>
      <c r="S64" s="15">
        <v>40</v>
      </c>
    </row>
    <row r="65" spans="2:19" x14ac:dyDescent="0.35">
      <c r="B65" s="15" t="s">
        <v>218</v>
      </c>
      <c r="C65" s="15" t="s">
        <v>218</v>
      </c>
      <c r="D65" s="15" t="s">
        <v>219</v>
      </c>
      <c r="E65" s="15" t="s">
        <v>35</v>
      </c>
      <c r="F65" s="15" t="s">
        <v>50</v>
      </c>
      <c r="G65" s="15" t="s">
        <v>35</v>
      </c>
      <c r="H65" s="15" t="s">
        <v>29</v>
      </c>
      <c r="I65" s="15" t="s">
        <v>100</v>
      </c>
      <c r="J65" s="15">
        <v>8</v>
      </c>
      <c r="K65" s="15">
        <v>8</v>
      </c>
      <c r="L65" s="15">
        <v>1</v>
      </c>
      <c r="M65" s="15"/>
      <c r="N65" s="15"/>
      <c r="O65" s="15"/>
      <c r="P65" s="15"/>
      <c r="Q65" s="15" t="s">
        <v>90</v>
      </c>
      <c r="R65" s="15">
        <v>80</v>
      </c>
      <c r="S65" s="15">
        <v>40</v>
      </c>
    </row>
    <row r="66" spans="2:19" x14ac:dyDescent="0.35">
      <c r="B66" s="15" t="s">
        <v>220</v>
      </c>
      <c r="C66" s="15" t="s">
        <v>220</v>
      </c>
      <c r="D66" s="15" t="s">
        <v>221</v>
      </c>
      <c r="E66" s="15" t="s">
        <v>35</v>
      </c>
      <c r="F66" s="15" t="s">
        <v>51</v>
      </c>
      <c r="G66" s="15" t="s">
        <v>35</v>
      </c>
      <c r="H66" s="15" t="s">
        <v>27</v>
      </c>
      <c r="I66" s="15" t="s">
        <v>100</v>
      </c>
      <c r="J66" s="15">
        <v>8</v>
      </c>
      <c r="K66" s="15">
        <v>8</v>
      </c>
      <c r="L66" s="15">
        <v>1</v>
      </c>
      <c r="M66" s="15"/>
      <c r="N66" s="15"/>
      <c r="O66" s="15"/>
      <c r="P66" s="15"/>
      <c r="Q66" s="15" t="s">
        <v>90</v>
      </c>
      <c r="R66" s="15">
        <v>80</v>
      </c>
      <c r="S66" s="15">
        <v>40</v>
      </c>
    </row>
    <row r="67" spans="2:19" x14ac:dyDescent="0.35">
      <c r="B67" s="15" t="s">
        <v>6</v>
      </c>
      <c r="C67" s="15" t="s">
        <v>6</v>
      </c>
      <c r="D67" s="15" t="s">
        <v>222</v>
      </c>
      <c r="E67" s="15" t="s">
        <v>35</v>
      </c>
      <c r="F67" s="15" t="s">
        <v>51</v>
      </c>
      <c r="G67" s="15" t="s">
        <v>35</v>
      </c>
      <c r="H67" s="15" t="s">
        <v>84</v>
      </c>
      <c r="I67" s="15" t="s">
        <v>100</v>
      </c>
      <c r="J67" s="15">
        <v>6</v>
      </c>
      <c r="K67" s="15">
        <v>8</v>
      </c>
      <c r="L67" s="15">
        <v>1</v>
      </c>
      <c r="M67" s="15"/>
      <c r="N67" s="15"/>
      <c r="O67" s="15"/>
      <c r="P67" s="15"/>
      <c r="Q67" s="15" t="s">
        <v>90</v>
      </c>
      <c r="R67" s="15">
        <v>80</v>
      </c>
      <c r="S67" s="15">
        <v>40</v>
      </c>
    </row>
    <row r="68" spans="2:19" x14ac:dyDescent="0.35">
      <c r="B68" s="15" t="s">
        <v>223</v>
      </c>
      <c r="C68" s="15" t="s">
        <v>223</v>
      </c>
      <c r="D68" s="15" t="s">
        <v>224</v>
      </c>
      <c r="E68" s="15" t="s">
        <v>35</v>
      </c>
      <c r="F68" s="15" t="s">
        <v>51</v>
      </c>
      <c r="G68" s="15" t="s">
        <v>35</v>
      </c>
      <c r="H68" s="15" t="s">
        <v>90</v>
      </c>
      <c r="I68" s="15" t="s">
        <v>100</v>
      </c>
      <c r="J68" s="15">
        <v>6</v>
      </c>
      <c r="K68" s="15">
        <v>8</v>
      </c>
      <c r="L68" s="15">
        <v>1</v>
      </c>
      <c r="M68" s="15"/>
      <c r="N68" s="15"/>
      <c r="O68" s="15"/>
      <c r="P68" s="15"/>
      <c r="Q68" s="15" t="s">
        <v>90</v>
      </c>
      <c r="R68" s="15">
        <v>80</v>
      </c>
      <c r="S68" s="15">
        <v>40</v>
      </c>
    </row>
    <row r="69" spans="2:19" x14ac:dyDescent="0.35">
      <c r="B69" s="15" t="s">
        <v>225</v>
      </c>
      <c r="C69" s="15" t="s">
        <v>225</v>
      </c>
      <c r="D69" s="15" t="s">
        <v>226</v>
      </c>
      <c r="E69" s="15" t="s">
        <v>35</v>
      </c>
      <c r="F69" s="15" t="s">
        <v>51</v>
      </c>
      <c r="G69" s="15" t="s">
        <v>35</v>
      </c>
      <c r="H69" s="15" t="s">
        <v>29</v>
      </c>
      <c r="I69" s="15" t="s">
        <v>100</v>
      </c>
      <c r="J69" s="15">
        <v>9</v>
      </c>
      <c r="K69" s="15">
        <v>8</v>
      </c>
      <c r="L69" s="15">
        <v>1</v>
      </c>
      <c r="M69" s="15"/>
      <c r="N69" s="15"/>
      <c r="O69" s="15"/>
      <c r="P69" s="15"/>
      <c r="Q69" s="15" t="s">
        <v>90</v>
      </c>
      <c r="R69" s="15">
        <v>80</v>
      </c>
      <c r="S69" s="15">
        <v>40</v>
      </c>
    </row>
    <row r="70" spans="2:19" x14ac:dyDescent="0.35">
      <c r="B70" s="15" t="s">
        <v>227</v>
      </c>
      <c r="C70" s="15" t="s">
        <v>227</v>
      </c>
      <c r="D70" s="15" t="s">
        <v>228</v>
      </c>
      <c r="E70" s="15" t="s">
        <v>35</v>
      </c>
      <c r="F70" s="15" t="s">
        <v>64</v>
      </c>
      <c r="G70" s="15" t="s">
        <v>35</v>
      </c>
      <c r="H70" s="15" t="s">
        <v>27</v>
      </c>
      <c r="I70" s="15" t="s">
        <v>100</v>
      </c>
      <c r="J70" s="15">
        <v>5</v>
      </c>
      <c r="K70" s="15">
        <v>8</v>
      </c>
      <c r="L70" s="15">
        <v>1</v>
      </c>
      <c r="M70" s="15"/>
      <c r="N70" s="15"/>
      <c r="O70" s="15"/>
      <c r="P70" s="15"/>
      <c r="Q70" s="15" t="s">
        <v>90</v>
      </c>
      <c r="R70" s="15">
        <v>80</v>
      </c>
      <c r="S70" s="15">
        <v>40</v>
      </c>
    </row>
    <row r="71" spans="2:19" x14ac:dyDescent="0.35">
      <c r="B71" s="15" t="s">
        <v>229</v>
      </c>
      <c r="C71" s="15" t="s">
        <v>229</v>
      </c>
      <c r="D71" s="15" t="s">
        <v>230</v>
      </c>
      <c r="E71" s="15" t="s">
        <v>35</v>
      </c>
      <c r="F71" s="15" t="s">
        <v>64</v>
      </c>
      <c r="G71" s="15" t="s">
        <v>35</v>
      </c>
      <c r="H71" s="15" t="s">
        <v>86</v>
      </c>
      <c r="I71" s="15" t="s">
        <v>100</v>
      </c>
      <c r="J71" s="15">
        <v>5</v>
      </c>
      <c r="K71" s="15">
        <v>8</v>
      </c>
      <c r="L71" s="15">
        <v>1</v>
      </c>
      <c r="M71" s="15"/>
      <c r="N71" s="15"/>
      <c r="O71" s="15"/>
      <c r="P71" s="15"/>
      <c r="Q71" s="15" t="s">
        <v>90</v>
      </c>
      <c r="R71" s="15">
        <v>80</v>
      </c>
      <c r="S71" s="15">
        <v>40</v>
      </c>
    </row>
    <row r="72" spans="2:19" x14ac:dyDescent="0.35">
      <c r="B72" s="15" t="s">
        <v>231</v>
      </c>
      <c r="C72" s="15" t="s">
        <v>231</v>
      </c>
      <c r="D72" s="15" t="s">
        <v>232</v>
      </c>
      <c r="E72" s="15" t="s">
        <v>35</v>
      </c>
      <c r="F72" s="15" t="s">
        <v>64</v>
      </c>
      <c r="G72" s="15" t="s">
        <v>35</v>
      </c>
      <c r="H72" s="15" t="s">
        <v>60</v>
      </c>
      <c r="I72" s="15" t="s">
        <v>100</v>
      </c>
      <c r="J72" s="15">
        <v>5</v>
      </c>
      <c r="K72" s="15">
        <v>8</v>
      </c>
      <c r="L72" s="15">
        <v>1</v>
      </c>
      <c r="M72" s="15"/>
      <c r="N72" s="15"/>
      <c r="O72" s="15"/>
      <c r="P72" s="15"/>
      <c r="Q72" s="15" t="s">
        <v>90</v>
      </c>
      <c r="R72" s="15">
        <v>80</v>
      </c>
      <c r="S72" s="15">
        <v>40</v>
      </c>
    </row>
    <row r="73" spans="2:19" x14ac:dyDescent="0.35">
      <c r="B73" s="15" t="s">
        <v>233</v>
      </c>
      <c r="C73" s="15" t="s">
        <v>233</v>
      </c>
      <c r="D73" s="15" t="s">
        <v>234</v>
      </c>
      <c r="E73" s="15" t="s">
        <v>35</v>
      </c>
      <c r="F73" s="15" t="s">
        <v>52</v>
      </c>
      <c r="G73" s="15" t="s">
        <v>35</v>
      </c>
      <c r="H73" s="15" t="s">
        <v>27</v>
      </c>
      <c r="I73" s="15" t="s">
        <v>100</v>
      </c>
      <c r="J73" s="15">
        <v>8</v>
      </c>
      <c r="K73" s="15">
        <v>8</v>
      </c>
      <c r="L73" s="15">
        <v>1</v>
      </c>
      <c r="M73" s="15"/>
      <c r="N73" s="15"/>
      <c r="O73" s="15"/>
      <c r="P73" s="15"/>
      <c r="Q73" s="15" t="s">
        <v>90</v>
      </c>
      <c r="R73" s="15">
        <v>80</v>
      </c>
      <c r="S73" s="15">
        <v>40</v>
      </c>
    </row>
    <row r="74" spans="2:19" x14ac:dyDescent="0.35">
      <c r="B74" s="15" t="s">
        <v>235</v>
      </c>
      <c r="C74" s="15" t="s">
        <v>235</v>
      </c>
      <c r="D74" s="15" t="s">
        <v>236</v>
      </c>
      <c r="E74" s="15" t="s">
        <v>35</v>
      </c>
      <c r="F74" s="15" t="s">
        <v>52</v>
      </c>
      <c r="G74" s="15" t="s">
        <v>35</v>
      </c>
      <c r="H74" s="15" t="s">
        <v>84</v>
      </c>
      <c r="I74" s="15" t="s">
        <v>100</v>
      </c>
      <c r="J74" s="15">
        <v>6</v>
      </c>
      <c r="K74" s="15">
        <v>8</v>
      </c>
      <c r="L74" s="15">
        <v>1</v>
      </c>
      <c r="M74" s="15"/>
      <c r="N74" s="15"/>
      <c r="O74" s="15"/>
      <c r="P74" s="15"/>
      <c r="Q74" s="15" t="s">
        <v>90</v>
      </c>
      <c r="R74" s="15">
        <v>80</v>
      </c>
      <c r="S74" s="15">
        <v>40</v>
      </c>
    </row>
    <row r="75" spans="2:19" x14ac:dyDescent="0.35">
      <c r="B75" s="15" t="s">
        <v>237</v>
      </c>
      <c r="C75" s="15" t="s">
        <v>237</v>
      </c>
      <c r="D75" s="15" t="s">
        <v>238</v>
      </c>
      <c r="E75" s="15" t="s">
        <v>35</v>
      </c>
      <c r="F75" s="15" t="s">
        <v>52</v>
      </c>
      <c r="G75" s="15" t="s">
        <v>35</v>
      </c>
      <c r="H75" s="15" t="s">
        <v>90</v>
      </c>
      <c r="I75" s="15" t="s">
        <v>100</v>
      </c>
      <c r="J75" s="15">
        <v>6</v>
      </c>
      <c r="K75" s="15">
        <v>8</v>
      </c>
      <c r="L75" s="15">
        <v>1</v>
      </c>
      <c r="M75" s="15"/>
      <c r="N75" s="15"/>
      <c r="O75" s="15"/>
      <c r="P75" s="15"/>
      <c r="Q75" s="15" t="s">
        <v>90</v>
      </c>
      <c r="R75" s="15">
        <v>80</v>
      </c>
      <c r="S75" s="15">
        <v>40</v>
      </c>
    </row>
    <row r="76" spans="2:19" x14ac:dyDescent="0.35">
      <c r="B76" s="15" t="s">
        <v>239</v>
      </c>
      <c r="C76" s="15" t="s">
        <v>239</v>
      </c>
      <c r="D76" s="15" t="s">
        <v>240</v>
      </c>
      <c r="E76" s="15" t="s">
        <v>35</v>
      </c>
      <c r="F76" s="15" t="s">
        <v>52</v>
      </c>
      <c r="G76" s="15" t="s">
        <v>35</v>
      </c>
      <c r="H76" s="15" t="s">
        <v>29</v>
      </c>
      <c r="I76" s="15" t="s">
        <v>100</v>
      </c>
      <c r="J76" s="15">
        <v>9</v>
      </c>
      <c r="K76" s="15">
        <v>8</v>
      </c>
      <c r="L76" s="15">
        <v>1</v>
      </c>
      <c r="M76" s="15"/>
      <c r="N76" s="15"/>
      <c r="O76" s="15"/>
      <c r="P76" s="15"/>
      <c r="Q76" s="15" t="s">
        <v>90</v>
      </c>
      <c r="R76" s="15">
        <v>80</v>
      </c>
      <c r="S76" s="15">
        <v>40</v>
      </c>
    </row>
    <row r="77" spans="2:19" x14ac:dyDescent="0.35">
      <c r="B77" s="15" t="s">
        <v>241</v>
      </c>
      <c r="C77" s="15" t="s">
        <v>241</v>
      </c>
      <c r="D77" s="15" t="s">
        <v>242</v>
      </c>
      <c r="E77" s="15" t="s">
        <v>35</v>
      </c>
      <c r="F77" s="15" t="s">
        <v>53</v>
      </c>
      <c r="G77" s="15" t="s">
        <v>35</v>
      </c>
      <c r="H77" s="15" t="s">
        <v>27</v>
      </c>
      <c r="I77" s="15" t="s">
        <v>100</v>
      </c>
      <c r="J77" s="15">
        <v>8</v>
      </c>
      <c r="K77" s="15">
        <v>8</v>
      </c>
      <c r="L77" s="15">
        <v>1</v>
      </c>
      <c r="M77" s="15"/>
      <c r="N77" s="15"/>
      <c r="O77" s="15"/>
      <c r="P77" s="15"/>
      <c r="Q77" s="15" t="s">
        <v>90</v>
      </c>
      <c r="R77" s="15">
        <v>80</v>
      </c>
      <c r="S77" s="15">
        <v>40</v>
      </c>
    </row>
    <row r="78" spans="2:19" x14ac:dyDescent="0.35">
      <c r="B78" s="15" t="s">
        <v>243</v>
      </c>
      <c r="C78" s="15" t="s">
        <v>243</v>
      </c>
      <c r="D78" s="15" t="s">
        <v>244</v>
      </c>
      <c r="E78" s="15" t="s">
        <v>35</v>
      </c>
      <c r="F78" s="15" t="s">
        <v>53</v>
      </c>
      <c r="G78" s="15" t="s">
        <v>35</v>
      </c>
      <c r="H78" s="15" t="s">
        <v>84</v>
      </c>
      <c r="I78" s="15" t="s">
        <v>100</v>
      </c>
      <c r="J78" s="15">
        <v>6</v>
      </c>
      <c r="K78" s="15">
        <v>8</v>
      </c>
      <c r="L78" s="15">
        <v>1</v>
      </c>
      <c r="M78" s="15"/>
      <c r="N78" s="15"/>
      <c r="O78" s="15"/>
      <c r="P78" s="15"/>
      <c r="Q78" s="15" t="s">
        <v>90</v>
      </c>
      <c r="R78" s="15">
        <v>80</v>
      </c>
      <c r="S78" s="15">
        <v>40</v>
      </c>
    </row>
    <row r="79" spans="2:19" x14ac:dyDescent="0.35">
      <c r="B79" s="15" t="s">
        <v>245</v>
      </c>
      <c r="C79" s="15" t="s">
        <v>245</v>
      </c>
      <c r="D79" s="15" t="s">
        <v>246</v>
      </c>
      <c r="E79" s="15" t="s">
        <v>35</v>
      </c>
      <c r="F79" s="15" t="s">
        <v>53</v>
      </c>
      <c r="G79" s="15" t="s">
        <v>35</v>
      </c>
      <c r="H79" s="15" t="s">
        <v>90</v>
      </c>
      <c r="I79" s="15" t="s">
        <v>100</v>
      </c>
      <c r="J79" s="15">
        <v>6</v>
      </c>
      <c r="K79" s="15">
        <v>8</v>
      </c>
      <c r="L79" s="15">
        <v>1</v>
      </c>
      <c r="M79" s="15"/>
      <c r="N79" s="15"/>
      <c r="O79" s="15"/>
      <c r="P79" s="15"/>
      <c r="Q79" s="15" t="s">
        <v>90</v>
      </c>
      <c r="R79" s="15">
        <v>80</v>
      </c>
      <c r="S79" s="15">
        <v>40</v>
      </c>
    </row>
    <row r="80" spans="2:19" x14ac:dyDescent="0.35">
      <c r="B80" s="15" t="s">
        <v>247</v>
      </c>
      <c r="C80" s="15" t="s">
        <v>247</v>
      </c>
      <c r="D80" s="15" t="s">
        <v>248</v>
      </c>
      <c r="E80" s="15" t="s">
        <v>35</v>
      </c>
      <c r="F80" s="15" t="s">
        <v>53</v>
      </c>
      <c r="G80" s="15" t="s">
        <v>35</v>
      </c>
      <c r="H80" s="15" t="s">
        <v>29</v>
      </c>
      <c r="I80" s="15" t="s">
        <v>100</v>
      </c>
      <c r="J80" s="15">
        <v>9</v>
      </c>
      <c r="K80" s="15">
        <v>8</v>
      </c>
      <c r="L80" s="15">
        <v>1</v>
      </c>
      <c r="M80" s="15"/>
      <c r="N80" s="15"/>
      <c r="O80" s="15"/>
      <c r="P80" s="15"/>
      <c r="Q80" s="15" t="s">
        <v>90</v>
      </c>
      <c r="R80" s="15">
        <v>80</v>
      </c>
      <c r="S80" s="15">
        <v>40</v>
      </c>
    </row>
    <row r="81" spans="2:19" x14ac:dyDescent="0.35">
      <c r="B81" s="15" t="s">
        <v>249</v>
      </c>
      <c r="C81" s="15" t="s">
        <v>249</v>
      </c>
      <c r="D81" s="15" t="s">
        <v>250</v>
      </c>
      <c r="E81" s="15" t="s">
        <v>35</v>
      </c>
      <c r="F81" s="15" t="s">
        <v>54</v>
      </c>
      <c r="G81" s="15" t="s">
        <v>35</v>
      </c>
      <c r="H81" s="15" t="s">
        <v>27</v>
      </c>
      <c r="I81" s="15" t="s">
        <v>100</v>
      </c>
      <c r="J81" s="15">
        <v>7</v>
      </c>
      <c r="K81" s="15">
        <v>8</v>
      </c>
      <c r="L81" s="15">
        <v>1</v>
      </c>
      <c r="M81" s="15"/>
      <c r="N81" s="15"/>
      <c r="O81" s="15"/>
      <c r="P81" s="15"/>
      <c r="Q81" s="15" t="s">
        <v>90</v>
      </c>
      <c r="R81" s="15">
        <v>80</v>
      </c>
      <c r="S81" s="15">
        <v>40</v>
      </c>
    </row>
    <row r="82" spans="2:19" x14ac:dyDescent="0.35">
      <c r="B82" s="15" t="s">
        <v>251</v>
      </c>
      <c r="C82" s="15" t="s">
        <v>251</v>
      </c>
      <c r="D82" s="15" t="s">
        <v>252</v>
      </c>
      <c r="E82" s="15" t="s">
        <v>35</v>
      </c>
      <c r="F82" s="15" t="s">
        <v>54</v>
      </c>
      <c r="G82" s="15" t="s">
        <v>35</v>
      </c>
      <c r="H82" s="15" t="s">
        <v>84</v>
      </c>
      <c r="I82" s="15" t="s">
        <v>100</v>
      </c>
      <c r="J82" s="15">
        <v>5</v>
      </c>
      <c r="K82" s="15">
        <v>8</v>
      </c>
      <c r="L82" s="15">
        <v>1</v>
      </c>
      <c r="M82" s="15"/>
      <c r="N82" s="15"/>
      <c r="O82" s="15"/>
      <c r="P82" s="15"/>
      <c r="Q82" s="15" t="s">
        <v>90</v>
      </c>
      <c r="R82" s="15">
        <v>80</v>
      </c>
      <c r="S82" s="15">
        <v>40</v>
      </c>
    </row>
    <row r="83" spans="2:19" x14ac:dyDescent="0.35">
      <c r="B83" s="15" t="s">
        <v>253</v>
      </c>
      <c r="C83" s="15" t="s">
        <v>253</v>
      </c>
      <c r="D83" s="15" t="s">
        <v>254</v>
      </c>
      <c r="E83" s="15" t="s">
        <v>35</v>
      </c>
      <c r="F83" s="15" t="s">
        <v>54</v>
      </c>
      <c r="G83" s="15" t="s">
        <v>35</v>
      </c>
      <c r="H83" s="15" t="s">
        <v>90</v>
      </c>
      <c r="I83" s="15" t="s">
        <v>100</v>
      </c>
      <c r="J83" s="15">
        <v>5</v>
      </c>
      <c r="K83" s="15">
        <v>8</v>
      </c>
      <c r="L83" s="15">
        <v>1</v>
      </c>
      <c r="M83" s="15"/>
      <c r="N83" s="15"/>
      <c r="O83" s="15"/>
      <c r="P83" s="15"/>
      <c r="Q83" s="15" t="s">
        <v>90</v>
      </c>
      <c r="R83" s="15">
        <v>80</v>
      </c>
      <c r="S83" s="15">
        <v>40</v>
      </c>
    </row>
    <row r="84" spans="2:19" x14ac:dyDescent="0.35">
      <c r="B84" s="15" t="s">
        <v>255</v>
      </c>
      <c r="C84" s="15" t="s">
        <v>255</v>
      </c>
      <c r="D84" s="15" t="s">
        <v>256</v>
      </c>
      <c r="E84" s="15" t="s">
        <v>35</v>
      </c>
      <c r="F84" s="15" t="s">
        <v>54</v>
      </c>
      <c r="G84" s="15" t="s">
        <v>35</v>
      </c>
      <c r="H84" s="15" t="s">
        <v>29</v>
      </c>
      <c r="I84" s="15" t="s">
        <v>100</v>
      </c>
      <c r="J84" s="15">
        <v>8</v>
      </c>
      <c r="K84" s="15">
        <v>8</v>
      </c>
      <c r="L84" s="15">
        <v>1</v>
      </c>
      <c r="M84" s="15"/>
      <c r="N84" s="15"/>
      <c r="O84" s="15"/>
      <c r="P84" s="15"/>
      <c r="Q84" s="15" t="s">
        <v>90</v>
      </c>
      <c r="R84" s="15">
        <v>80</v>
      </c>
      <c r="S84" s="15">
        <v>40</v>
      </c>
    </row>
    <row r="85" spans="2:19" x14ac:dyDescent="0.35">
      <c r="B85" s="15" t="s">
        <v>257</v>
      </c>
      <c r="C85" s="15" t="s">
        <v>257</v>
      </c>
      <c r="D85" s="15" t="s">
        <v>258</v>
      </c>
      <c r="E85" s="15" t="s">
        <v>35</v>
      </c>
      <c r="F85" s="15" t="s">
        <v>55</v>
      </c>
      <c r="G85" s="15" t="s">
        <v>35</v>
      </c>
      <c r="H85" s="15" t="s">
        <v>27</v>
      </c>
      <c r="I85" s="15" t="s">
        <v>100</v>
      </c>
      <c r="J85" s="15">
        <v>6</v>
      </c>
      <c r="K85" s="15">
        <v>8</v>
      </c>
      <c r="L85" s="15">
        <v>1</v>
      </c>
      <c r="M85" s="15"/>
      <c r="N85" s="15"/>
      <c r="O85" s="15"/>
      <c r="P85" s="15"/>
      <c r="Q85" s="15" t="s">
        <v>90</v>
      </c>
      <c r="R85" s="15">
        <v>80</v>
      </c>
      <c r="S85" s="15">
        <v>40</v>
      </c>
    </row>
    <row r="86" spans="2:19" x14ac:dyDescent="0.35">
      <c r="B86" s="15" t="s">
        <v>4</v>
      </c>
      <c r="C86" s="15" t="s">
        <v>4</v>
      </c>
      <c r="D86" s="15" t="s">
        <v>259</v>
      </c>
      <c r="E86" s="15" t="s">
        <v>35</v>
      </c>
      <c r="F86" s="15" t="s">
        <v>55</v>
      </c>
      <c r="G86" s="15" t="s">
        <v>35</v>
      </c>
      <c r="H86" s="15" t="s">
        <v>84</v>
      </c>
      <c r="I86" s="15" t="s">
        <v>100</v>
      </c>
      <c r="J86" s="15">
        <v>2</v>
      </c>
      <c r="K86" s="15">
        <v>8</v>
      </c>
      <c r="L86" s="15">
        <v>1</v>
      </c>
      <c r="M86" s="15"/>
      <c r="N86" s="15"/>
      <c r="O86" s="15"/>
      <c r="P86" s="15"/>
      <c r="Q86" s="15" t="s">
        <v>90</v>
      </c>
      <c r="R86" s="15">
        <v>80</v>
      </c>
      <c r="S86" s="15">
        <v>40</v>
      </c>
    </row>
    <row r="87" spans="2:19" x14ac:dyDescent="0.35">
      <c r="B87" s="15" t="s">
        <v>260</v>
      </c>
      <c r="C87" s="15" t="s">
        <v>260</v>
      </c>
      <c r="D87" s="15" t="s">
        <v>261</v>
      </c>
      <c r="E87" s="15" t="s">
        <v>35</v>
      </c>
      <c r="F87" s="15" t="s">
        <v>55</v>
      </c>
      <c r="G87" s="15" t="s">
        <v>35</v>
      </c>
      <c r="H87" s="15" t="s">
        <v>90</v>
      </c>
      <c r="I87" s="15" t="s">
        <v>100</v>
      </c>
      <c r="J87" s="15">
        <v>2</v>
      </c>
      <c r="K87" s="15">
        <v>8</v>
      </c>
      <c r="L87" s="15">
        <v>1</v>
      </c>
      <c r="M87" s="15"/>
      <c r="N87" s="15"/>
      <c r="O87" s="15"/>
      <c r="P87" s="15"/>
      <c r="Q87" s="15" t="s">
        <v>90</v>
      </c>
      <c r="R87" s="15">
        <v>80</v>
      </c>
      <c r="S87" s="15">
        <v>40</v>
      </c>
    </row>
    <row r="88" spans="2:19" x14ac:dyDescent="0.35">
      <c r="B88" s="15" t="s">
        <v>262</v>
      </c>
      <c r="C88" s="15" t="s">
        <v>262</v>
      </c>
      <c r="D88" s="15" t="s">
        <v>263</v>
      </c>
      <c r="E88" s="15" t="s">
        <v>35</v>
      </c>
      <c r="F88" s="15" t="s">
        <v>55</v>
      </c>
      <c r="G88" s="15" t="s">
        <v>35</v>
      </c>
      <c r="H88" s="15" t="s">
        <v>29</v>
      </c>
      <c r="I88" s="15" t="s">
        <v>100</v>
      </c>
      <c r="J88" s="15">
        <v>6</v>
      </c>
      <c r="K88" s="15">
        <v>8</v>
      </c>
      <c r="L88" s="15">
        <v>1</v>
      </c>
      <c r="M88" s="15"/>
      <c r="N88" s="15"/>
      <c r="O88" s="15"/>
      <c r="P88" s="15"/>
      <c r="Q88" s="15" t="s">
        <v>90</v>
      </c>
      <c r="R88" s="15">
        <v>80</v>
      </c>
      <c r="S88" s="15">
        <v>40</v>
      </c>
    </row>
    <row r="89" spans="2:19" x14ac:dyDescent="0.35">
      <c r="B89" s="15" t="s">
        <v>264</v>
      </c>
      <c r="C89" s="15" t="s">
        <v>264</v>
      </c>
      <c r="D89" s="15" t="s">
        <v>265</v>
      </c>
      <c r="E89" s="15" t="s">
        <v>35</v>
      </c>
      <c r="F89" s="15" t="s">
        <v>56</v>
      </c>
      <c r="G89" s="15" t="s">
        <v>35</v>
      </c>
      <c r="H89" s="15" t="s">
        <v>27</v>
      </c>
      <c r="I89" s="15" t="s">
        <v>100</v>
      </c>
      <c r="J89" s="15">
        <v>7</v>
      </c>
      <c r="K89" s="15">
        <v>8</v>
      </c>
      <c r="L89" s="15">
        <v>1</v>
      </c>
      <c r="M89" s="15"/>
      <c r="N89" s="15"/>
      <c r="O89" s="15"/>
      <c r="P89" s="15"/>
      <c r="Q89" s="15" t="s">
        <v>90</v>
      </c>
      <c r="R89" s="15">
        <v>80</v>
      </c>
      <c r="S89" s="15">
        <v>40</v>
      </c>
    </row>
    <row r="90" spans="2:19" x14ac:dyDescent="0.35">
      <c r="B90" s="15" t="s">
        <v>266</v>
      </c>
      <c r="C90" s="15" t="s">
        <v>266</v>
      </c>
      <c r="D90" s="15" t="s">
        <v>267</v>
      </c>
      <c r="E90" s="15" t="s">
        <v>35</v>
      </c>
      <c r="F90" s="15" t="s">
        <v>56</v>
      </c>
      <c r="G90" s="15" t="s">
        <v>35</v>
      </c>
      <c r="H90" s="15" t="s">
        <v>84</v>
      </c>
      <c r="I90" s="15" t="s">
        <v>100</v>
      </c>
      <c r="J90" s="15">
        <v>5</v>
      </c>
      <c r="K90" s="15">
        <v>8</v>
      </c>
      <c r="L90" s="15">
        <v>1</v>
      </c>
      <c r="M90" s="15"/>
      <c r="N90" s="15"/>
      <c r="O90" s="15"/>
      <c r="P90" s="15"/>
      <c r="Q90" s="15" t="s">
        <v>90</v>
      </c>
      <c r="R90" s="15">
        <v>80</v>
      </c>
      <c r="S90" s="15">
        <v>40</v>
      </c>
    </row>
    <row r="91" spans="2:19" x14ac:dyDescent="0.35">
      <c r="B91" s="15" t="s">
        <v>268</v>
      </c>
      <c r="C91" s="15" t="s">
        <v>268</v>
      </c>
      <c r="D91" s="15" t="s">
        <v>269</v>
      </c>
      <c r="E91" s="15" t="s">
        <v>35</v>
      </c>
      <c r="F91" s="15" t="s">
        <v>56</v>
      </c>
      <c r="G91" s="15" t="s">
        <v>35</v>
      </c>
      <c r="H91" s="15" t="s">
        <v>90</v>
      </c>
      <c r="I91" s="15" t="s">
        <v>100</v>
      </c>
      <c r="J91" s="15">
        <v>5</v>
      </c>
      <c r="K91" s="15">
        <v>8</v>
      </c>
      <c r="L91" s="15">
        <v>1</v>
      </c>
      <c r="M91" s="15"/>
      <c r="N91" s="15"/>
      <c r="O91" s="15"/>
      <c r="P91" s="15"/>
      <c r="Q91" s="15" t="s">
        <v>90</v>
      </c>
      <c r="R91" s="15">
        <v>80</v>
      </c>
      <c r="S91" s="15">
        <v>40</v>
      </c>
    </row>
    <row r="92" spans="2:19" x14ac:dyDescent="0.35">
      <c r="B92" s="15" t="s">
        <v>270</v>
      </c>
      <c r="C92" s="15" t="s">
        <v>270</v>
      </c>
      <c r="D92" s="15" t="s">
        <v>271</v>
      </c>
      <c r="E92" s="15" t="s">
        <v>35</v>
      </c>
      <c r="F92" s="15" t="s">
        <v>56</v>
      </c>
      <c r="G92" s="15" t="s">
        <v>35</v>
      </c>
      <c r="H92" s="15" t="s">
        <v>29</v>
      </c>
      <c r="I92" s="15" t="s">
        <v>100</v>
      </c>
      <c r="J92" s="15">
        <v>7</v>
      </c>
      <c r="K92" s="15">
        <v>8</v>
      </c>
      <c r="L92" s="15">
        <v>1</v>
      </c>
      <c r="M92" s="15"/>
      <c r="N92" s="15"/>
      <c r="O92" s="15"/>
      <c r="P92" s="15"/>
      <c r="Q92" s="15" t="s">
        <v>90</v>
      </c>
      <c r="R92" s="15">
        <v>80</v>
      </c>
      <c r="S92" s="15">
        <v>40</v>
      </c>
    </row>
    <row r="93" spans="2:19" x14ac:dyDescent="0.35">
      <c r="B93" s="15" t="s">
        <v>272</v>
      </c>
      <c r="C93" s="15" t="s">
        <v>272</v>
      </c>
      <c r="D93" s="15" t="s">
        <v>273</v>
      </c>
      <c r="E93" s="15" t="s">
        <v>35</v>
      </c>
      <c r="F93" s="15" t="s">
        <v>57</v>
      </c>
      <c r="G93" s="15" t="s">
        <v>35</v>
      </c>
      <c r="H93" s="15" t="s">
        <v>27</v>
      </c>
      <c r="I93" s="15" t="s">
        <v>100</v>
      </c>
      <c r="J93" s="15">
        <v>8</v>
      </c>
      <c r="K93" s="15">
        <v>8</v>
      </c>
      <c r="L93" s="15">
        <v>1</v>
      </c>
      <c r="M93" s="15"/>
      <c r="N93" s="15"/>
      <c r="O93" s="15"/>
      <c r="P93" s="15"/>
      <c r="Q93" s="15" t="s">
        <v>90</v>
      </c>
      <c r="R93" s="15">
        <v>80</v>
      </c>
      <c r="S93" s="15">
        <v>40</v>
      </c>
    </row>
    <row r="94" spans="2:19" x14ac:dyDescent="0.35">
      <c r="B94" s="15" t="s">
        <v>5</v>
      </c>
      <c r="C94" s="15" t="s">
        <v>5</v>
      </c>
      <c r="D94" s="15" t="s">
        <v>274</v>
      </c>
      <c r="E94" s="15" t="s">
        <v>35</v>
      </c>
      <c r="F94" s="15" t="s">
        <v>57</v>
      </c>
      <c r="G94" s="15" t="s">
        <v>35</v>
      </c>
      <c r="H94" s="15" t="s">
        <v>84</v>
      </c>
      <c r="I94" s="15" t="s">
        <v>100</v>
      </c>
      <c r="J94" s="15">
        <v>5</v>
      </c>
      <c r="K94" s="15">
        <v>8</v>
      </c>
      <c r="L94" s="15">
        <v>1</v>
      </c>
      <c r="M94" s="15"/>
      <c r="N94" s="15"/>
      <c r="O94" s="15"/>
      <c r="P94" s="15"/>
      <c r="Q94" s="15" t="s">
        <v>90</v>
      </c>
      <c r="R94" s="15">
        <v>80</v>
      </c>
      <c r="S94" s="15">
        <v>40</v>
      </c>
    </row>
    <row r="95" spans="2:19" x14ac:dyDescent="0.35">
      <c r="B95" s="15" t="s">
        <v>275</v>
      </c>
      <c r="C95" s="15" t="s">
        <v>275</v>
      </c>
      <c r="D95" s="15" t="s">
        <v>276</v>
      </c>
      <c r="E95" s="15" t="s">
        <v>35</v>
      </c>
      <c r="F95" s="15" t="s">
        <v>57</v>
      </c>
      <c r="G95" s="15" t="s">
        <v>35</v>
      </c>
      <c r="H95" s="15" t="s">
        <v>90</v>
      </c>
      <c r="I95" s="15" t="s">
        <v>100</v>
      </c>
      <c r="J95" s="15">
        <v>5</v>
      </c>
      <c r="K95" s="15">
        <v>8</v>
      </c>
      <c r="L95" s="15">
        <v>1</v>
      </c>
      <c r="M95" s="15"/>
      <c r="N95" s="15"/>
      <c r="O95" s="15"/>
      <c r="P95" s="15"/>
      <c r="Q95" s="15" t="s">
        <v>90</v>
      </c>
      <c r="R95" s="15">
        <v>80</v>
      </c>
      <c r="S95" s="15">
        <v>40</v>
      </c>
    </row>
    <row r="96" spans="2:19" x14ac:dyDescent="0.35">
      <c r="B96" s="15" t="s">
        <v>277</v>
      </c>
      <c r="C96" s="15" t="s">
        <v>277</v>
      </c>
      <c r="D96" s="15" t="s">
        <v>278</v>
      </c>
      <c r="E96" s="15" t="s">
        <v>35</v>
      </c>
      <c r="F96" s="15" t="s">
        <v>57</v>
      </c>
      <c r="G96" s="15" t="s">
        <v>35</v>
      </c>
      <c r="H96" s="15" t="s">
        <v>29</v>
      </c>
      <c r="I96" s="15" t="s">
        <v>100</v>
      </c>
      <c r="J96" s="15">
        <v>10</v>
      </c>
      <c r="K96" s="15">
        <v>8</v>
      </c>
      <c r="L96" s="15">
        <v>1</v>
      </c>
      <c r="M96" s="15"/>
      <c r="N96" s="15"/>
      <c r="O96" s="15"/>
      <c r="P96" s="15"/>
      <c r="Q96" s="15" t="s">
        <v>90</v>
      </c>
      <c r="R96" s="15">
        <v>80</v>
      </c>
      <c r="S96" s="15">
        <v>40</v>
      </c>
    </row>
    <row r="97" spans="2:19" x14ac:dyDescent="0.35">
      <c r="B97" s="15" t="s">
        <v>279</v>
      </c>
      <c r="C97" s="15" t="s">
        <v>279</v>
      </c>
      <c r="D97" s="15" t="s">
        <v>280</v>
      </c>
      <c r="E97" s="15" t="s">
        <v>35</v>
      </c>
      <c r="F97" s="15" t="s">
        <v>58</v>
      </c>
      <c r="G97" s="15" t="s">
        <v>35</v>
      </c>
      <c r="H97" s="15" t="s">
        <v>27</v>
      </c>
      <c r="I97" s="15" t="s">
        <v>100</v>
      </c>
      <c r="J97" s="15">
        <v>8</v>
      </c>
      <c r="K97" s="15">
        <v>8</v>
      </c>
      <c r="L97" s="15">
        <v>1</v>
      </c>
      <c r="M97" s="15"/>
      <c r="N97" s="15"/>
      <c r="O97" s="15"/>
      <c r="P97" s="15"/>
      <c r="Q97" s="15" t="s">
        <v>90</v>
      </c>
      <c r="R97" s="15">
        <v>80</v>
      </c>
      <c r="S97" s="15">
        <v>40</v>
      </c>
    </row>
    <row r="98" spans="2:19" x14ac:dyDescent="0.35">
      <c r="B98" s="15" t="s">
        <v>281</v>
      </c>
      <c r="C98" s="15" t="s">
        <v>281</v>
      </c>
      <c r="D98" s="15" t="s">
        <v>282</v>
      </c>
      <c r="E98" s="15" t="s">
        <v>35</v>
      </c>
      <c r="F98" s="15" t="s">
        <v>58</v>
      </c>
      <c r="G98" s="15" t="s">
        <v>35</v>
      </c>
      <c r="H98" s="15" t="s">
        <v>84</v>
      </c>
      <c r="I98" s="15" t="s">
        <v>100</v>
      </c>
      <c r="J98" s="15">
        <v>6</v>
      </c>
      <c r="K98" s="15">
        <v>8</v>
      </c>
      <c r="L98" s="15">
        <v>1</v>
      </c>
      <c r="M98" s="15"/>
      <c r="N98" s="15"/>
      <c r="O98" s="15"/>
      <c r="P98" s="15"/>
      <c r="Q98" s="15" t="s">
        <v>90</v>
      </c>
      <c r="R98" s="15">
        <v>80</v>
      </c>
      <c r="S98" s="15">
        <v>40</v>
      </c>
    </row>
    <row r="99" spans="2:19" x14ac:dyDescent="0.35">
      <c r="B99" s="15" t="s">
        <v>283</v>
      </c>
      <c r="C99" s="15" t="s">
        <v>283</v>
      </c>
      <c r="D99" s="15" t="s">
        <v>284</v>
      </c>
      <c r="E99" s="15" t="s">
        <v>35</v>
      </c>
      <c r="F99" s="15" t="s">
        <v>58</v>
      </c>
      <c r="G99" s="15" t="s">
        <v>35</v>
      </c>
      <c r="H99" s="15" t="s">
        <v>90</v>
      </c>
      <c r="I99" s="15" t="s">
        <v>100</v>
      </c>
      <c r="J99" s="15">
        <v>6</v>
      </c>
      <c r="K99" s="15">
        <v>8</v>
      </c>
      <c r="L99" s="15">
        <v>1</v>
      </c>
      <c r="M99" s="15"/>
      <c r="N99" s="15"/>
      <c r="O99" s="15"/>
      <c r="P99" s="15"/>
      <c r="Q99" s="15" t="s">
        <v>90</v>
      </c>
      <c r="R99" s="15">
        <v>80</v>
      </c>
      <c r="S99" s="15">
        <v>40</v>
      </c>
    </row>
    <row r="100" spans="2:19" x14ac:dyDescent="0.35">
      <c r="B100" s="15" t="s">
        <v>285</v>
      </c>
      <c r="C100" s="15" t="s">
        <v>285</v>
      </c>
      <c r="D100" s="15" t="s">
        <v>286</v>
      </c>
      <c r="E100" s="15" t="s">
        <v>35</v>
      </c>
      <c r="F100" s="15" t="s">
        <v>58</v>
      </c>
      <c r="G100" s="15" t="s">
        <v>35</v>
      </c>
      <c r="H100" s="15" t="s">
        <v>29</v>
      </c>
      <c r="I100" s="15" t="s">
        <v>100</v>
      </c>
      <c r="J100" s="15">
        <v>10</v>
      </c>
      <c r="K100" s="15">
        <v>8</v>
      </c>
      <c r="L100" s="15">
        <v>1</v>
      </c>
      <c r="M100" s="15"/>
      <c r="N100" s="15"/>
      <c r="O100" s="15"/>
      <c r="P100" s="15"/>
      <c r="Q100" s="15" t="s">
        <v>90</v>
      </c>
      <c r="R100" s="15">
        <v>80</v>
      </c>
      <c r="S100" s="15">
        <v>40</v>
      </c>
    </row>
    <row r="101" spans="2:19" x14ac:dyDescent="0.35">
      <c r="B101" s="15" t="s">
        <v>287</v>
      </c>
      <c r="C101" s="15" t="s">
        <v>287</v>
      </c>
      <c r="D101" s="15" t="s">
        <v>288</v>
      </c>
      <c r="E101" s="15" t="s">
        <v>35</v>
      </c>
      <c r="F101" s="15" t="s">
        <v>59</v>
      </c>
      <c r="G101" s="15" t="s">
        <v>35</v>
      </c>
      <c r="H101" s="15" t="s">
        <v>84</v>
      </c>
      <c r="I101" s="15" t="s">
        <v>100</v>
      </c>
      <c r="J101" s="15">
        <v>4</v>
      </c>
      <c r="K101" s="15">
        <v>8</v>
      </c>
      <c r="L101" s="15">
        <v>1</v>
      </c>
      <c r="M101" s="15"/>
      <c r="N101" s="15"/>
      <c r="O101" s="15"/>
      <c r="P101" s="15"/>
      <c r="Q101" s="15" t="s">
        <v>90</v>
      </c>
      <c r="R101" s="15">
        <v>80</v>
      </c>
      <c r="S101" s="15">
        <v>40</v>
      </c>
    </row>
    <row r="102" spans="2:19" x14ac:dyDescent="0.35">
      <c r="B102" s="15" t="s">
        <v>289</v>
      </c>
      <c r="C102" s="15" t="s">
        <v>289</v>
      </c>
      <c r="D102" s="15" t="s">
        <v>290</v>
      </c>
      <c r="E102" s="15" t="s">
        <v>35</v>
      </c>
      <c r="F102" s="15" t="s">
        <v>90</v>
      </c>
      <c r="G102" s="15" t="s">
        <v>35</v>
      </c>
      <c r="H102" s="15" t="s">
        <v>42</v>
      </c>
      <c r="I102" s="15" t="s">
        <v>100</v>
      </c>
      <c r="J102" s="15">
        <v>5</v>
      </c>
      <c r="K102" s="15">
        <v>8</v>
      </c>
      <c r="L102" s="15">
        <v>1</v>
      </c>
      <c r="M102" s="15"/>
      <c r="N102" s="15"/>
      <c r="O102" s="15"/>
      <c r="P102" s="15"/>
      <c r="Q102" s="15" t="s">
        <v>90</v>
      </c>
      <c r="R102" s="15">
        <v>80</v>
      </c>
      <c r="S102" s="15">
        <v>40</v>
      </c>
    </row>
    <row r="103" spans="2:19" x14ac:dyDescent="0.35">
      <c r="B103" s="15" t="s">
        <v>291</v>
      </c>
      <c r="C103" s="15" t="s">
        <v>291</v>
      </c>
      <c r="D103" s="15" t="s">
        <v>292</v>
      </c>
      <c r="E103" s="15" t="s">
        <v>35</v>
      </c>
      <c r="F103" s="15" t="s">
        <v>59</v>
      </c>
      <c r="G103" s="15" t="s">
        <v>35</v>
      </c>
      <c r="H103" s="15" t="s">
        <v>90</v>
      </c>
      <c r="I103" s="15" t="s">
        <v>100</v>
      </c>
      <c r="J103" s="15">
        <v>4</v>
      </c>
      <c r="K103" s="15">
        <v>8</v>
      </c>
      <c r="L103" s="15">
        <v>1</v>
      </c>
      <c r="M103" s="15"/>
      <c r="N103" s="15"/>
      <c r="O103" s="15"/>
      <c r="P103" s="15"/>
      <c r="Q103" s="15" t="s">
        <v>90</v>
      </c>
      <c r="R103" s="15">
        <v>80</v>
      </c>
      <c r="S103" s="15">
        <v>40</v>
      </c>
    </row>
    <row r="104" spans="2:19" x14ac:dyDescent="0.35">
      <c r="B104" s="15" t="s">
        <v>293</v>
      </c>
      <c r="C104" s="15" t="s">
        <v>293</v>
      </c>
      <c r="D104" s="15" t="s">
        <v>294</v>
      </c>
      <c r="E104" s="15" t="s">
        <v>35</v>
      </c>
      <c r="F104" s="15" t="s">
        <v>59</v>
      </c>
      <c r="G104" s="15" t="s">
        <v>35</v>
      </c>
      <c r="H104" s="15" t="s">
        <v>60</v>
      </c>
      <c r="I104" s="15" t="s">
        <v>100</v>
      </c>
      <c r="J104" s="15">
        <v>4</v>
      </c>
      <c r="K104" s="15">
        <v>8</v>
      </c>
      <c r="L104" s="15">
        <v>1</v>
      </c>
      <c r="M104" s="15"/>
      <c r="N104" s="15"/>
      <c r="O104" s="15"/>
      <c r="P104" s="15"/>
      <c r="Q104" s="15" t="s">
        <v>90</v>
      </c>
      <c r="R104" s="15">
        <v>80</v>
      </c>
      <c r="S104" s="15">
        <v>40</v>
      </c>
    </row>
    <row r="105" spans="2:19" x14ac:dyDescent="0.35">
      <c r="B105" s="15" t="s">
        <v>295</v>
      </c>
      <c r="C105" s="15" t="s">
        <v>295</v>
      </c>
      <c r="D105" s="15" t="s">
        <v>296</v>
      </c>
      <c r="E105" s="15" t="s">
        <v>35</v>
      </c>
      <c r="F105" s="15" t="s">
        <v>60</v>
      </c>
      <c r="G105" s="15" t="s">
        <v>35</v>
      </c>
      <c r="H105" s="15" t="s">
        <v>82</v>
      </c>
      <c r="I105" s="15" t="s">
        <v>100</v>
      </c>
      <c r="J105" s="15">
        <v>4</v>
      </c>
      <c r="K105" s="15">
        <v>8</v>
      </c>
      <c r="L105" s="15">
        <v>1</v>
      </c>
      <c r="M105" s="15"/>
      <c r="N105" s="15"/>
      <c r="O105" s="15"/>
      <c r="P105" s="15"/>
      <c r="Q105" s="15" t="s">
        <v>90</v>
      </c>
      <c r="R105" s="15">
        <v>80</v>
      </c>
      <c r="S105" s="15">
        <v>40</v>
      </c>
    </row>
    <row r="106" spans="2:19" x14ac:dyDescent="0.35">
      <c r="B106" s="15" t="s">
        <v>297</v>
      </c>
      <c r="C106" s="15" t="s">
        <v>297</v>
      </c>
      <c r="D106" s="15" t="s">
        <v>298</v>
      </c>
      <c r="E106" s="15" t="s">
        <v>35</v>
      </c>
      <c r="F106" s="15" t="s">
        <v>60</v>
      </c>
      <c r="G106" s="15" t="s">
        <v>35</v>
      </c>
      <c r="H106" s="15" t="s">
        <v>42</v>
      </c>
      <c r="I106" s="15" t="s">
        <v>100</v>
      </c>
      <c r="J106" s="15">
        <v>5</v>
      </c>
      <c r="K106" s="15">
        <v>8</v>
      </c>
      <c r="L106" s="15">
        <v>1</v>
      </c>
      <c r="M106" s="15"/>
      <c r="N106" s="15"/>
      <c r="O106" s="15"/>
      <c r="P106" s="15"/>
      <c r="Q106" s="15" t="s">
        <v>90</v>
      </c>
      <c r="R106" s="15">
        <v>80</v>
      </c>
      <c r="S106" s="15">
        <v>40</v>
      </c>
    </row>
    <row r="107" spans="2:19" x14ac:dyDescent="0.35">
      <c r="B107" s="15" t="s">
        <v>8</v>
      </c>
      <c r="C107" s="15" t="s">
        <v>8</v>
      </c>
      <c r="D107" s="15" t="s">
        <v>299</v>
      </c>
      <c r="E107" s="15" t="s">
        <v>35</v>
      </c>
      <c r="F107" s="15" t="s">
        <v>60</v>
      </c>
      <c r="G107" s="15" t="s">
        <v>35</v>
      </c>
      <c r="H107" s="15" t="s">
        <v>84</v>
      </c>
      <c r="I107" s="15" t="s">
        <v>100</v>
      </c>
      <c r="J107" s="15">
        <v>4</v>
      </c>
      <c r="K107" s="15">
        <v>8</v>
      </c>
      <c r="L107" s="15">
        <v>1</v>
      </c>
      <c r="M107" s="15"/>
      <c r="N107" s="15"/>
      <c r="O107" s="15"/>
      <c r="P107" s="15"/>
      <c r="Q107" s="15" t="s">
        <v>90</v>
      </c>
      <c r="R107" s="15">
        <v>80</v>
      </c>
      <c r="S107" s="15">
        <v>40</v>
      </c>
    </row>
    <row r="108" spans="2:19" x14ac:dyDescent="0.35">
      <c r="B108" s="15" t="s">
        <v>300</v>
      </c>
      <c r="C108" s="15" t="s">
        <v>300</v>
      </c>
      <c r="D108" s="15" t="s">
        <v>301</v>
      </c>
      <c r="E108" s="15" t="s">
        <v>35</v>
      </c>
      <c r="F108" s="15" t="s">
        <v>60</v>
      </c>
      <c r="G108" s="15" t="s">
        <v>35</v>
      </c>
      <c r="H108" s="15" t="s">
        <v>86</v>
      </c>
      <c r="I108" s="15" t="s">
        <v>100</v>
      </c>
      <c r="J108" s="15">
        <v>4</v>
      </c>
      <c r="K108" s="15">
        <v>8</v>
      </c>
      <c r="L108" s="15">
        <v>1</v>
      </c>
      <c r="M108" s="15"/>
      <c r="N108" s="15"/>
      <c r="O108" s="15"/>
      <c r="P108" s="15"/>
      <c r="Q108" s="15" t="s">
        <v>90</v>
      </c>
      <c r="R108" s="15">
        <v>80</v>
      </c>
      <c r="S108" s="15">
        <v>40</v>
      </c>
    </row>
    <row r="109" spans="2:19" x14ac:dyDescent="0.35">
      <c r="B109" s="15" t="s">
        <v>302</v>
      </c>
      <c r="C109" s="15" t="s">
        <v>302</v>
      </c>
      <c r="D109" s="15" t="s">
        <v>303</v>
      </c>
      <c r="E109" s="15" t="s">
        <v>35</v>
      </c>
      <c r="F109" s="15" t="s">
        <v>60</v>
      </c>
      <c r="G109" s="15" t="s">
        <v>35</v>
      </c>
      <c r="H109" s="15" t="s">
        <v>88</v>
      </c>
      <c r="I109" s="15" t="s">
        <v>100</v>
      </c>
      <c r="J109" s="15">
        <v>3</v>
      </c>
      <c r="K109" s="15">
        <v>8</v>
      </c>
      <c r="L109" s="15">
        <v>1</v>
      </c>
      <c r="M109" s="15"/>
      <c r="N109" s="15"/>
      <c r="O109" s="15"/>
      <c r="P109" s="15"/>
      <c r="Q109" s="15" t="s">
        <v>90</v>
      </c>
      <c r="R109" s="15">
        <v>80</v>
      </c>
      <c r="S109" s="15">
        <v>40</v>
      </c>
    </row>
    <row r="110" spans="2:19" x14ac:dyDescent="0.35">
      <c r="B110" s="15" t="s">
        <v>304</v>
      </c>
      <c r="C110" s="15" t="s">
        <v>305</v>
      </c>
      <c r="D110" s="15" t="s">
        <v>306</v>
      </c>
      <c r="E110" s="15" t="s">
        <v>35</v>
      </c>
      <c r="F110" s="15" t="s">
        <v>60</v>
      </c>
      <c r="G110" s="15" t="s">
        <v>35</v>
      </c>
      <c r="H110" s="15" t="s">
        <v>90</v>
      </c>
      <c r="I110" s="15" t="s">
        <v>100</v>
      </c>
      <c r="J110" s="15">
        <v>4</v>
      </c>
      <c r="K110" s="15">
        <v>8</v>
      </c>
      <c r="L110" s="15">
        <v>1</v>
      </c>
      <c r="M110" s="15"/>
      <c r="N110" s="15"/>
      <c r="O110" s="15"/>
      <c r="P110" s="15"/>
      <c r="Q110" s="15" t="s">
        <v>90</v>
      </c>
      <c r="R110" s="15">
        <v>80</v>
      </c>
      <c r="S110" s="15">
        <v>40</v>
      </c>
    </row>
    <row r="111" spans="2:19" x14ac:dyDescent="0.35">
      <c r="B111" s="15" t="s">
        <v>307</v>
      </c>
      <c r="C111" s="15" t="s">
        <v>307</v>
      </c>
      <c r="D111" s="15" t="s">
        <v>308</v>
      </c>
      <c r="E111" s="15" t="s">
        <v>35</v>
      </c>
      <c r="F111" s="15" t="s">
        <v>61</v>
      </c>
      <c r="G111" s="15" t="s">
        <v>35</v>
      </c>
      <c r="H111" s="15" t="s">
        <v>27</v>
      </c>
      <c r="I111" s="15" t="s">
        <v>100</v>
      </c>
      <c r="J111" s="15">
        <v>7</v>
      </c>
      <c r="K111" s="15">
        <v>8</v>
      </c>
      <c r="L111" s="15">
        <v>1</v>
      </c>
      <c r="M111" s="15"/>
      <c r="N111" s="15"/>
      <c r="O111" s="15"/>
      <c r="P111" s="15"/>
      <c r="Q111" s="15" t="s">
        <v>90</v>
      </c>
      <c r="R111" s="15">
        <v>80</v>
      </c>
      <c r="S111" s="15">
        <v>40</v>
      </c>
    </row>
    <row r="112" spans="2:19" x14ac:dyDescent="0.35">
      <c r="B112" s="15" t="s">
        <v>309</v>
      </c>
      <c r="C112" s="15" t="s">
        <v>309</v>
      </c>
      <c r="D112" s="15" t="s">
        <v>310</v>
      </c>
      <c r="E112" s="15" t="s">
        <v>35</v>
      </c>
      <c r="F112" s="15" t="s">
        <v>61</v>
      </c>
      <c r="G112" s="15" t="s">
        <v>35</v>
      </c>
      <c r="H112" s="15" t="s">
        <v>84</v>
      </c>
      <c r="I112" s="15" t="s">
        <v>100</v>
      </c>
      <c r="J112" s="15">
        <v>4</v>
      </c>
      <c r="K112" s="15">
        <v>8</v>
      </c>
      <c r="L112" s="15">
        <v>1</v>
      </c>
      <c r="M112" s="15"/>
      <c r="N112" s="15"/>
      <c r="O112" s="15"/>
      <c r="P112" s="15"/>
      <c r="Q112" s="15" t="s">
        <v>90</v>
      </c>
      <c r="R112" s="15">
        <v>80</v>
      </c>
      <c r="S112" s="15">
        <v>40</v>
      </c>
    </row>
    <row r="113" spans="2:19" x14ac:dyDescent="0.35">
      <c r="B113" s="15" t="s">
        <v>311</v>
      </c>
      <c r="C113" s="15" t="s">
        <v>311</v>
      </c>
      <c r="D113" s="15" t="s">
        <v>312</v>
      </c>
      <c r="E113" s="15" t="s">
        <v>35</v>
      </c>
      <c r="F113" s="15" t="s">
        <v>61</v>
      </c>
      <c r="G113" s="15" t="s">
        <v>35</v>
      </c>
      <c r="H113" s="15" t="s">
        <v>90</v>
      </c>
      <c r="I113" s="15" t="s">
        <v>100</v>
      </c>
      <c r="J113" s="15">
        <v>4</v>
      </c>
      <c r="K113" s="15">
        <v>8</v>
      </c>
      <c r="L113" s="15">
        <v>1</v>
      </c>
      <c r="M113" s="15"/>
      <c r="N113" s="15"/>
      <c r="O113" s="15"/>
      <c r="P113" s="15"/>
      <c r="Q113" s="15" t="s">
        <v>90</v>
      </c>
      <c r="R113" s="15">
        <v>80</v>
      </c>
      <c r="S113" s="15">
        <v>40</v>
      </c>
    </row>
    <row r="114" spans="2:19" x14ac:dyDescent="0.35">
      <c r="B114" s="15" t="s">
        <v>313</v>
      </c>
      <c r="C114" s="15" t="s">
        <v>313</v>
      </c>
      <c r="D114" s="15" t="s">
        <v>314</v>
      </c>
      <c r="E114" s="15" t="s">
        <v>35</v>
      </c>
      <c r="F114" s="15" t="s">
        <v>61</v>
      </c>
      <c r="G114" s="15" t="s">
        <v>35</v>
      </c>
      <c r="H114" s="15" t="s">
        <v>29</v>
      </c>
      <c r="I114" s="15" t="s">
        <v>100</v>
      </c>
      <c r="J114" s="15">
        <v>8</v>
      </c>
      <c r="K114" s="15">
        <v>8</v>
      </c>
      <c r="L114" s="15">
        <v>1</v>
      </c>
      <c r="M114" s="15"/>
      <c r="N114" s="15"/>
      <c r="O114" s="15"/>
      <c r="P114" s="15"/>
      <c r="Q114" s="15" t="s">
        <v>90</v>
      </c>
      <c r="R114" s="15">
        <v>80</v>
      </c>
      <c r="S114" s="15">
        <v>40</v>
      </c>
    </row>
    <row r="115" spans="2:19" x14ac:dyDescent="0.35">
      <c r="B115" s="15" t="s">
        <v>315</v>
      </c>
      <c r="C115" s="15" t="s">
        <v>315</v>
      </c>
      <c r="D115" s="15" t="s">
        <v>316</v>
      </c>
      <c r="E115" s="15" t="s">
        <v>35</v>
      </c>
      <c r="F115" s="15" t="s">
        <v>29</v>
      </c>
      <c r="G115" s="15" t="s">
        <v>35</v>
      </c>
      <c r="H115" s="15" t="s">
        <v>42</v>
      </c>
      <c r="I115" s="15" t="s">
        <v>100</v>
      </c>
      <c r="J115" s="15">
        <v>1</v>
      </c>
      <c r="K115" s="15">
        <v>8</v>
      </c>
      <c r="L115" s="15">
        <v>1</v>
      </c>
      <c r="M115" s="15"/>
      <c r="N115" s="15"/>
      <c r="O115" s="15"/>
      <c r="P115" s="15"/>
      <c r="Q115" s="15" t="s">
        <v>90</v>
      </c>
      <c r="R115" s="15">
        <v>80</v>
      </c>
      <c r="S115" s="15">
        <v>40</v>
      </c>
    </row>
    <row r="116" spans="2:19" x14ac:dyDescent="0.35">
      <c r="B116" s="15" t="s">
        <v>317</v>
      </c>
      <c r="C116" s="15" t="s">
        <v>317</v>
      </c>
      <c r="D116" s="15" t="s">
        <v>318</v>
      </c>
      <c r="E116" s="15" t="s">
        <v>35</v>
      </c>
      <c r="F116" s="15" t="s">
        <v>29</v>
      </c>
      <c r="G116" s="15" t="s">
        <v>35</v>
      </c>
      <c r="H116" s="15" t="s">
        <v>43</v>
      </c>
      <c r="I116" s="15" t="s">
        <v>100</v>
      </c>
      <c r="J116" s="15">
        <v>1</v>
      </c>
      <c r="K116" s="15">
        <v>8</v>
      </c>
      <c r="L116" s="15">
        <v>1</v>
      </c>
      <c r="M116" s="15"/>
      <c r="N116" s="15"/>
      <c r="O116" s="15"/>
      <c r="P116" s="15"/>
      <c r="Q116" s="15" t="s">
        <v>90</v>
      </c>
      <c r="R116" s="15">
        <v>80</v>
      </c>
      <c r="S116" s="15">
        <v>40</v>
      </c>
    </row>
    <row r="117" spans="2:19" x14ac:dyDescent="0.35">
      <c r="B117" s="15" t="s">
        <v>319</v>
      </c>
      <c r="C117" s="15" t="s">
        <v>319</v>
      </c>
      <c r="D117" s="15" t="s">
        <v>320</v>
      </c>
      <c r="E117" s="15" t="s">
        <v>35</v>
      </c>
      <c r="F117" s="15" t="s">
        <v>29</v>
      </c>
      <c r="G117" s="15" t="s">
        <v>35</v>
      </c>
      <c r="H117" s="15" t="s">
        <v>59</v>
      </c>
      <c r="I117" s="15" t="s">
        <v>100</v>
      </c>
      <c r="J117" s="15">
        <v>2</v>
      </c>
      <c r="K117" s="15">
        <v>8</v>
      </c>
      <c r="L117" s="15">
        <v>1</v>
      </c>
      <c r="M117" s="15"/>
      <c r="N117" s="15"/>
      <c r="O117" s="15"/>
      <c r="P117" s="15"/>
      <c r="Q117" s="15" t="s">
        <v>90</v>
      </c>
      <c r="R117" s="15">
        <v>80</v>
      </c>
      <c r="S117" s="15">
        <v>40</v>
      </c>
    </row>
    <row r="118" spans="2:19" x14ac:dyDescent="0.35">
      <c r="B118" s="15" t="s">
        <v>321</v>
      </c>
      <c r="C118" s="15" t="s">
        <v>321</v>
      </c>
      <c r="D118" s="15" t="s">
        <v>322</v>
      </c>
      <c r="E118" s="15" t="s">
        <v>35</v>
      </c>
      <c r="F118" s="15" t="s">
        <v>29</v>
      </c>
      <c r="G118" s="15" t="s">
        <v>35</v>
      </c>
      <c r="H118" s="15" t="s">
        <v>60</v>
      </c>
      <c r="I118" s="15" t="s">
        <v>100</v>
      </c>
      <c r="J118" s="15">
        <v>1</v>
      </c>
      <c r="K118" s="15">
        <v>8</v>
      </c>
      <c r="L118" s="15">
        <v>1</v>
      </c>
      <c r="M118" s="15"/>
      <c r="N118" s="15"/>
      <c r="O118" s="15"/>
      <c r="P118" s="15"/>
      <c r="Q118" s="15" t="s">
        <v>90</v>
      </c>
      <c r="R118" s="15">
        <v>80</v>
      </c>
      <c r="S118" s="15">
        <v>40</v>
      </c>
    </row>
    <row r="119" spans="2:19" x14ac:dyDescent="0.35">
      <c r="B119" s="15" t="s">
        <v>7</v>
      </c>
      <c r="C119" s="15" t="s">
        <v>7</v>
      </c>
      <c r="D119" s="15" t="s">
        <v>323</v>
      </c>
      <c r="E119" s="15" t="s">
        <v>35</v>
      </c>
      <c r="F119" s="15" t="s">
        <v>72</v>
      </c>
      <c r="G119" s="15" t="s">
        <v>35</v>
      </c>
      <c r="H119" s="15" t="s">
        <v>84</v>
      </c>
      <c r="I119" s="15" t="s">
        <v>100</v>
      </c>
      <c r="J119" s="15">
        <v>7</v>
      </c>
      <c r="K119" s="15">
        <v>8</v>
      </c>
      <c r="L119" s="15">
        <v>1</v>
      </c>
      <c r="M119" s="15"/>
      <c r="N119" s="15"/>
      <c r="O119" s="15"/>
      <c r="P119" s="15"/>
      <c r="Q119" s="15" t="s">
        <v>90</v>
      </c>
      <c r="R119" s="15">
        <v>80</v>
      </c>
      <c r="S119" s="15">
        <v>40</v>
      </c>
    </row>
    <row r="120" spans="2:19" x14ac:dyDescent="0.35">
      <c r="B120" s="15" t="s">
        <v>324</v>
      </c>
      <c r="C120" s="15" t="s">
        <v>324</v>
      </c>
      <c r="D120" s="15" t="s">
        <v>325</v>
      </c>
      <c r="E120" s="15" t="s">
        <v>35</v>
      </c>
      <c r="F120" s="15" t="s">
        <v>72</v>
      </c>
      <c r="G120" s="15" t="s">
        <v>35</v>
      </c>
      <c r="H120" s="15" t="s">
        <v>90</v>
      </c>
      <c r="I120" s="15" t="s">
        <v>100</v>
      </c>
      <c r="J120" s="15">
        <v>7</v>
      </c>
      <c r="K120" s="15">
        <v>8</v>
      </c>
      <c r="L120" s="15">
        <v>1</v>
      </c>
      <c r="M120" s="15"/>
      <c r="N120" s="15"/>
      <c r="O120" s="15"/>
      <c r="P120" s="15"/>
      <c r="Q120" s="15" t="s">
        <v>90</v>
      </c>
      <c r="R120" s="15">
        <v>80</v>
      </c>
      <c r="S120" s="15">
        <v>40</v>
      </c>
    </row>
    <row r="121" spans="2:19" x14ac:dyDescent="0.35">
      <c r="B121" s="15" t="s">
        <v>326</v>
      </c>
      <c r="C121" s="15" t="s">
        <v>327</v>
      </c>
      <c r="D121" s="15" t="s">
        <v>328</v>
      </c>
      <c r="E121" s="15" t="s">
        <v>35</v>
      </c>
      <c r="F121" s="15" t="s">
        <v>62</v>
      </c>
      <c r="G121" s="15" t="s">
        <v>35</v>
      </c>
      <c r="H121" s="15" t="s">
        <v>27</v>
      </c>
      <c r="I121" s="15" t="s">
        <v>100</v>
      </c>
      <c r="J121" s="15">
        <v>6</v>
      </c>
      <c r="K121" s="15">
        <v>8</v>
      </c>
      <c r="L121" s="15">
        <v>1</v>
      </c>
      <c r="M121" s="15"/>
      <c r="N121" s="15"/>
      <c r="O121" s="15"/>
      <c r="P121" s="15"/>
      <c r="Q121" s="15" t="s">
        <v>90</v>
      </c>
      <c r="R121" s="15">
        <v>80</v>
      </c>
      <c r="S121" s="15">
        <v>40</v>
      </c>
    </row>
    <row r="122" spans="2:19" x14ac:dyDescent="0.35">
      <c r="B122" s="15" t="s">
        <v>329</v>
      </c>
      <c r="C122" s="15" t="s">
        <v>330</v>
      </c>
      <c r="D122" s="15" t="s">
        <v>331</v>
      </c>
      <c r="E122" s="15" t="s">
        <v>35</v>
      </c>
      <c r="F122" s="15" t="s">
        <v>62</v>
      </c>
      <c r="G122" s="15" t="s">
        <v>35</v>
      </c>
      <c r="H122" s="15" t="s">
        <v>29</v>
      </c>
      <c r="I122" s="15" t="s">
        <v>100</v>
      </c>
      <c r="J122" s="15">
        <v>6</v>
      </c>
      <c r="K122" s="15">
        <v>8</v>
      </c>
      <c r="L122" s="15">
        <v>1</v>
      </c>
      <c r="M122" s="15"/>
      <c r="N122" s="15"/>
      <c r="O122" s="15"/>
      <c r="P122" s="15"/>
      <c r="Q122" s="15" t="s">
        <v>90</v>
      </c>
      <c r="R122" s="15">
        <v>80</v>
      </c>
      <c r="S122" s="15">
        <v>40</v>
      </c>
    </row>
    <row r="123" spans="2:19" x14ac:dyDescent="0.35">
      <c r="B123" s="15" t="s">
        <v>332</v>
      </c>
      <c r="C123" s="15" t="s">
        <v>333</v>
      </c>
      <c r="D123" s="15" t="s">
        <v>334</v>
      </c>
      <c r="E123" s="15" t="s">
        <v>35</v>
      </c>
      <c r="F123" s="15" t="s">
        <v>62</v>
      </c>
      <c r="G123" s="15" t="s">
        <v>35</v>
      </c>
      <c r="H123" s="15" t="s">
        <v>84</v>
      </c>
      <c r="I123" s="15" t="s">
        <v>100</v>
      </c>
      <c r="J123" s="15">
        <v>3</v>
      </c>
      <c r="K123" s="15">
        <v>8</v>
      </c>
      <c r="L123" s="15">
        <v>1</v>
      </c>
      <c r="M123" s="15"/>
      <c r="N123" s="15"/>
      <c r="O123" s="15"/>
      <c r="P123" s="15"/>
      <c r="Q123" s="15" t="s">
        <v>90</v>
      </c>
      <c r="R123" s="15">
        <v>80</v>
      </c>
      <c r="S123" s="15">
        <v>40</v>
      </c>
    </row>
    <row r="124" spans="2:19" x14ac:dyDescent="0.35">
      <c r="B124" s="15" t="s">
        <v>335</v>
      </c>
      <c r="C124" s="15" t="s">
        <v>336</v>
      </c>
      <c r="D124" s="15" t="s">
        <v>337</v>
      </c>
      <c r="E124" s="15" t="s">
        <v>35</v>
      </c>
      <c r="F124" s="15" t="s">
        <v>62</v>
      </c>
      <c r="G124" s="15" t="s">
        <v>35</v>
      </c>
      <c r="H124" s="15" t="s">
        <v>90</v>
      </c>
      <c r="I124" s="15" t="s">
        <v>100</v>
      </c>
      <c r="J124" s="15">
        <v>3</v>
      </c>
      <c r="K124" s="15">
        <v>8</v>
      </c>
      <c r="L124" s="15">
        <v>1</v>
      </c>
      <c r="M124" s="15"/>
      <c r="N124" s="15"/>
      <c r="O124" s="15"/>
      <c r="P124" s="15"/>
      <c r="Q124" s="15" t="s">
        <v>90</v>
      </c>
      <c r="R124" s="15">
        <v>80</v>
      </c>
      <c r="S124" s="15">
        <v>40</v>
      </c>
    </row>
    <row r="125" spans="2:19" x14ac:dyDescent="0.35">
      <c r="B125" s="15" t="s">
        <v>338</v>
      </c>
      <c r="C125" s="15" t="s">
        <v>339</v>
      </c>
      <c r="D125" s="15" t="s">
        <v>340</v>
      </c>
      <c r="E125" s="15" t="s">
        <v>35</v>
      </c>
      <c r="F125" s="15" t="s">
        <v>27</v>
      </c>
      <c r="G125" s="15" t="s">
        <v>35</v>
      </c>
      <c r="H125" s="15" t="s">
        <v>29</v>
      </c>
      <c r="I125" s="15" t="s">
        <v>100</v>
      </c>
      <c r="J125" s="15">
        <v>5</v>
      </c>
      <c r="K125" s="15">
        <v>8</v>
      </c>
      <c r="L125" s="15">
        <v>1</v>
      </c>
      <c r="M125" s="15"/>
      <c r="N125" s="15"/>
      <c r="O125" s="15"/>
      <c r="P125" s="15"/>
      <c r="Q125" s="15" t="s">
        <v>90</v>
      </c>
      <c r="R125" s="15">
        <v>80</v>
      </c>
      <c r="S125" s="15">
        <v>40</v>
      </c>
    </row>
    <row r="126" spans="2:19" x14ac:dyDescent="0.35">
      <c r="B126" s="15" t="s">
        <v>341</v>
      </c>
      <c r="C126" s="15" t="s">
        <v>342</v>
      </c>
      <c r="D126" s="15"/>
      <c r="E126" s="15" t="s">
        <v>35</v>
      </c>
      <c r="F126" s="15" t="s">
        <v>27</v>
      </c>
      <c r="G126" s="15" t="s">
        <v>35</v>
      </c>
      <c r="H126" s="15" t="s">
        <v>29</v>
      </c>
      <c r="I126" s="15" t="s">
        <v>100</v>
      </c>
      <c r="J126" s="15">
        <v>6</v>
      </c>
      <c r="K126" s="15">
        <v>8</v>
      </c>
      <c r="L126" s="15">
        <v>1</v>
      </c>
      <c r="M126" s="15"/>
      <c r="N126" s="15"/>
      <c r="O126" s="15"/>
      <c r="P126" s="15"/>
      <c r="Q126" s="15" t="s">
        <v>90</v>
      </c>
      <c r="R126" s="15">
        <v>80</v>
      </c>
      <c r="S126" s="15">
        <v>40</v>
      </c>
    </row>
    <row r="127" spans="2:19" x14ac:dyDescent="0.35">
      <c r="B127" s="15" t="s">
        <v>343</v>
      </c>
      <c r="C127" s="15" t="s">
        <v>344</v>
      </c>
      <c r="D127" s="15" t="s">
        <v>345</v>
      </c>
      <c r="E127" s="15" t="s">
        <v>35</v>
      </c>
      <c r="F127" s="15" t="s">
        <v>27</v>
      </c>
      <c r="G127" s="15" t="s">
        <v>35</v>
      </c>
      <c r="H127" s="15" t="s">
        <v>82</v>
      </c>
      <c r="I127" s="15" t="s">
        <v>100</v>
      </c>
      <c r="J127" s="15">
        <v>2</v>
      </c>
      <c r="K127" s="15">
        <v>8</v>
      </c>
      <c r="L127" s="15">
        <v>1</v>
      </c>
      <c r="M127" s="15"/>
      <c r="N127" s="15"/>
      <c r="O127" s="15"/>
      <c r="P127" s="15"/>
      <c r="Q127" s="15" t="s">
        <v>90</v>
      </c>
      <c r="R127" s="15">
        <v>80</v>
      </c>
      <c r="S127" s="15">
        <v>40</v>
      </c>
    </row>
    <row r="128" spans="2:19" x14ac:dyDescent="0.35">
      <c r="B128" s="15" t="s">
        <v>346</v>
      </c>
      <c r="C128" s="15" t="s">
        <v>347</v>
      </c>
      <c r="D128" s="15"/>
      <c r="E128" s="15" t="s">
        <v>35</v>
      </c>
      <c r="F128" s="15" t="s">
        <v>27</v>
      </c>
      <c r="G128" s="15" t="s">
        <v>35</v>
      </c>
      <c r="H128" s="15" t="s">
        <v>82</v>
      </c>
      <c r="I128" s="15" t="s">
        <v>100</v>
      </c>
      <c r="J128" s="15">
        <v>5</v>
      </c>
      <c r="K128" s="15">
        <v>8</v>
      </c>
      <c r="L128" s="15">
        <v>1</v>
      </c>
      <c r="M128" s="15"/>
      <c r="N128" s="15"/>
      <c r="O128" s="15"/>
      <c r="P128" s="15"/>
      <c r="Q128" s="15" t="s">
        <v>90</v>
      </c>
      <c r="R128" s="15">
        <v>80</v>
      </c>
      <c r="S128" s="15">
        <v>40</v>
      </c>
    </row>
    <row r="129" spans="2:19" x14ac:dyDescent="0.35">
      <c r="B129" s="15" t="s">
        <v>1</v>
      </c>
      <c r="C129" s="15" t="s">
        <v>348</v>
      </c>
      <c r="D129" s="15" t="s">
        <v>349</v>
      </c>
      <c r="E129" s="15" t="s">
        <v>35</v>
      </c>
      <c r="F129" s="15" t="s">
        <v>27</v>
      </c>
      <c r="G129" s="15" t="s">
        <v>35</v>
      </c>
      <c r="H129" s="15" t="s">
        <v>84</v>
      </c>
      <c r="I129" s="15" t="s">
        <v>100</v>
      </c>
      <c r="J129" s="15">
        <v>2</v>
      </c>
      <c r="K129" s="15">
        <v>8</v>
      </c>
      <c r="L129" s="15">
        <v>1</v>
      </c>
      <c r="M129" s="15"/>
      <c r="N129" s="15"/>
      <c r="O129" s="15"/>
      <c r="P129" s="15"/>
      <c r="Q129" s="15" t="s">
        <v>90</v>
      </c>
      <c r="R129" s="15">
        <v>80</v>
      </c>
      <c r="S129" s="15">
        <v>40</v>
      </c>
    </row>
    <row r="130" spans="2:19" x14ac:dyDescent="0.35">
      <c r="B130" s="15" t="s">
        <v>350</v>
      </c>
      <c r="C130" s="15" t="s">
        <v>351</v>
      </c>
      <c r="D130" s="15"/>
      <c r="E130" s="15" t="s">
        <v>35</v>
      </c>
      <c r="F130" s="15" t="s">
        <v>27</v>
      </c>
      <c r="G130" s="15" t="s">
        <v>35</v>
      </c>
      <c r="H130" s="15" t="s">
        <v>84</v>
      </c>
      <c r="I130" s="15" t="s">
        <v>100</v>
      </c>
      <c r="J130" s="15">
        <v>5</v>
      </c>
      <c r="K130" s="15">
        <v>8</v>
      </c>
      <c r="L130" s="15">
        <v>1</v>
      </c>
      <c r="M130" s="15"/>
      <c r="N130" s="15"/>
      <c r="O130" s="15"/>
      <c r="P130" s="15"/>
      <c r="Q130" s="15" t="s">
        <v>90</v>
      </c>
      <c r="R130" s="15">
        <v>80</v>
      </c>
      <c r="S130" s="15">
        <v>40</v>
      </c>
    </row>
    <row r="131" spans="2:19" x14ac:dyDescent="0.35">
      <c r="B131" s="15" t="s">
        <v>352</v>
      </c>
      <c r="C131" s="15" t="s">
        <v>353</v>
      </c>
      <c r="D131" s="15" t="s">
        <v>354</v>
      </c>
      <c r="E131" s="15" t="s">
        <v>35</v>
      </c>
      <c r="F131" s="15" t="s">
        <v>27</v>
      </c>
      <c r="G131" s="15" t="s">
        <v>35</v>
      </c>
      <c r="H131" s="15" t="s">
        <v>86</v>
      </c>
      <c r="I131" s="15" t="s">
        <v>100</v>
      </c>
      <c r="J131" s="15">
        <v>2</v>
      </c>
      <c r="K131" s="15">
        <v>8</v>
      </c>
      <c r="L131" s="15">
        <v>1</v>
      </c>
      <c r="M131" s="15"/>
      <c r="N131" s="15"/>
      <c r="O131" s="15"/>
      <c r="P131" s="15"/>
      <c r="Q131" s="15" t="s">
        <v>90</v>
      </c>
      <c r="R131" s="15">
        <v>80</v>
      </c>
      <c r="S131" s="15">
        <v>40</v>
      </c>
    </row>
    <row r="132" spans="2:19" x14ac:dyDescent="0.35">
      <c r="B132" s="15" t="s">
        <v>355</v>
      </c>
      <c r="C132" s="15" t="s">
        <v>356</v>
      </c>
      <c r="D132" s="15"/>
      <c r="E132" s="15" t="s">
        <v>35</v>
      </c>
      <c r="F132" s="15" t="s">
        <v>27</v>
      </c>
      <c r="G132" s="15" t="s">
        <v>35</v>
      </c>
      <c r="H132" s="15" t="s">
        <v>86</v>
      </c>
      <c r="I132" s="15" t="s">
        <v>100</v>
      </c>
      <c r="J132" s="15">
        <v>5</v>
      </c>
      <c r="K132" s="15">
        <v>8</v>
      </c>
      <c r="L132" s="15">
        <v>1</v>
      </c>
      <c r="M132" s="15"/>
      <c r="N132" s="15"/>
      <c r="O132" s="15"/>
      <c r="P132" s="15"/>
      <c r="Q132" s="15" t="s">
        <v>90</v>
      </c>
      <c r="R132" s="15">
        <v>80</v>
      </c>
      <c r="S132" s="15">
        <v>40</v>
      </c>
    </row>
    <row r="133" spans="2:19" x14ac:dyDescent="0.35">
      <c r="B133" s="15" t="s">
        <v>357</v>
      </c>
      <c r="C133" s="15" t="s">
        <v>358</v>
      </c>
      <c r="D133" s="15" t="s">
        <v>359</v>
      </c>
      <c r="E133" s="15" t="s">
        <v>35</v>
      </c>
      <c r="F133" s="15" t="s">
        <v>27</v>
      </c>
      <c r="G133" s="15" t="s">
        <v>35</v>
      </c>
      <c r="H133" s="15" t="s">
        <v>88</v>
      </c>
      <c r="I133" s="15" t="s">
        <v>100</v>
      </c>
      <c r="J133" s="15">
        <v>0</v>
      </c>
      <c r="K133" s="15">
        <v>8</v>
      </c>
      <c r="L133" s="15">
        <v>1</v>
      </c>
      <c r="M133" s="15"/>
      <c r="N133" s="15"/>
      <c r="O133" s="15"/>
      <c r="P133" s="15"/>
      <c r="Q133" s="15" t="s">
        <v>90</v>
      </c>
      <c r="R133" s="15">
        <v>80</v>
      </c>
      <c r="S133" s="15">
        <v>40</v>
      </c>
    </row>
    <row r="134" spans="2:19" x14ac:dyDescent="0.35">
      <c r="B134" s="15" t="s">
        <v>360</v>
      </c>
      <c r="C134" s="15" t="s">
        <v>361</v>
      </c>
      <c r="D134" s="15"/>
      <c r="E134" s="15" t="s">
        <v>35</v>
      </c>
      <c r="F134" s="15" t="s">
        <v>27</v>
      </c>
      <c r="G134" s="15" t="s">
        <v>35</v>
      </c>
      <c r="H134" s="15" t="s">
        <v>88</v>
      </c>
      <c r="I134" s="15" t="s">
        <v>100</v>
      </c>
      <c r="J134" s="15">
        <v>3</v>
      </c>
      <c r="K134" s="15">
        <v>8</v>
      </c>
      <c r="L134" s="15">
        <v>1</v>
      </c>
      <c r="M134" s="15"/>
      <c r="N134" s="15"/>
      <c r="O134" s="15"/>
      <c r="P134" s="15"/>
      <c r="Q134" s="15" t="s">
        <v>90</v>
      </c>
      <c r="R134" s="15">
        <v>80</v>
      </c>
      <c r="S134" s="15">
        <v>40</v>
      </c>
    </row>
    <row r="135" spans="2:19" x14ac:dyDescent="0.35">
      <c r="B135" s="15" t="s">
        <v>362</v>
      </c>
      <c r="C135" s="15" t="s">
        <v>363</v>
      </c>
      <c r="D135" s="15" t="s">
        <v>364</v>
      </c>
      <c r="E135" s="15" t="s">
        <v>35</v>
      </c>
      <c r="F135" s="15" t="s">
        <v>27</v>
      </c>
      <c r="G135" s="15" t="s">
        <v>35</v>
      </c>
      <c r="H135" s="15" t="s">
        <v>90</v>
      </c>
      <c r="I135" s="15" t="s">
        <v>100</v>
      </c>
      <c r="J135" s="15">
        <v>2</v>
      </c>
      <c r="K135" s="15">
        <v>8</v>
      </c>
      <c r="L135" s="15">
        <v>1</v>
      </c>
      <c r="M135" s="15"/>
      <c r="N135" s="15"/>
      <c r="O135" s="15"/>
      <c r="P135" s="15"/>
      <c r="Q135" s="15" t="s">
        <v>90</v>
      </c>
      <c r="R135" s="15">
        <v>80</v>
      </c>
      <c r="S135" s="15">
        <v>40</v>
      </c>
    </row>
    <row r="136" spans="2:19" x14ac:dyDescent="0.35">
      <c r="B136" s="15" t="s">
        <v>365</v>
      </c>
      <c r="C136" s="15" t="s">
        <v>366</v>
      </c>
      <c r="D136" s="15"/>
      <c r="E136" s="15" t="s">
        <v>35</v>
      </c>
      <c r="F136" s="15" t="s">
        <v>27</v>
      </c>
      <c r="G136" s="15" t="s">
        <v>35</v>
      </c>
      <c r="H136" s="15" t="s">
        <v>90</v>
      </c>
      <c r="I136" s="15" t="s">
        <v>100</v>
      </c>
      <c r="J136" s="15">
        <v>5</v>
      </c>
      <c r="K136" s="15">
        <v>8</v>
      </c>
      <c r="L136" s="15">
        <v>1</v>
      </c>
      <c r="M136" s="15"/>
      <c r="N136" s="15"/>
      <c r="O136" s="15"/>
      <c r="P136" s="15"/>
      <c r="Q136" s="15" t="s">
        <v>90</v>
      </c>
      <c r="R136" s="15">
        <v>80</v>
      </c>
      <c r="S136" s="15">
        <v>40</v>
      </c>
    </row>
    <row r="137" spans="2:19" x14ac:dyDescent="0.35">
      <c r="B137" s="15" t="s">
        <v>367</v>
      </c>
      <c r="C137" s="15" t="s">
        <v>368</v>
      </c>
      <c r="D137" s="15" t="s">
        <v>369</v>
      </c>
      <c r="E137" s="15" t="s">
        <v>35</v>
      </c>
      <c r="F137" s="15" t="s">
        <v>64</v>
      </c>
      <c r="G137" s="15" t="s">
        <v>35</v>
      </c>
      <c r="H137" s="15" t="s">
        <v>29</v>
      </c>
      <c r="I137" s="15" t="s">
        <v>100</v>
      </c>
      <c r="J137" s="15">
        <v>6</v>
      </c>
      <c r="K137" s="15">
        <v>8</v>
      </c>
      <c r="L137" s="15">
        <v>1</v>
      </c>
      <c r="M137" s="15"/>
      <c r="N137" s="15"/>
      <c r="O137" s="15"/>
      <c r="P137" s="15"/>
      <c r="Q137" s="15" t="s">
        <v>90</v>
      </c>
      <c r="R137" s="15">
        <v>80</v>
      </c>
      <c r="S137" s="15">
        <v>40</v>
      </c>
    </row>
    <row r="138" spans="2:19" x14ac:dyDescent="0.35">
      <c r="B138" s="15" t="s">
        <v>370</v>
      </c>
      <c r="C138" s="15" t="s">
        <v>371</v>
      </c>
      <c r="D138" s="15" t="s">
        <v>372</v>
      </c>
      <c r="E138" s="15" t="s">
        <v>35</v>
      </c>
      <c r="F138" s="15" t="s">
        <v>64</v>
      </c>
      <c r="G138" s="15" t="s">
        <v>35</v>
      </c>
      <c r="H138" s="15" t="s">
        <v>84</v>
      </c>
      <c r="I138" s="15" t="s">
        <v>100</v>
      </c>
      <c r="J138" s="15">
        <v>2</v>
      </c>
      <c r="K138" s="15">
        <v>8</v>
      </c>
      <c r="L138" s="15">
        <v>1</v>
      </c>
      <c r="M138" s="15"/>
      <c r="N138" s="15"/>
      <c r="O138" s="15"/>
      <c r="P138" s="15"/>
      <c r="Q138" s="15" t="s">
        <v>90</v>
      </c>
      <c r="R138" s="15">
        <v>80</v>
      </c>
      <c r="S138" s="15">
        <v>40</v>
      </c>
    </row>
    <row r="139" spans="2:19" x14ac:dyDescent="0.35">
      <c r="B139" s="15" t="s">
        <v>373</v>
      </c>
      <c r="C139" s="15" t="s">
        <v>374</v>
      </c>
      <c r="D139" s="15" t="s">
        <v>375</v>
      </c>
      <c r="E139" s="15" t="s">
        <v>35</v>
      </c>
      <c r="F139" s="15" t="s">
        <v>64</v>
      </c>
      <c r="G139" s="15" t="s">
        <v>35</v>
      </c>
      <c r="H139" s="15" t="s">
        <v>90</v>
      </c>
      <c r="I139" s="15" t="s">
        <v>100</v>
      </c>
      <c r="J139" s="15">
        <v>2</v>
      </c>
      <c r="K139" s="15">
        <v>8</v>
      </c>
      <c r="L139" s="15">
        <v>1</v>
      </c>
      <c r="M139" s="15"/>
      <c r="N139" s="15"/>
      <c r="O139" s="15"/>
      <c r="P139" s="15"/>
      <c r="Q139" s="15" t="s">
        <v>90</v>
      </c>
      <c r="R139" s="15">
        <v>80</v>
      </c>
      <c r="S139" s="15">
        <v>40</v>
      </c>
    </row>
    <row r="140" spans="2:19" x14ac:dyDescent="0.35">
      <c r="B140" s="15" t="s">
        <v>376</v>
      </c>
      <c r="C140" s="15" t="s">
        <v>377</v>
      </c>
      <c r="D140" s="15" t="s">
        <v>378</v>
      </c>
      <c r="E140" s="15" t="s">
        <v>35</v>
      </c>
      <c r="F140" s="15" t="s">
        <v>66</v>
      </c>
      <c r="G140" s="15" t="s">
        <v>35</v>
      </c>
      <c r="H140" s="15" t="s">
        <v>27</v>
      </c>
      <c r="I140" s="15" t="s">
        <v>100</v>
      </c>
      <c r="J140" s="15">
        <v>5</v>
      </c>
      <c r="K140" s="15">
        <v>8</v>
      </c>
      <c r="L140" s="15">
        <v>1</v>
      </c>
      <c r="M140" s="15"/>
      <c r="N140" s="15"/>
      <c r="O140" s="15"/>
      <c r="P140" s="15"/>
      <c r="Q140" s="15" t="s">
        <v>90</v>
      </c>
      <c r="R140" s="15">
        <v>80</v>
      </c>
      <c r="S140" s="15">
        <v>40</v>
      </c>
    </row>
    <row r="141" spans="2:19" x14ac:dyDescent="0.35">
      <c r="B141" s="15" t="s">
        <v>379</v>
      </c>
      <c r="C141" s="15" t="s">
        <v>380</v>
      </c>
      <c r="D141" s="15" t="s">
        <v>381</v>
      </c>
      <c r="E141" s="15" t="s">
        <v>35</v>
      </c>
      <c r="F141" s="15" t="s">
        <v>66</v>
      </c>
      <c r="G141" s="15" t="s">
        <v>35</v>
      </c>
      <c r="H141" s="15" t="s">
        <v>29</v>
      </c>
      <c r="I141" s="15" t="s">
        <v>100</v>
      </c>
      <c r="J141" s="15">
        <v>6</v>
      </c>
      <c r="K141" s="15">
        <v>8</v>
      </c>
      <c r="L141" s="15">
        <v>1</v>
      </c>
      <c r="M141" s="15"/>
      <c r="N141" s="15"/>
      <c r="O141" s="15"/>
      <c r="P141" s="15"/>
      <c r="Q141" s="15" t="s">
        <v>90</v>
      </c>
      <c r="R141" s="15">
        <v>80</v>
      </c>
      <c r="S141" s="15">
        <v>40</v>
      </c>
    </row>
    <row r="142" spans="2:19" x14ac:dyDescent="0.35">
      <c r="B142" s="15" t="s">
        <v>382</v>
      </c>
      <c r="C142" s="15" t="s">
        <v>383</v>
      </c>
      <c r="D142" s="15" t="s">
        <v>384</v>
      </c>
      <c r="E142" s="15" t="s">
        <v>35</v>
      </c>
      <c r="F142" s="15" t="s">
        <v>66</v>
      </c>
      <c r="G142" s="15" t="s">
        <v>35</v>
      </c>
      <c r="H142" s="15" t="s">
        <v>84</v>
      </c>
      <c r="I142" s="15" t="s">
        <v>100</v>
      </c>
      <c r="J142" s="15">
        <v>3</v>
      </c>
      <c r="K142" s="15">
        <v>8</v>
      </c>
      <c r="L142" s="15">
        <v>1</v>
      </c>
      <c r="M142" s="15"/>
      <c r="N142" s="15"/>
      <c r="O142" s="15"/>
      <c r="P142" s="15"/>
      <c r="Q142" s="15" t="s">
        <v>90</v>
      </c>
      <c r="R142" s="15">
        <v>80</v>
      </c>
      <c r="S142" s="15">
        <v>40</v>
      </c>
    </row>
    <row r="143" spans="2:19" x14ac:dyDescent="0.35">
      <c r="B143" s="15" t="s">
        <v>385</v>
      </c>
      <c r="C143" s="15" t="s">
        <v>386</v>
      </c>
      <c r="D143" s="15" t="s">
        <v>387</v>
      </c>
      <c r="E143" s="15" t="s">
        <v>35</v>
      </c>
      <c r="F143" s="15" t="s">
        <v>66</v>
      </c>
      <c r="G143" s="15" t="s">
        <v>35</v>
      </c>
      <c r="H143" s="15" t="s">
        <v>90</v>
      </c>
      <c r="I143" s="15" t="s">
        <v>100</v>
      </c>
      <c r="J143" s="15">
        <v>3</v>
      </c>
      <c r="K143" s="15">
        <v>8</v>
      </c>
      <c r="L143" s="15">
        <v>1</v>
      </c>
      <c r="M143" s="15"/>
      <c r="N143" s="15"/>
      <c r="O143" s="15"/>
      <c r="P143" s="15"/>
      <c r="Q143" s="15" t="s">
        <v>90</v>
      </c>
      <c r="R143" s="15">
        <v>80</v>
      </c>
      <c r="S143" s="15">
        <v>40</v>
      </c>
    </row>
    <row r="144" spans="2:19" x14ac:dyDescent="0.35">
      <c r="B144" s="15" t="s">
        <v>388</v>
      </c>
      <c r="C144" s="15" t="s">
        <v>389</v>
      </c>
      <c r="D144" s="15" t="s">
        <v>390</v>
      </c>
      <c r="E144" s="15" t="s">
        <v>35</v>
      </c>
      <c r="F144" s="15" t="s">
        <v>68</v>
      </c>
      <c r="G144" s="15" t="s">
        <v>35</v>
      </c>
      <c r="H144" s="15" t="s">
        <v>27</v>
      </c>
      <c r="I144" s="15" t="s">
        <v>100</v>
      </c>
      <c r="J144" s="15">
        <v>5</v>
      </c>
      <c r="K144" s="15">
        <v>8</v>
      </c>
      <c r="L144" s="15">
        <v>1</v>
      </c>
      <c r="M144" s="15"/>
      <c r="N144" s="15"/>
      <c r="O144" s="15"/>
      <c r="P144" s="15"/>
      <c r="Q144" s="15" t="s">
        <v>90</v>
      </c>
      <c r="R144" s="15">
        <v>80</v>
      </c>
      <c r="S144" s="15">
        <v>40</v>
      </c>
    </row>
    <row r="145" spans="2:19" x14ac:dyDescent="0.35">
      <c r="B145" s="15" t="s">
        <v>391</v>
      </c>
      <c r="C145" s="15" t="s">
        <v>392</v>
      </c>
      <c r="D145" s="15" t="s">
        <v>393</v>
      </c>
      <c r="E145" s="15" t="s">
        <v>35</v>
      </c>
      <c r="F145" s="15" t="s">
        <v>68</v>
      </c>
      <c r="G145" s="15" t="s">
        <v>35</v>
      </c>
      <c r="H145" s="15" t="s">
        <v>29</v>
      </c>
      <c r="I145" s="15" t="s">
        <v>100</v>
      </c>
      <c r="J145" s="15">
        <v>6</v>
      </c>
      <c r="K145" s="15">
        <v>8</v>
      </c>
      <c r="L145" s="15">
        <v>1</v>
      </c>
      <c r="M145" s="15"/>
      <c r="N145" s="15"/>
      <c r="O145" s="15"/>
      <c r="P145" s="15"/>
      <c r="Q145" s="15" t="s">
        <v>90</v>
      </c>
      <c r="R145" s="15">
        <v>80</v>
      </c>
      <c r="S145" s="15">
        <v>40</v>
      </c>
    </row>
    <row r="146" spans="2:19" x14ac:dyDescent="0.35">
      <c r="B146" s="15" t="s">
        <v>394</v>
      </c>
      <c r="C146" s="15" t="s">
        <v>395</v>
      </c>
      <c r="D146" s="15" t="s">
        <v>396</v>
      </c>
      <c r="E146" s="15" t="s">
        <v>35</v>
      </c>
      <c r="F146" s="15" t="s">
        <v>68</v>
      </c>
      <c r="G146" s="15" t="s">
        <v>35</v>
      </c>
      <c r="H146" s="15" t="s">
        <v>84</v>
      </c>
      <c r="I146" s="15" t="s">
        <v>100</v>
      </c>
      <c r="J146" s="15">
        <v>3</v>
      </c>
      <c r="K146" s="15">
        <v>8</v>
      </c>
      <c r="L146" s="15">
        <v>1</v>
      </c>
      <c r="M146" s="15"/>
      <c r="N146" s="15"/>
      <c r="O146" s="15"/>
      <c r="P146" s="15"/>
      <c r="Q146" s="15" t="s">
        <v>90</v>
      </c>
      <c r="R146" s="15">
        <v>80</v>
      </c>
      <c r="S146" s="15">
        <v>40</v>
      </c>
    </row>
    <row r="147" spans="2:19" x14ac:dyDescent="0.35">
      <c r="B147" s="15" t="s">
        <v>397</v>
      </c>
      <c r="C147" s="15" t="s">
        <v>398</v>
      </c>
      <c r="D147" s="15" t="s">
        <v>399</v>
      </c>
      <c r="E147" s="15" t="s">
        <v>35</v>
      </c>
      <c r="F147" s="15" t="s">
        <v>68</v>
      </c>
      <c r="G147" s="15" t="s">
        <v>35</v>
      </c>
      <c r="H147" s="15" t="s">
        <v>90</v>
      </c>
      <c r="I147" s="15" t="s">
        <v>100</v>
      </c>
      <c r="J147" s="15">
        <v>3</v>
      </c>
      <c r="K147" s="15">
        <v>8</v>
      </c>
      <c r="L147" s="15">
        <v>1</v>
      </c>
      <c r="M147" s="15"/>
      <c r="N147" s="15"/>
      <c r="O147" s="15"/>
      <c r="P147" s="15"/>
      <c r="Q147" s="15" t="s">
        <v>90</v>
      </c>
      <c r="R147" s="15">
        <v>80</v>
      </c>
      <c r="S147" s="15">
        <v>40</v>
      </c>
    </row>
    <row r="148" spans="2:19" x14ac:dyDescent="0.35">
      <c r="B148" s="15" t="s">
        <v>400</v>
      </c>
      <c r="C148" s="15" t="s">
        <v>400</v>
      </c>
      <c r="D148" s="15" t="s">
        <v>401</v>
      </c>
      <c r="E148" s="15" t="s">
        <v>35</v>
      </c>
      <c r="F148" s="15" t="s">
        <v>78</v>
      </c>
      <c r="G148" s="15" t="s">
        <v>35</v>
      </c>
      <c r="H148" s="15" t="s">
        <v>27</v>
      </c>
      <c r="I148" s="15" t="s">
        <v>100</v>
      </c>
      <c r="J148" s="15">
        <v>7</v>
      </c>
      <c r="K148" s="15">
        <v>8</v>
      </c>
      <c r="L148" s="15">
        <v>1</v>
      </c>
      <c r="M148" s="15"/>
      <c r="N148" s="15"/>
      <c r="O148" s="15"/>
      <c r="P148" s="15"/>
      <c r="Q148" s="15" t="s">
        <v>90</v>
      </c>
      <c r="R148" s="15">
        <v>80</v>
      </c>
      <c r="S148" s="15">
        <v>40</v>
      </c>
    </row>
    <row r="149" spans="2:19" x14ac:dyDescent="0.35">
      <c r="B149" s="15" t="s">
        <v>402</v>
      </c>
      <c r="C149" s="15" t="s">
        <v>402</v>
      </c>
      <c r="D149" s="15" t="s">
        <v>403</v>
      </c>
      <c r="E149" s="15" t="s">
        <v>35</v>
      </c>
      <c r="F149" s="15" t="s">
        <v>78</v>
      </c>
      <c r="G149" s="15" t="s">
        <v>35</v>
      </c>
      <c r="H149" s="15" t="s">
        <v>86</v>
      </c>
      <c r="I149" s="15" t="s">
        <v>100</v>
      </c>
      <c r="J149" s="15">
        <v>5</v>
      </c>
      <c r="K149" s="15">
        <v>8</v>
      </c>
      <c r="L149" s="15">
        <v>1</v>
      </c>
      <c r="M149" s="15"/>
      <c r="N149" s="15"/>
      <c r="O149" s="15"/>
      <c r="P149" s="15"/>
      <c r="Q149" s="15" t="s">
        <v>90</v>
      </c>
      <c r="R149" s="15">
        <v>80</v>
      </c>
      <c r="S149" s="15">
        <v>40</v>
      </c>
    </row>
    <row r="150" spans="2:19" x14ac:dyDescent="0.35">
      <c r="B150" s="15" t="s">
        <v>404</v>
      </c>
      <c r="C150" s="15" t="s">
        <v>404</v>
      </c>
      <c r="D150" s="15" t="s">
        <v>405</v>
      </c>
      <c r="E150" s="15" t="s">
        <v>35</v>
      </c>
      <c r="F150" s="15" t="s">
        <v>78</v>
      </c>
      <c r="G150" s="15" t="s">
        <v>35</v>
      </c>
      <c r="H150" s="15" t="s">
        <v>60</v>
      </c>
      <c r="I150" s="15" t="s">
        <v>100</v>
      </c>
      <c r="J150" s="15">
        <v>5</v>
      </c>
      <c r="K150" s="15">
        <v>8</v>
      </c>
      <c r="L150" s="15">
        <v>1</v>
      </c>
      <c r="M150" s="15"/>
      <c r="N150" s="15"/>
      <c r="O150" s="15"/>
      <c r="P150" s="15"/>
      <c r="Q150" s="15" t="s">
        <v>90</v>
      </c>
      <c r="R150" s="15">
        <v>80</v>
      </c>
      <c r="S150" s="15">
        <v>40</v>
      </c>
    </row>
    <row r="151" spans="2:19" x14ac:dyDescent="0.35">
      <c r="B151" s="15" t="s">
        <v>406</v>
      </c>
      <c r="C151" s="15" t="s">
        <v>406</v>
      </c>
      <c r="D151" s="15" t="s">
        <v>407</v>
      </c>
      <c r="E151" s="15" t="s">
        <v>35</v>
      </c>
      <c r="F151" s="15" t="s">
        <v>70</v>
      </c>
      <c r="G151" s="15" t="s">
        <v>35</v>
      </c>
      <c r="H151" s="15" t="s">
        <v>27</v>
      </c>
      <c r="I151" s="15" t="s">
        <v>100</v>
      </c>
      <c r="J151" s="15">
        <v>7</v>
      </c>
      <c r="K151" s="15">
        <v>8</v>
      </c>
      <c r="L151" s="15">
        <v>1</v>
      </c>
      <c r="M151" s="15"/>
      <c r="N151" s="15"/>
      <c r="O151" s="15"/>
      <c r="P151" s="15"/>
      <c r="Q151" s="15" t="s">
        <v>90</v>
      </c>
      <c r="R151" s="15">
        <v>80</v>
      </c>
      <c r="S151" s="15">
        <v>40</v>
      </c>
    </row>
    <row r="152" spans="2:19" x14ac:dyDescent="0.35">
      <c r="B152" s="15" t="s">
        <v>3</v>
      </c>
      <c r="C152" s="15" t="s">
        <v>3</v>
      </c>
      <c r="D152" s="15" t="s">
        <v>408</v>
      </c>
      <c r="E152" s="15" t="s">
        <v>35</v>
      </c>
      <c r="F152" s="15" t="s">
        <v>70</v>
      </c>
      <c r="G152" s="15" t="s">
        <v>35</v>
      </c>
      <c r="H152" s="15" t="s">
        <v>84</v>
      </c>
      <c r="I152" s="15" t="s">
        <v>100</v>
      </c>
      <c r="J152" s="15">
        <v>4</v>
      </c>
      <c r="K152" s="15">
        <v>8</v>
      </c>
      <c r="L152" s="15">
        <v>1</v>
      </c>
      <c r="M152" s="15"/>
      <c r="N152" s="15"/>
      <c r="O152" s="15"/>
      <c r="P152" s="15"/>
      <c r="Q152" s="15" t="s">
        <v>90</v>
      </c>
      <c r="R152" s="15">
        <v>80</v>
      </c>
      <c r="S152" s="15">
        <v>40</v>
      </c>
    </row>
    <row r="153" spans="2:19" x14ac:dyDescent="0.35">
      <c r="B153" s="15" t="s">
        <v>409</v>
      </c>
      <c r="C153" s="15" t="s">
        <v>409</v>
      </c>
      <c r="D153" s="15" t="s">
        <v>410</v>
      </c>
      <c r="E153" s="15" t="s">
        <v>35</v>
      </c>
      <c r="F153" s="15" t="s">
        <v>70</v>
      </c>
      <c r="G153" s="15" t="s">
        <v>35</v>
      </c>
      <c r="H153" s="15" t="s">
        <v>90</v>
      </c>
      <c r="I153" s="15" t="s">
        <v>100</v>
      </c>
      <c r="J153" s="15">
        <v>4</v>
      </c>
      <c r="K153" s="15">
        <v>8</v>
      </c>
      <c r="L153" s="15">
        <v>1</v>
      </c>
      <c r="M153" s="15"/>
      <c r="N153" s="15"/>
      <c r="O153" s="15"/>
      <c r="P153" s="15"/>
      <c r="Q153" s="15" t="s">
        <v>90</v>
      </c>
      <c r="R153" s="15">
        <v>80</v>
      </c>
      <c r="S153" s="15">
        <v>40</v>
      </c>
    </row>
    <row r="154" spans="2:19" x14ac:dyDescent="0.35">
      <c r="B154" s="15" t="s">
        <v>411</v>
      </c>
      <c r="C154" s="15" t="s">
        <v>411</v>
      </c>
      <c r="D154" s="15" t="s">
        <v>412</v>
      </c>
      <c r="E154" s="15" t="s">
        <v>35</v>
      </c>
      <c r="F154" s="15" t="s">
        <v>70</v>
      </c>
      <c r="G154" s="15" t="s">
        <v>35</v>
      </c>
      <c r="H154" s="15" t="s">
        <v>29</v>
      </c>
      <c r="I154" s="15" t="s">
        <v>100</v>
      </c>
      <c r="J154" s="15">
        <v>7</v>
      </c>
      <c r="K154" s="15">
        <v>8</v>
      </c>
      <c r="L154" s="15">
        <v>1</v>
      </c>
      <c r="M154" s="15"/>
      <c r="N154" s="15"/>
      <c r="O154" s="15"/>
      <c r="P154" s="15"/>
      <c r="Q154" s="15" t="s">
        <v>90</v>
      </c>
      <c r="R154" s="15">
        <v>80</v>
      </c>
      <c r="S154" s="15">
        <v>40</v>
      </c>
    </row>
    <row r="155" spans="2:19" x14ac:dyDescent="0.35">
      <c r="B155" s="15" t="s">
        <v>413</v>
      </c>
      <c r="C155" s="15" t="s">
        <v>414</v>
      </c>
      <c r="D155" s="15" t="s">
        <v>415</v>
      </c>
      <c r="E155" s="15" t="s">
        <v>35</v>
      </c>
      <c r="F155" s="15" t="s">
        <v>29</v>
      </c>
      <c r="G155" s="15" t="s">
        <v>35</v>
      </c>
      <c r="H155" s="15" t="s">
        <v>82</v>
      </c>
      <c r="I155" s="15" t="s">
        <v>100</v>
      </c>
      <c r="J155" s="15">
        <v>1</v>
      </c>
      <c r="K155" s="15">
        <v>8</v>
      </c>
      <c r="L155" s="15">
        <v>1</v>
      </c>
      <c r="M155" s="15"/>
      <c r="N155" s="15"/>
      <c r="O155" s="15"/>
      <c r="P155" s="15"/>
      <c r="Q155" s="15" t="s">
        <v>90</v>
      </c>
      <c r="R155" s="15">
        <v>80</v>
      </c>
      <c r="S155" s="15">
        <v>40</v>
      </c>
    </row>
    <row r="156" spans="2:19" x14ac:dyDescent="0.35">
      <c r="B156" s="15" t="s">
        <v>416</v>
      </c>
      <c r="C156" s="15" t="s">
        <v>417</v>
      </c>
      <c r="D156" s="15"/>
      <c r="E156" s="15" t="s">
        <v>35</v>
      </c>
      <c r="F156" s="15" t="s">
        <v>29</v>
      </c>
      <c r="G156" s="15" t="s">
        <v>35</v>
      </c>
      <c r="H156" s="15" t="s">
        <v>82</v>
      </c>
      <c r="I156" s="15" t="s">
        <v>100</v>
      </c>
      <c r="J156" s="15">
        <v>3</v>
      </c>
      <c r="K156" s="15">
        <v>8</v>
      </c>
      <c r="L156" s="15">
        <v>1</v>
      </c>
      <c r="M156" s="15"/>
      <c r="N156" s="15"/>
      <c r="O156" s="15"/>
      <c r="P156" s="15"/>
      <c r="Q156" s="15" t="s">
        <v>90</v>
      </c>
      <c r="R156" s="15">
        <v>80</v>
      </c>
      <c r="S156" s="15">
        <v>40</v>
      </c>
    </row>
    <row r="157" spans="2:19" x14ac:dyDescent="0.35">
      <c r="B157" s="15" t="s">
        <v>0</v>
      </c>
      <c r="C157" s="15" t="s">
        <v>98</v>
      </c>
      <c r="D157" s="15" t="s">
        <v>99</v>
      </c>
      <c r="E157" s="15" t="s">
        <v>35</v>
      </c>
      <c r="F157" s="15" t="s">
        <v>29</v>
      </c>
      <c r="G157" s="15" t="s">
        <v>35</v>
      </c>
      <c r="H157" s="15" t="s">
        <v>84</v>
      </c>
      <c r="I157" s="15" t="s">
        <v>100</v>
      </c>
      <c r="J157" s="15">
        <v>1</v>
      </c>
      <c r="K157" s="15">
        <v>8</v>
      </c>
      <c r="L157" s="15">
        <v>1</v>
      </c>
      <c r="M157" s="15"/>
      <c r="N157" s="15"/>
      <c r="O157" s="15"/>
      <c r="P157" s="15"/>
      <c r="Q157" s="15" t="s">
        <v>90</v>
      </c>
      <c r="R157" s="15">
        <v>80</v>
      </c>
      <c r="S157" s="15">
        <v>40</v>
      </c>
    </row>
    <row r="158" spans="2:19" x14ac:dyDescent="0.35">
      <c r="B158" s="15" t="s">
        <v>418</v>
      </c>
      <c r="C158" s="15" t="s">
        <v>419</v>
      </c>
      <c r="D158" s="15"/>
      <c r="E158" s="15" t="s">
        <v>35</v>
      </c>
      <c r="F158" s="15" t="s">
        <v>29</v>
      </c>
      <c r="G158" s="15" t="s">
        <v>35</v>
      </c>
      <c r="H158" s="15" t="s">
        <v>84</v>
      </c>
      <c r="I158" s="15" t="s">
        <v>100</v>
      </c>
      <c r="J158" s="15">
        <v>2</v>
      </c>
      <c r="K158" s="15">
        <v>8</v>
      </c>
      <c r="L158" s="15">
        <v>1</v>
      </c>
      <c r="M158" s="15"/>
      <c r="N158" s="15"/>
      <c r="O158" s="15"/>
      <c r="P158" s="15"/>
      <c r="Q158" s="15" t="s">
        <v>90</v>
      </c>
      <c r="R158" s="15">
        <v>80</v>
      </c>
      <c r="S158" s="15">
        <v>40</v>
      </c>
    </row>
    <row r="159" spans="2:19" x14ac:dyDescent="0.35">
      <c r="B159" s="15" t="s">
        <v>420</v>
      </c>
      <c r="C159" s="15" t="s">
        <v>421</v>
      </c>
      <c r="D159" s="15" t="s">
        <v>422</v>
      </c>
      <c r="E159" s="15" t="s">
        <v>35</v>
      </c>
      <c r="F159" s="15" t="s">
        <v>29</v>
      </c>
      <c r="G159" s="15" t="s">
        <v>35</v>
      </c>
      <c r="H159" s="15" t="s">
        <v>86</v>
      </c>
      <c r="I159" s="15" t="s">
        <v>100</v>
      </c>
      <c r="J159" s="15">
        <v>1</v>
      </c>
      <c r="K159" s="15">
        <v>8</v>
      </c>
      <c r="L159" s="15">
        <v>1</v>
      </c>
      <c r="M159" s="15"/>
      <c r="N159" s="15"/>
      <c r="O159" s="15"/>
      <c r="P159" s="15"/>
      <c r="Q159" s="15" t="s">
        <v>90</v>
      </c>
      <c r="R159" s="15">
        <v>80</v>
      </c>
      <c r="S159" s="15">
        <v>40</v>
      </c>
    </row>
    <row r="160" spans="2:19" x14ac:dyDescent="0.35">
      <c r="B160" s="15" t="s">
        <v>423</v>
      </c>
      <c r="C160" s="15" t="s">
        <v>424</v>
      </c>
      <c r="D160" s="15"/>
      <c r="E160" s="15" t="s">
        <v>35</v>
      </c>
      <c r="F160" s="15" t="s">
        <v>29</v>
      </c>
      <c r="G160" s="15" t="s">
        <v>35</v>
      </c>
      <c r="H160" s="15" t="s">
        <v>86</v>
      </c>
      <c r="I160" s="15" t="s">
        <v>100</v>
      </c>
      <c r="J160" s="15">
        <v>3</v>
      </c>
      <c r="K160" s="15">
        <v>8</v>
      </c>
      <c r="L160" s="15">
        <v>1</v>
      </c>
      <c r="M160" s="15"/>
      <c r="N160" s="15"/>
      <c r="O160" s="15"/>
      <c r="P160" s="15"/>
      <c r="Q160" s="15" t="s">
        <v>90</v>
      </c>
      <c r="R160" s="15">
        <v>80</v>
      </c>
      <c r="S160" s="15">
        <v>40</v>
      </c>
    </row>
    <row r="161" spans="2:19" x14ac:dyDescent="0.35">
      <c r="B161" s="15" t="s">
        <v>425</v>
      </c>
      <c r="C161" s="15" t="s">
        <v>426</v>
      </c>
      <c r="D161" s="15" t="s">
        <v>427</v>
      </c>
      <c r="E161" s="15" t="s">
        <v>35</v>
      </c>
      <c r="F161" s="15" t="s">
        <v>29</v>
      </c>
      <c r="G161" s="15" t="s">
        <v>35</v>
      </c>
      <c r="H161" s="15" t="s">
        <v>88</v>
      </c>
      <c r="I161" s="15" t="s">
        <v>100</v>
      </c>
      <c r="J161" s="15">
        <v>0</v>
      </c>
      <c r="K161" s="15">
        <v>8</v>
      </c>
      <c r="L161" s="15">
        <v>1</v>
      </c>
      <c r="M161" s="15"/>
      <c r="N161" s="15"/>
      <c r="O161" s="15"/>
      <c r="P161" s="15"/>
      <c r="Q161" s="15" t="s">
        <v>90</v>
      </c>
      <c r="R161" s="15">
        <v>80</v>
      </c>
      <c r="S161" s="15">
        <v>40</v>
      </c>
    </row>
    <row r="162" spans="2:19" x14ac:dyDescent="0.35">
      <c r="B162" s="15" t="s">
        <v>428</v>
      </c>
      <c r="C162" s="15" t="s">
        <v>429</v>
      </c>
      <c r="D162" s="15"/>
      <c r="E162" s="15" t="s">
        <v>35</v>
      </c>
      <c r="F162" s="15" t="s">
        <v>29</v>
      </c>
      <c r="G162" s="15" t="s">
        <v>35</v>
      </c>
      <c r="H162" s="15" t="s">
        <v>88</v>
      </c>
      <c r="I162" s="15" t="s">
        <v>100</v>
      </c>
      <c r="J162" s="15">
        <v>1</v>
      </c>
      <c r="K162" s="15">
        <v>8</v>
      </c>
      <c r="L162" s="15">
        <v>1</v>
      </c>
      <c r="M162" s="15"/>
      <c r="N162" s="15"/>
      <c r="O162" s="15"/>
      <c r="P162" s="15"/>
      <c r="Q162" s="15" t="s">
        <v>90</v>
      </c>
      <c r="R162" s="15">
        <v>80</v>
      </c>
      <c r="S162" s="15">
        <v>40</v>
      </c>
    </row>
    <row r="163" spans="2:19" x14ac:dyDescent="0.35">
      <c r="B163" s="15" t="s">
        <v>430</v>
      </c>
      <c r="C163" s="15" t="s">
        <v>431</v>
      </c>
      <c r="D163" s="15" t="s">
        <v>432</v>
      </c>
      <c r="E163" s="15" t="s">
        <v>35</v>
      </c>
      <c r="F163" s="15" t="s">
        <v>29</v>
      </c>
      <c r="G163" s="15" t="s">
        <v>35</v>
      </c>
      <c r="H163" s="15" t="s">
        <v>90</v>
      </c>
      <c r="I163" s="15" t="s">
        <v>100</v>
      </c>
      <c r="J163" s="15">
        <v>1</v>
      </c>
      <c r="K163" s="15">
        <v>8</v>
      </c>
      <c r="L163" s="15">
        <v>1</v>
      </c>
      <c r="M163" s="15"/>
      <c r="N163" s="15"/>
      <c r="O163" s="15"/>
      <c r="P163" s="15"/>
      <c r="Q163" s="15" t="s">
        <v>90</v>
      </c>
      <c r="R163" s="15">
        <v>80</v>
      </c>
      <c r="S163" s="15">
        <v>40</v>
      </c>
    </row>
    <row r="164" spans="2:19" x14ac:dyDescent="0.35">
      <c r="B164" s="15" t="s">
        <v>433</v>
      </c>
      <c r="C164" s="15" t="s">
        <v>434</v>
      </c>
      <c r="D164" s="15"/>
      <c r="E164" s="15" t="s">
        <v>35</v>
      </c>
      <c r="F164" s="15" t="s">
        <v>29</v>
      </c>
      <c r="G164" s="15" t="s">
        <v>35</v>
      </c>
      <c r="H164" s="15" t="s">
        <v>90</v>
      </c>
      <c r="I164" s="15" t="s">
        <v>100</v>
      </c>
      <c r="J164" s="15">
        <v>3</v>
      </c>
      <c r="K164" s="15">
        <v>8</v>
      </c>
      <c r="L164" s="15">
        <v>1</v>
      </c>
      <c r="M164" s="15"/>
      <c r="N164" s="15"/>
      <c r="O164" s="15"/>
      <c r="P164" s="15"/>
      <c r="Q164" s="15" t="s">
        <v>90</v>
      </c>
      <c r="R164" s="15">
        <v>80</v>
      </c>
      <c r="S164" s="15">
        <v>40</v>
      </c>
    </row>
    <row r="165" spans="2:19" x14ac:dyDescent="0.35">
      <c r="B165" s="15" t="s">
        <v>435</v>
      </c>
      <c r="C165" s="15" t="s">
        <v>436</v>
      </c>
      <c r="D165" s="15" t="s">
        <v>437</v>
      </c>
      <c r="E165" s="15" t="s">
        <v>35</v>
      </c>
      <c r="F165" s="15" t="s">
        <v>72</v>
      </c>
      <c r="G165" s="15" t="s">
        <v>35</v>
      </c>
      <c r="H165" s="15" t="s">
        <v>29</v>
      </c>
      <c r="I165" s="15" t="s">
        <v>100</v>
      </c>
      <c r="J165" s="15">
        <v>8</v>
      </c>
      <c r="K165" s="15">
        <v>8</v>
      </c>
      <c r="L165" s="15">
        <v>1</v>
      </c>
      <c r="M165" s="15"/>
      <c r="N165" s="15"/>
      <c r="O165" s="15"/>
      <c r="P165" s="15"/>
      <c r="Q165" s="15" t="s">
        <v>90</v>
      </c>
      <c r="R165" s="15">
        <v>80</v>
      </c>
      <c r="S165" s="15">
        <v>40</v>
      </c>
    </row>
    <row r="166" spans="2:19" x14ac:dyDescent="0.35">
      <c r="B166" s="15" t="s">
        <v>438</v>
      </c>
      <c r="C166" s="15" t="s">
        <v>439</v>
      </c>
      <c r="D166" s="15" t="s">
        <v>440</v>
      </c>
      <c r="E166" s="15" t="s">
        <v>35</v>
      </c>
      <c r="F166" s="15" t="s">
        <v>74</v>
      </c>
      <c r="G166" s="15" t="s">
        <v>35</v>
      </c>
      <c r="H166" s="15" t="s">
        <v>29</v>
      </c>
      <c r="I166" s="15" t="s">
        <v>100</v>
      </c>
      <c r="J166" s="15">
        <v>8</v>
      </c>
      <c r="K166" s="15">
        <v>8</v>
      </c>
      <c r="L166" s="15">
        <v>1</v>
      </c>
      <c r="M166" s="15"/>
      <c r="N166" s="15"/>
      <c r="O166" s="15"/>
      <c r="P166" s="15"/>
      <c r="Q166" s="15" t="s">
        <v>90</v>
      </c>
      <c r="R166" s="15">
        <v>80</v>
      </c>
      <c r="S166" s="15">
        <v>40</v>
      </c>
    </row>
    <row r="167" spans="2:19" x14ac:dyDescent="0.35">
      <c r="B167" s="15" t="s">
        <v>441</v>
      </c>
      <c r="C167" s="15" t="s">
        <v>442</v>
      </c>
      <c r="D167" s="15" t="s">
        <v>443</v>
      </c>
      <c r="E167" s="15" t="s">
        <v>35</v>
      </c>
      <c r="F167" s="15" t="s">
        <v>74</v>
      </c>
      <c r="G167" s="15" t="s">
        <v>35</v>
      </c>
      <c r="H167" s="15" t="s">
        <v>84</v>
      </c>
      <c r="I167" s="15" t="s">
        <v>100</v>
      </c>
      <c r="J167" s="15">
        <v>6</v>
      </c>
      <c r="K167" s="15">
        <v>8</v>
      </c>
      <c r="L167" s="15">
        <v>1</v>
      </c>
      <c r="M167" s="15"/>
      <c r="N167" s="15"/>
      <c r="O167" s="15"/>
      <c r="P167" s="15"/>
      <c r="Q167" s="15" t="s">
        <v>90</v>
      </c>
      <c r="R167" s="15">
        <v>80</v>
      </c>
      <c r="S167" s="15">
        <v>40</v>
      </c>
    </row>
    <row r="168" spans="2:19" x14ac:dyDescent="0.35">
      <c r="B168" s="15" t="s">
        <v>444</v>
      </c>
      <c r="C168" s="15" t="s">
        <v>445</v>
      </c>
      <c r="D168" s="15" t="s">
        <v>446</v>
      </c>
      <c r="E168" s="15" t="s">
        <v>35</v>
      </c>
      <c r="F168" s="15" t="s">
        <v>74</v>
      </c>
      <c r="G168" s="15" t="s">
        <v>35</v>
      </c>
      <c r="H168" s="15" t="s">
        <v>90</v>
      </c>
      <c r="I168" s="15" t="s">
        <v>100</v>
      </c>
      <c r="J168" s="15">
        <v>6</v>
      </c>
      <c r="K168" s="15">
        <v>8</v>
      </c>
      <c r="L168" s="15">
        <v>1</v>
      </c>
      <c r="M168" s="15"/>
      <c r="N168" s="15"/>
      <c r="O168" s="15"/>
      <c r="P168" s="15"/>
      <c r="Q168" s="15" t="s">
        <v>90</v>
      </c>
      <c r="R168" s="15">
        <v>80</v>
      </c>
      <c r="S168" s="15">
        <v>40</v>
      </c>
    </row>
    <row r="169" spans="2:19" x14ac:dyDescent="0.35">
      <c r="B169" s="15" t="s">
        <v>447</v>
      </c>
      <c r="C169" s="15" t="s">
        <v>448</v>
      </c>
      <c r="D169" s="15" t="s">
        <v>449</v>
      </c>
      <c r="E169" s="15" t="s">
        <v>35</v>
      </c>
      <c r="F169" s="15" t="s">
        <v>76</v>
      </c>
      <c r="G169" s="15" t="s">
        <v>35</v>
      </c>
      <c r="H169" s="15" t="s">
        <v>29</v>
      </c>
      <c r="I169" s="15" t="s">
        <v>100</v>
      </c>
      <c r="J169" s="15">
        <v>6</v>
      </c>
      <c r="K169" s="15">
        <v>8</v>
      </c>
      <c r="L169" s="15">
        <v>1</v>
      </c>
      <c r="M169" s="15"/>
      <c r="N169" s="15"/>
      <c r="O169" s="15"/>
      <c r="P169" s="15"/>
      <c r="Q169" s="15" t="s">
        <v>90</v>
      </c>
      <c r="R169" s="15">
        <v>80</v>
      </c>
      <c r="S169" s="15">
        <v>40</v>
      </c>
    </row>
    <row r="170" spans="2:19" x14ac:dyDescent="0.35">
      <c r="B170" s="15" t="s">
        <v>450</v>
      </c>
      <c r="C170" s="15" t="s">
        <v>451</v>
      </c>
      <c r="D170" s="15" t="s">
        <v>452</v>
      </c>
      <c r="E170" s="15" t="s">
        <v>35</v>
      </c>
      <c r="F170" s="15" t="s">
        <v>76</v>
      </c>
      <c r="G170" s="15" t="s">
        <v>35</v>
      </c>
      <c r="H170" s="15" t="s">
        <v>84</v>
      </c>
      <c r="I170" s="15" t="s">
        <v>100</v>
      </c>
      <c r="J170" s="15">
        <v>2</v>
      </c>
      <c r="K170" s="15">
        <v>8</v>
      </c>
      <c r="L170" s="15">
        <v>1</v>
      </c>
      <c r="M170" s="15"/>
      <c r="N170" s="15"/>
      <c r="O170" s="15"/>
      <c r="P170" s="15"/>
      <c r="Q170" s="15" t="s">
        <v>90</v>
      </c>
      <c r="R170" s="15">
        <v>80</v>
      </c>
      <c r="S170" s="15">
        <v>40</v>
      </c>
    </row>
    <row r="171" spans="2:19" x14ac:dyDescent="0.35">
      <c r="B171" s="15" t="s">
        <v>453</v>
      </c>
      <c r="C171" s="15" t="s">
        <v>454</v>
      </c>
      <c r="D171" s="15" t="s">
        <v>455</v>
      </c>
      <c r="E171" s="15" t="s">
        <v>35</v>
      </c>
      <c r="F171" s="15" t="s">
        <v>76</v>
      </c>
      <c r="G171" s="15" t="s">
        <v>35</v>
      </c>
      <c r="H171" s="15" t="s">
        <v>90</v>
      </c>
      <c r="I171" s="15" t="s">
        <v>100</v>
      </c>
      <c r="J171" s="15">
        <v>2</v>
      </c>
      <c r="K171" s="15">
        <v>8</v>
      </c>
      <c r="L171" s="15">
        <v>1</v>
      </c>
      <c r="M171" s="15"/>
      <c r="N171" s="15"/>
      <c r="O171" s="15"/>
      <c r="P171" s="15"/>
      <c r="Q171" s="15" t="s">
        <v>90</v>
      </c>
      <c r="R171" s="15">
        <v>80</v>
      </c>
      <c r="S171" s="15">
        <v>40</v>
      </c>
    </row>
    <row r="172" spans="2:19" x14ac:dyDescent="0.35">
      <c r="B172" s="15" t="s">
        <v>456</v>
      </c>
      <c r="C172" s="15" t="s">
        <v>457</v>
      </c>
      <c r="D172" s="15" t="s">
        <v>458</v>
      </c>
      <c r="E172" s="15" t="s">
        <v>35</v>
      </c>
      <c r="F172" s="15" t="s">
        <v>78</v>
      </c>
      <c r="G172" s="15" t="s">
        <v>35</v>
      </c>
      <c r="H172" s="15" t="s">
        <v>29</v>
      </c>
      <c r="I172" s="15" t="s">
        <v>100</v>
      </c>
      <c r="J172" s="15">
        <v>8</v>
      </c>
      <c r="K172" s="15">
        <v>8</v>
      </c>
      <c r="L172" s="15">
        <v>1</v>
      </c>
      <c r="M172" s="15"/>
      <c r="N172" s="15"/>
      <c r="O172" s="15"/>
      <c r="P172" s="15"/>
      <c r="Q172" s="15" t="s">
        <v>90</v>
      </c>
      <c r="R172" s="15">
        <v>80</v>
      </c>
      <c r="S172" s="15">
        <v>40</v>
      </c>
    </row>
    <row r="173" spans="2:19" x14ac:dyDescent="0.35">
      <c r="B173" s="15" t="s">
        <v>459</v>
      </c>
      <c r="C173" s="15" t="s">
        <v>460</v>
      </c>
      <c r="D173" s="15" t="s">
        <v>461</v>
      </c>
      <c r="E173" s="15" t="s">
        <v>35</v>
      </c>
      <c r="F173" s="15" t="s">
        <v>78</v>
      </c>
      <c r="G173" s="15" t="s">
        <v>35</v>
      </c>
      <c r="H173" s="15" t="s">
        <v>82</v>
      </c>
      <c r="I173" s="15" t="s">
        <v>100</v>
      </c>
      <c r="J173" s="15">
        <v>5</v>
      </c>
      <c r="K173" s="15">
        <v>8</v>
      </c>
      <c r="L173" s="15">
        <v>1</v>
      </c>
      <c r="M173" s="15"/>
      <c r="N173" s="15"/>
      <c r="O173" s="15"/>
      <c r="P173" s="15"/>
      <c r="Q173" s="15" t="s">
        <v>90</v>
      </c>
      <c r="R173" s="15">
        <v>80</v>
      </c>
      <c r="S173" s="15">
        <v>40</v>
      </c>
    </row>
    <row r="174" spans="2:19" x14ac:dyDescent="0.35">
      <c r="B174" s="15" t="s">
        <v>2</v>
      </c>
      <c r="C174" s="15" t="s">
        <v>462</v>
      </c>
      <c r="D174" s="15" t="s">
        <v>463</v>
      </c>
      <c r="E174" s="15" t="s">
        <v>35</v>
      </c>
      <c r="F174" s="15" t="s">
        <v>78</v>
      </c>
      <c r="G174" s="15" t="s">
        <v>35</v>
      </c>
      <c r="H174" s="15" t="s">
        <v>84</v>
      </c>
      <c r="I174" s="15" t="s">
        <v>100</v>
      </c>
      <c r="J174" s="15">
        <v>5</v>
      </c>
      <c r="K174" s="15">
        <v>8</v>
      </c>
      <c r="L174" s="15">
        <v>1</v>
      </c>
      <c r="M174" s="15"/>
      <c r="N174" s="15"/>
      <c r="O174" s="15"/>
      <c r="P174" s="15"/>
      <c r="Q174" s="15" t="s">
        <v>90</v>
      </c>
      <c r="R174" s="15">
        <v>80</v>
      </c>
      <c r="S174" s="15">
        <v>40</v>
      </c>
    </row>
    <row r="175" spans="2:19" x14ac:dyDescent="0.35">
      <c r="B175" s="15" t="s">
        <v>464</v>
      </c>
      <c r="C175" s="15" t="s">
        <v>465</v>
      </c>
      <c r="D175" s="15" t="s">
        <v>466</v>
      </c>
      <c r="E175" s="15" t="s">
        <v>35</v>
      </c>
      <c r="F175" s="15" t="s">
        <v>78</v>
      </c>
      <c r="G175" s="15" t="s">
        <v>35</v>
      </c>
      <c r="H175" s="15" t="s">
        <v>88</v>
      </c>
      <c r="I175" s="15" t="s">
        <v>100</v>
      </c>
      <c r="J175" s="15">
        <v>3</v>
      </c>
      <c r="K175" s="15">
        <v>8</v>
      </c>
      <c r="L175" s="15">
        <v>1</v>
      </c>
      <c r="M175" s="15"/>
      <c r="N175" s="15"/>
      <c r="O175" s="15"/>
      <c r="P175" s="15"/>
      <c r="Q175" s="15" t="s">
        <v>90</v>
      </c>
      <c r="R175" s="15">
        <v>80</v>
      </c>
      <c r="S175" s="15">
        <v>40</v>
      </c>
    </row>
    <row r="176" spans="2:19" x14ac:dyDescent="0.35">
      <c r="B176" s="15" t="s">
        <v>467</v>
      </c>
      <c r="C176" s="15" t="s">
        <v>468</v>
      </c>
      <c r="D176" s="15" t="s">
        <v>469</v>
      </c>
      <c r="E176" s="15" t="s">
        <v>35</v>
      </c>
      <c r="F176" s="15" t="s">
        <v>78</v>
      </c>
      <c r="G176" s="15" t="s">
        <v>35</v>
      </c>
      <c r="H176" s="15" t="s">
        <v>90</v>
      </c>
      <c r="I176" s="15" t="s">
        <v>100</v>
      </c>
      <c r="J176" s="15">
        <v>5</v>
      </c>
      <c r="K176" s="15">
        <v>8</v>
      </c>
      <c r="L176" s="15">
        <v>1</v>
      </c>
      <c r="M176" s="15"/>
      <c r="N176" s="15"/>
      <c r="O176" s="15"/>
      <c r="P176" s="15"/>
      <c r="Q176" s="15" t="s">
        <v>90</v>
      </c>
      <c r="R176" s="15">
        <v>80</v>
      </c>
      <c r="S176" s="15">
        <v>40</v>
      </c>
    </row>
    <row r="177" spans="2:19" x14ac:dyDescent="0.35">
      <c r="B177" s="15" t="s">
        <v>470</v>
      </c>
      <c r="C177" s="15" t="s">
        <v>471</v>
      </c>
      <c r="D177" s="15" t="s">
        <v>472</v>
      </c>
      <c r="E177" s="15" t="s">
        <v>35</v>
      </c>
      <c r="F177" s="15" t="s">
        <v>80</v>
      </c>
      <c r="G177" s="15" t="s">
        <v>35</v>
      </c>
      <c r="H177" s="15" t="s">
        <v>29</v>
      </c>
      <c r="I177" s="15" t="s">
        <v>100</v>
      </c>
      <c r="J177" s="15">
        <v>5</v>
      </c>
      <c r="K177" s="15">
        <v>8</v>
      </c>
      <c r="L177" s="15">
        <v>1</v>
      </c>
      <c r="M177" s="15"/>
      <c r="N177" s="15"/>
      <c r="O177" s="15"/>
      <c r="P177" s="15"/>
      <c r="Q177" s="15" t="s">
        <v>90</v>
      </c>
      <c r="R177" s="15">
        <v>80</v>
      </c>
      <c r="S177" s="15">
        <v>40</v>
      </c>
    </row>
    <row r="178" spans="2:19" x14ac:dyDescent="0.35">
      <c r="B178" s="15" t="s">
        <v>473</v>
      </c>
      <c r="C178" s="15" t="s">
        <v>474</v>
      </c>
      <c r="D178" s="15" t="s">
        <v>475</v>
      </c>
      <c r="E178" s="15" t="s">
        <v>35</v>
      </c>
      <c r="F178" s="15" t="s">
        <v>80</v>
      </c>
      <c r="G178" s="15" t="s">
        <v>35</v>
      </c>
      <c r="H178" s="15" t="s">
        <v>84</v>
      </c>
      <c r="I178" s="15" t="s">
        <v>100</v>
      </c>
      <c r="J178" s="15">
        <v>3</v>
      </c>
      <c r="K178" s="15">
        <v>8</v>
      </c>
      <c r="L178" s="15">
        <v>1</v>
      </c>
      <c r="M178" s="15"/>
      <c r="N178" s="15"/>
      <c r="O178" s="15"/>
      <c r="P178" s="15"/>
      <c r="Q178" s="15" t="s">
        <v>90</v>
      </c>
      <c r="R178" s="15">
        <v>80</v>
      </c>
      <c r="S178" s="15">
        <v>40</v>
      </c>
    </row>
    <row r="179" spans="2:19" x14ac:dyDescent="0.35">
      <c r="B179" s="15" t="s">
        <v>476</v>
      </c>
      <c r="C179" s="15" t="s">
        <v>477</v>
      </c>
      <c r="D179" s="15" t="s">
        <v>478</v>
      </c>
      <c r="E179" s="15" t="s">
        <v>35</v>
      </c>
      <c r="F179" s="15" t="s">
        <v>80</v>
      </c>
      <c r="G179" s="15" t="s">
        <v>35</v>
      </c>
      <c r="H179" s="15" t="s">
        <v>90</v>
      </c>
      <c r="I179" s="15" t="s">
        <v>100</v>
      </c>
      <c r="J179" s="15">
        <v>2</v>
      </c>
      <c r="K179" s="15">
        <v>8</v>
      </c>
      <c r="L179" s="15">
        <v>1</v>
      </c>
      <c r="M179" s="15"/>
      <c r="N179" s="15"/>
      <c r="O179" s="15"/>
      <c r="P179" s="15"/>
      <c r="Q179" s="15" t="s">
        <v>90</v>
      </c>
      <c r="R179" s="15">
        <v>80</v>
      </c>
      <c r="S179" s="15">
        <v>40</v>
      </c>
    </row>
    <row r="180" spans="2:19" x14ac:dyDescent="0.35">
      <c r="B180" s="15" t="s">
        <v>479</v>
      </c>
      <c r="C180" s="15" t="s">
        <v>480</v>
      </c>
      <c r="D180" s="15" t="s">
        <v>481</v>
      </c>
      <c r="E180" s="15" t="s">
        <v>35</v>
      </c>
      <c r="F180" s="15" t="s">
        <v>84</v>
      </c>
      <c r="G180" s="15" t="s">
        <v>35</v>
      </c>
      <c r="H180" s="15" t="s">
        <v>90</v>
      </c>
      <c r="I180" s="15" t="s">
        <v>100</v>
      </c>
      <c r="J180" s="15">
        <v>5</v>
      </c>
      <c r="K180" s="15">
        <v>8</v>
      </c>
      <c r="L180" s="15">
        <v>1</v>
      </c>
      <c r="M180" s="15"/>
      <c r="N180" s="15"/>
      <c r="O180" s="15"/>
      <c r="P180" s="15"/>
      <c r="Q180" s="15" t="s">
        <v>90</v>
      </c>
      <c r="R180" s="15">
        <v>80</v>
      </c>
      <c r="S180" s="15">
        <v>40</v>
      </c>
    </row>
    <row r="181" spans="2:19" x14ac:dyDescent="0.35">
      <c r="B181" s="15" t="s">
        <v>482</v>
      </c>
      <c r="C181" s="15" t="s">
        <v>483</v>
      </c>
      <c r="D181" s="15" t="s">
        <v>484</v>
      </c>
      <c r="E181" s="15" t="s">
        <v>35</v>
      </c>
      <c r="F181" s="15" t="s">
        <v>86</v>
      </c>
      <c r="G181" s="15" t="s">
        <v>35</v>
      </c>
      <c r="H181" s="15" t="s">
        <v>90</v>
      </c>
      <c r="I181" s="15" t="s">
        <v>100</v>
      </c>
      <c r="J181" s="15">
        <v>5</v>
      </c>
      <c r="K181" s="15">
        <v>8</v>
      </c>
      <c r="L181" s="15">
        <v>1</v>
      </c>
      <c r="M181" s="15"/>
      <c r="N181" s="15"/>
      <c r="O181" s="15"/>
      <c r="P181" s="15"/>
      <c r="Q181" s="15" t="s">
        <v>90</v>
      </c>
      <c r="R181" s="15">
        <v>80</v>
      </c>
      <c r="S181" s="15">
        <v>40</v>
      </c>
    </row>
    <row r="182" spans="2:19" x14ac:dyDescent="0.35">
      <c r="B182" s="15" t="s">
        <v>485</v>
      </c>
      <c r="C182" s="15" t="s">
        <v>486</v>
      </c>
      <c r="D182" s="15" t="s">
        <v>487</v>
      </c>
      <c r="E182" s="15" t="s">
        <v>35</v>
      </c>
      <c r="F182" s="15" t="s">
        <v>90</v>
      </c>
      <c r="G182" s="15" t="s">
        <v>35</v>
      </c>
      <c r="H182" s="15" t="s">
        <v>82</v>
      </c>
      <c r="I182" s="15" t="s">
        <v>100</v>
      </c>
      <c r="J182" s="15">
        <v>5</v>
      </c>
      <c r="K182" s="15">
        <v>8</v>
      </c>
      <c r="L182" s="15">
        <v>1</v>
      </c>
      <c r="M182" s="15"/>
      <c r="N182" s="15"/>
      <c r="O182" s="15"/>
      <c r="P182" s="15"/>
      <c r="Q182" s="15" t="s">
        <v>90</v>
      </c>
      <c r="R182" s="15">
        <v>80</v>
      </c>
      <c r="S182" s="15">
        <v>40</v>
      </c>
    </row>
    <row r="183" spans="2:19" x14ac:dyDescent="0.35">
      <c r="B183" s="15" t="s">
        <v>488</v>
      </c>
      <c r="C183" s="15" t="s">
        <v>489</v>
      </c>
      <c r="D183" s="15" t="s">
        <v>490</v>
      </c>
      <c r="E183" s="15" t="s">
        <v>35</v>
      </c>
      <c r="F183" s="15" t="s">
        <v>90</v>
      </c>
      <c r="G183" s="15" t="s">
        <v>35</v>
      </c>
      <c r="H183" s="15" t="s">
        <v>88</v>
      </c>
      <c r="I183" s="15" t="s">
        <v>100</v>
      </c>
      <c r="J183" s="15">
        <v>3</v>
      </c>
      <c r="K183" s="15">
        <v>8</v>
      </c>
      <c r="L183" s="15">
        <v>1</v>
      </c>
      <c r="M183" s="15"/>
      <c r="N183" s="15"/>
      <c r="O183" s="15"/>
      <c r="P183" s="15"/>
      <c r="Q183" s="15" t="s">
        <v>90</v>
      </c>
      <c r="R183" s="15">
        <v>80</v>
      </c>
      <c r="S183" s="15">
        <v>40</v>
      </c>
    </row>
  </sheetData>
  <hyperlinks>
    <hyperlink ref="B10" location="'Kraken AssetPairs'!B10" display="Get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U170"/>
  <sheetViews>
    <sheetView workbookViewId="0">
      <selection activeCell="D8" sqref="D8"/>
    </sheetView>
  </sheetViews>
  <sheetFormatPr baseColWidth="10" defaultRowHeight="14.5" x14ac:dyDescent="0.35"/>
  <cols>
    <col min="3" max="3" width="11.81640625" bestFit="1" customWidth="1"/>
    <col min="4" max="4" width="15.6328125" bestFit="1" customWidth="1"/>
    <col min="5" max="5" width="9.90625" bestFit="1" customWidth="1"/>
    <col min="6" max="6" width="11.81640625" bestFit="1" customWidth="1"/>
    <col min="7" max="7" width="15.6328125" bestFit="1" customWidth="1"/>
    <col min="8" max="8" width="9.90625" bestFit="1" customWidth="1"/>
    <col min="9" max="14" width="11.81640625" bestFit="1" customWidth="1"/>
    <col min="15" max="16" width="8.1796875" customWidth="1"/>
    <col min="17" max="20" width="11.81640625" bestFit="1" customWidth="1"/>
    <col min="21" max="21" width="12.26953125" bestFit="1" customWidth="1"/>
  </cols>
  <sheetData>
    <row r="2" spans="2:21" ht="17.5" x14ac:dyDescent="0.35">
      <c r="B2" s="13" t="s">
        <v>495</v>
      </c>
    </row>
    <row r="3" spans="2:21" x14ac:dyDescent="0.35">
      <c r="B3" t="s">
        <v>496</v>
      </c>
    </row>
    <row r="5" spans="2:21" x14ac:dyDescent="0.35">
      <c r="B5" t="s">
        <v>24</v>
      </c>
      <c r="C5" t="s">
        <v>26</v>
      </c>
    </row>
    <row r="6" spans="2:21" x14ac:dyDescent="0.35">
      <c r="C6" s="10" t="s">
        <v>511</v>
      </c>
      <c r="D6" t="s">
        <v>512</v>
      </c>
      <c r="G6" t="s">
        <v>0</v>
      </c>
    </row>
    <row r="8" spans="2:21" x14ac:dyDescent="0.35">
      <c r="B8" s="17" t="s">
        <v>19</v>
      </c>
      <c r="D8" s="16"/>
    </row>
    <row r="9" spans="2:21" ht="15" thickBot="1" x14ac:dyDescent="0.4"/>
    <row r="10" spans="2:21" ht="15.5" thickTop="1" thickBot="1" x14ac:dyDescent="0.4">
      <c r="C10" s="22" t="s">
        <v>498</v>
      </c>
      <c r="D10" s="22"/>
      <c r="E10" s="22"/>
      <c r="F10" s="22" t="s">
        <v>499</v>
      </c>
      <c r="G10" s="22"/>
      <c r="H10" s="22"/>
      <c r="I10" s="22" t="s">
        <v>500</v>
      </c>
      <c r="J10" s="22"/>
      <c r="K10" s="22" t="s">
        <v>501</v>
      </c>
      <c r="L10" s="22"/>
      <c r="M10" s="22" t="s">
        <v>502</v>
      </c>
      <c r="N10" s="22"/>
      <c r="O10" s="22" t="s">
        <v>503</v>
      </c>
      <c r="P10" s="22"/>
      <c r="Q10" s="22" t="s">
        <v>504</v>
      </c>
      <c r="R10" s="22"/>
      <c r="S10" s="22" t="s">
        <v>505</v>
      </c>
      <c r="T10" s="22"/>
    </row>
    <row r="11" spans="2:21" ht="15.5" thickTop="1" thickBot="1" x14ac:dyDescent="0.4">
      <c r="B11" s="3" t="s">
        <v>491</v>
      </c>
      <c r="C11" s="3" t="s">
        <v>508</v>
      </c>
      <c r="D11" s="3" t="s">
        <v>506</v>
      </c>
      <c r="E11" s="3" t="s">
        <v>507</v>
      </c>
      <c r="F11" s="3" t="s">
        <v>508</v>
      </c>
      <c r="G11" s="3" t="s">
        <v>506</v>
      </c>
      <c r="H11" s="3" t="s">
        <v>507</v>
      </c>
      <c r="I11" s="3" t="s">
        <v>508</v>
      </c>
      <c r="J11" s="3" t="s">
        <v>501</v>
      </c>
      <c r="K11" s="3" t="s">
        <v>509</v>
      </c>
      <c r="L11" s="3" t="s">
        <v>510</v>
      </c>
      <c r="M11" s="3" t="s">
        <v>509</v>
      </c>
      <c r="N11" s="3" t="s">
        <v>510</v>
      </c>
      <c r="O11" s="3" t="s">
        <v>509</v>
      </c>
      <c r="P11" s="3" t="s">
        <v>510</v>
      </c>
      <c r="Q11" s="3" t="s">
        <v>509</v>
      </c>
      <c r="R11" s="3" t="s">
        <v>510</v>
      </c>
      <c r="S11" s="3" t="s">
        <v>509</v>
      </c>
      <c r="T11" s="3" t="s">
        <v>510</v>
      </c>
      <c r="U11" s="3" t="s">
        <v>497</v>
      </c>
    </row>
    <row r="12" spans="2:21" ht="15" thickTop="1" x14ac:dyDescent="0.35">
      <c r="B12" s="15" t="s">
        <v>116</v>
      </c>
      <c r="C12" s="15">
        <v>3.548E-4</v>
      </c>
      <c r="D12" s="15">
        <v>8876</v>
      </c>
      <c r="E12" s="15">
        <v>8876</v>
      </c>
      <c r="F12" s="15">
        <v>3.5409999999999999E-4</v>
      </c>
      <c r="G12" s="15">
        <v>8878</v>
      </c>
      <c r="H12" s="15">
        <v>8878</v>
      </c>
      <c r="I12" s="15">
        <v>3.5530000000000002E-4</v>
      </c>
      <c r="J12" s="15">
        <v>2.5836605600000002</v>
      </c>
      <c r="K12" s="15">
        <v>1214432.88085686</v>
      </c>
      <c r="L12" s="15">
        <v>1304289.0539349101</v>
      </c>
      <c r="M12" s="15">
        <v>3.5594700000000001E-4</v>
      </c>
      <c r="N12" s="15">
        <v>3.5528099999999999E-4</v>
      </c>
      <c r="O12" s="15">
        <v>296</v>
      </c>
      <c r="P12" s="15">
        <v>330</v>
      </c>
      <c r="Q12" s="15">
        <v>3.5050000000000001E-4</v>
      </c>
      <c r="R12" s="15">
        <v>3.5050000000000001E-4</v>
      </c>
      <c r="S12" s="15">
        <v>3.6410000000000001E-4</v>
      </c>
      <c r="T12" s="15">
        <v>3.6410000000000001E-4</v>
      </c>
      <c r="U12" s="15">
        <v>3.568E-4</v>
      </c>
    </row>
    <row r="13" spans="2:21" x14ac:dyDescent="0.35">
      <c r="B13" s="15" t="s">
        <v>118</v>
      </c>
      <c r="C13" s="15">
        <v>7.6300999999999994E-2</v>
      </c>
      <c r="D13" s="15">
        <v>23321</v>
      </c>
      <c r="E13" s="15">
        <v>23321</v>
      </c>
      <c r="F13" s="15">
        <v>7.6300000000000007E-2</v>
      </c>
      <c r="G13" s="15">
        <v>3501</v>
      </c>
      <c r="H13" s="15">
        <v>3501</v>
      </c>
      <c r="I13" s="15">
        <v>7.6300999999999994E-2</v>
      </c>
      <c r="J13" s="15">
        <v>3937</v>
      </c>
      <c r="K13" s="15">
        <v>11175410.222869299</v>
      </c>
      <c r="L13" s="15">
        <v>12582307.9762883</v>
      </c>
      <c r="M13" s="15">
        <v>7.5583999999999998E-2</v>
      </c>
      <c r="N13" s="15">
        <v>6.8158999999999997E-2</v>
      </c>
      <c r="O13" s="15">
        <v>2009</v>
      </c>
      <c r="P13" s="15">
        <v>2271</v>
      </c>
      <c r="Q13" s="15">
        <v>7.3400000000000007E-2</v>
      </c>
      <c r="R13" s="15">
        <v>7.3400000000000007E-2</v>
      </c>
      <c r="S13" s="15">
        <v>7.8398999999999996E-2</v>
      </c>
      <c r="T13" s="15">
        <v>7.8398999999999996E-2</v>
      </c>
      <c r="U13" s="15">
        <v>7.6425000000000007E-2</v>
      </c>
    </row>
    <row r="14" spans="2:21" x14ac:dyDescent="0.35">
      <c r="B14" s="15" t="s">
        <v>120</v>
      </c>
      <c r="C14" s="15">
        <v>8.6138000000000006E-2</v>
      </c>
      <c r="D14" s="15">
        <v>18715</v>
      </c>
      <c r="E14" s="15">
        <v>18715</v>
      </c>
      <c r="F14" s="15">
        <v>8.5987999999999995E-2</v>
      </c>
      <c r="G14" s="15">
        <v>3501</v>
      </c>
      <c r="H14" s="15">
        <v>3501</v>
      </c>
      <c r="I14" s="15">
        <v>8.6154999999999995E-2</v>
      </c>
      <c r="J14" s="15">
        <v>220</v>
      </c>
      <c r="K14" s="15">
        <v>19830629.594696499</v>
      </c>
      <c r="L14" s="15">
        <v>21278237.774842799</v>
      </c>
      <c r="M14" s="15">
        <v>8.4897E-2</v>
      </c>
      <c r="N14" s="15">
        <v>8.1041000000000002E-2</v>
      </c>
      <c r="O14" s="15">
        <v>2127</v>
      </c>
      <c r="P14" s="15">
        <v>2272</v>
      </c>
      <c r="Q14" s="15">
        <v>8.2200999999999996E-2</v>
      </c>
      <c r="R14" s="15">
        <v>8.2200999999999996E-2</v>
      </c>
      <c r="S14" s="15">
        <v>8.8576000000000002E-2</v>
      </c>
      <c r="T14" s="15">
        <v>8.8576000000000002E-2</v>
      </c>
      <c r="U14" s="15">
        <v>8.6166000000000006E-2</v>
      </c>
    </row>
    <row r="15" spans="2:21" x14ac:dyDescent="0.35">
      <c r="B15" s="15" t="s">
        <v>122</v>
      </c>
      <c r="C15" s="15">
        <v>8.85E-6</v>
      </c>
      <c r="D15" s="15">
        <v>32484</v>
      </c>
      <c r="E15" s="15">
        <v>32484</v>
      </c>
      <c r="F15" s="15">
        <v>8.8400000000000001E-6</v>
      </c>
      <c r="G15" s="15">
        <v>80938</v>
      </c>
      <c r="H15" s="15">
        <v>80938</v>
      </c>
      <c r="I15" s="15">
        <v>8.8400000000000001E-6</v>
      </c>
      <c r="J15" s="15">
        <v>2021.70002019</v>
      </c>
      <c r="K15" s="15">
        <v>2907570.7973790499</v>
      </c>
      <c r="L15" s="15">
        <v>7434130.0603103703</v>
      </c>
      <c r="M15" s="15">
        <v>8.9460000000000004E-6</v>
      </c>
      <c r="N15" s="15">
        <v>7.0350000000000004E-6</v>
      </c>
      <c r="O15" s="15">
        <v>571</v>
      </c>
      <c r="P15" s="15">
        <v>1222</v>
      </c>
      <c r="Q15" s="15">
        <v>8.7499999999999992E-6</v>
      </c>
      <c r="R15" s="15">
        <v>8.6000000000000007E-6</v>
      </c>
      <c r="S15" s="15">
        <v>9.1500000000000005E-6</v>
      </c>
      <c r="T15" s="15">
        <v>9.1500000000000005E-6</v>
      </c>
      <c r="U15" s="15">
        <v>8.9099999999999994E-6</v>
      </c>
    </row>
    <row r="16" spans="2:21" x14ac:dyDescent="0.35">
      <c r="B16" s="15" t="s">
        <v>124</v>
      </c>
      <c r="C16" s="15">
        <v>9.477E-4</v>
      </c>
      <c r="D16" s="15">
        <v>756</v>
      </c>
      <c r="E16" s="15">
        <v>756</v>
      </c>
      <c r="F16" s="15">
        <v>9.4620000000000001E-4</v>
      </c>
      <c r="G16" s="15">
        <v>2242</v>
      </c>
      <c r="H16" s="15">
        <v>2242</v>
      </c>
      <c r="I16" s="15">
        <v>9.5220000000000005E-4</v>
      </c>
      <c r="J16" s="15">
        <v>208.37121088000001</v>
      </c>
      <c r="K16" s="15">
        <v>65771.214637819998</v>
      </c>
      <c r="L16" s="15">
        <v>68642.458563239998</v>
      </c>
      <c r="M16" s="15">
        <v>9.6125699999999998E-4</v>
      </c>
      <c r="N16" s="15">
        <v>9.6165499999999995E-4</v>
      </c>
      <c r="O16" s="15">
        <v>28</v>
      </c>
      <c r="P16" s="15">
        <v>32</v>
      </c>
      <c r="Q16" s="15">
        <v>9.5220000000000005E-4</v>
      </c>
      <c r="R16" s="15">
        <v>9.5220000000000005E-4</v>
      </c>
      <c r="S16" s="15">
        <v>9.833000000000001E-4</v>
      </c>
      <c r="T16" s="15">
        <v>9.833000000000001E-4</v>
      </c>
      <c r="U16" s="15">
        <v>9.833000000000001E-4</v>
      </c>
    </row>
    <row r="17" spans="2:21" x14ac:dyDescent="0.35">
      <c r="B17" s="15" t="s">
        <v>126</v>
      </c>
      <c r="C17" s="15">
        <v>0.20394000000000001</v>
      </c>
      <c r="D17" s="15">
        <v>2478</v>
      </c>
      <c r="E17" s="15">
        <v>2478</v>
      </c>
      <c r="F17" s="15">
        <v>0.2036</v>
      </c>
      <c r="G17" s="15">
        <v>2478</v>
      </c>
      <c r="H17" s="15">
        <v>2478</v>
      </c>
      <c r="I17" s="15">
        <v>0.20383000000000001</v>
      </c>
      <c r="J17" s="15">
        <v>200</v>
      </c>
      <c r="K17" s="15">
        <v>223745.28207021</v>
      </c>
      <c r="L17" s="15">
        <v>236380.33471919</v>
      </c>
      <c r="M17" s="15">
        <v>0.203291</v>
      </c>
      <c r="N17" s="15">
        <v>0.20260300000000001</v>
      </c>
      <c r="O17" s="15">
        <v>182</v>
      </c>
      <c r="P17" s="15">
        <v>201</v>
      </c>
      <c r="Q17" s="15">
        <v>0.20018</v>
      </c>
      <c r="R17" s="15">
        <v>0.20018</v>
      </c>
      <c r="S17" s="15">
        <v>0.21078</v>
      </c>
      <c r="T17" s="15">
        <v>0.21143999999999999</v>
      </c>
      <c r="U17" s="15">
        <v>0.21078</v>
      </c>
    </row>
    <row r="18" spans="2:21" x14ac:dyDescent="0.35">
      <c r="B18" s="15" t="s">
        <v>128</v>
      </c>
      <c r="C18" s="15">
        <v>0.23032</v>
      </c>
      <c r="D18" s="15">
        <v>32018</v>
      </c>
      <c r="E18" s="15">
        <v>32018</v>
      </c>
      <c r="F18" s="15">
        <v>0.22997000000000001</v>
      </c>
      <c r="G18" s="15">
        <v>359</v>
      </c>
      <c r="H18" s="15">
        <v>359</v>
      </c>
      <c r="I18" s="15">
        <v>0.23022999999999999</v>
      </c>
      <c r="J18" s="15">
        <v>1821.34238981</v>
      </c>
      <c r="K18" s="15">
        <v>173692.53259657</v>
      </c>
      <c r="L18" s="15">
        <v>182662.08619736999</v>
      </c>
      <c r="M18" s="15">
        <v>0.229793</v>
      </c>
      <c r="N18" s="15">
        <v>0.22877800000000001</v>
      </c>
      <c r="O18" s="15">
        <v>94</v>
      </c>
      <c r="P18" s="15">
        <v>109</v>
      </c>
      <c r="Q18" s="15">
        <v>0.22445999999999999</v>
      </c>
      <c r="R18" s="15">
        <v>0.22445999999999999</v>
      </c>
      <c r="S18" s="15">
        <v>0.23898</v>
      </c>
      <c r="T18" s="15">
        <v>0.23898</v>
      </c>
      <c r="U18" s="15">
        <v>0.23898</v>
      </c>
    </row>
    <row r="19" spans="2:21" x14ac:dyDescent="0.35">
      <c r="B19" s="15" t="s">
        <v>130</v>
      </c>
      <c r="C19" s="15">
        <v>2.3629999999999999E-5</v>
      </c>
      <c r="D19" s="15">
        <v>21957</v>
      </c>
      <c r="E19" s="15">
        <v>21957</v>
      </c>
      <c r="F19" s="15">
        <v>2.3600000000000001E-5</v>
      </c>
      <c r="G19" s="15">
        <v>2474</v>
      </c>
      <c r="H19" s="15">
        <v>2474</v>
      </c>
      <c r="I19" s="15">
        <v>2.3580000000000001E-5</v>
      </c>
      <c r="J19" s="15">
        <v>500.00000002000002</v>
      </c>
      <c r="K19" s="15">
        <v>60865.693898819998</v>
      </c>
      <c r="L19" s="15">
        <v>77023.801185200005</v>
      </c>
      <c r="M19" s="15">
        <v>2.4071E-5</v>
      </c>
      <c r="N19" s="15">
        <v>2.3104000000000001E-5</v>
      </c>
      <c r="O19" s="15">
        <v>73</v>
      </c>
      <c r="P19" s="15">
        <v>92</v>
      </c>
      <c r="Q19" s="15">
        <v>2.3499999999999999E-5</v>
      </c>
      <c r="R19" s="15">
        <v>2.3499999999999999E-5</v>
      </c>
      <c r="S19" s="15">
        <v>2.4660000000000001E-5</v>
      </c>
      <c r="T19" s="15">
        <v>2.4660000000000001E-5</v>
      </c>
      <c r="U19" s="15">
        <v>2.4660000000000001E-5</v>
      </c>
    </row>
    <row r="20" spans="2:21" x14ac:dyDescent="0.35">
      <c r="B20" s="15" t="s">
        <v>132</v>
      </c>
      <c r="C20" s="15">
        <v>1.2466E-2</v>
      </c>
      <c r="D20" s="15">
        <v>177</v>
      </c>
      <c r="E20" s="15">
        <v>177</v>
      </c>
      <c r="F20" s="15">
        <v>1.2429000000000001E-2</v>
      </c>
      <c r="G20" s="15">
        <v>211</v>
      </c>
      <c r="H20" s="15">
        <v>211</v>
      </c>
      <c r="I20" s="15">
        <v>1.2482999999999999E-2</v>
      </c>
      <c r="J20" s="15">
        <v>5.4600000000000002E-6</v>
      </c>
      <c r="K20" s="15">
        <v>2624.7778694200001</v>
      </c>
      <c r="L20" s="15">
        <v>2634.6794693100001</v>
      </c>
      <c r="M20" s="15">
        <v>1.251128E-2</v>
      </c>
      <c r="N20" s="15">
        <v>1.2504049999999999E-2</v>
      </c>
      <c r="O20" s="15">
        <v>43</v>
      </c>
      <c r="P20" s="15">
        <v>50</v>
      </c>
      <c r="Q20" s="15">
        <v>1.2395E-2</v>
      </c>
      <c r="R20" s="15">
        <v>1.2395E-2</v>
      </c>
      <c r="S20" s="15">
        <v>1.2747E-2</v>
      </c>
      <c r="T20" s="15">
        <v>1.2832E-2</v>
      </c>
      <c r="U20" s="15">
        <v>1.2722000000000001E-2</v>
      </c>
    </row>
    <row r="21" spans="2:21" x14ac:dyDescent="0.35">
      <c r="B21" s="15" t="s">
        <v>134</v>
      </c>
      <c r="C21" s="15">
        <v>2.6814</v>
      </c>
      <c r="D21" s="15">
        <v>2</v>
      </c>
      <c r="E21" s="15">
        <v>2</v>
      </c>
      <c r="F21" s="15">
        <v>2.6757</v>
      </c>
      <c r="G21" s="15">
        <v>221</v>
      </c>
      <c r="H21" s="15">
        <v>221</v>
      </c>
      <c r="I21" s="15">
        <v>2.6798000000000002</v>
      </c>
      <c r="J21" s="15">
        <v>18.48165088</v>
      </c>
      <c r="K21" s="15">
        <v>39767.446366290002</v>
      </c>
      <c r="L21" s="15">
        <v>40811.650512660002</v>
      </c>
      <c r="M21" s="15">
        <v>2.647446</v>
      </c>
      <c r="N21" s="15">
        <v>2.649003</v>
      </c>
      <c r="O21" s="15">
        <v>363</v>
      </c>
      <c r="P21" s="15">
        <v>392</v>
      </c>
      <c r="Q21" s="15">
        <v>2.5653999999999999</v>
      </c>
      <c r="R21" s="15">
        <v>2.5653999999999999</v>
      </c>
      <c r="S21" s="15">
        <v>2.7513000000000001</v>
      </c>
      <c r="T21" s="15">
        <v>2.7555999999999998</v>
      </c>
      <c r="U21" s="15">
        <v>2.714</v>
      </c>
    </row>
    <row r="22" spans="2:21" x14ac:dyDescent="0.35">
      <c r="B22" s="15" t="s">
        <v>136</v>
      </c>
      <c r="C22" s="15">
        <v>3.0276999999999998</v>
      </c>
      <c r="D22" s="15">
        <v>58</v>
      </c>
      <c r="E22" s="15">
        <v>58</v>
      </c>
      <c r="F22" s="15">
        <v>3.0204</v>
      </c>
      <c r="G22" s="15">
        <v>171</v>
      </c>
      <c r="H22" s="15">
        <v>171</v>
      </c>
      <c r="I22" s="15">
        <v>3.0255000000000001</v>
      </c>
      <c r="J22" s="15">
        <v>20</v>
      </c>
      <c r="K22" s="15">
        <v>14134.989908879999</v>
      </c>
      <c r="L22" s="15">
        <v>16938.671725929999</v>
      </c>
      <c r="M22" s="15">
        <v>2.9702700000000002</v>
      </c>
      <c r="N22" s="15">
        <v>2.9800589999999998</v>
      </c>
      <c r="O22" s="15">
        <v>121</v>
      </c>
      <c r="P22" s="15">
        <v>146</v>
      </c>
      <c r="Q22" s="15">
        <v>2.8908</v>
      </c>
      <c r="R22" s="15">
        <v>2.8906999999999998</v>
      </c>
      <c r="S22" s="15">
        <v>3.0994000000000002</v>
      </c>
      <c r="T22" s="15">
        <v>3.1095000000000002</v>
      </c>
      <c r="U22" s="15">
        <v>3.0607000000000002</v>
      </c>
    </row>
    <row r="23" spans="2:21" x14ac:dyDescent="0.35">
      <c r="B23" s="15" t="s">
        <v>138</v>
      </c>
      <c r="C23" s="15">
        <v>3.1070000000000002E-4</v>
      </c>
      <c r="D23" s="15">
        <v>58</v>
      </c>
      <c r="E23" s="15">
        <v>58</v>
      </c>
      <c r="F23" s="15">
        <v>3.1E-4</v>
      </c>
      <c r="G23" s="15">
        <v>1264</v>
      </c>
      <c r="H23" s="15">
        <v>1264</v>
      </c>
      <c r="I23" s="15">
        <v>3.0679999999999998E-4</v>
      </c>
      <c r="J23" s="15">
        <v>1.4049999999999999E-5</v>
      </c>
      <c r="K23" s="15">
        <v>16104.05061617</v>
      </c>
      <c r="L23" s="15">
        <v>16488.049668439999</v>
      </c>
      <c r="M23" s="15">
        <v>3.1050000000000001E-4</v>
      </c>
      <c r="N23" s="15">
        <v>3.0864999999999999E-4</v>
      </c>
      <c r="O23" s="15">
        <v>131</v>
      </c>
      <c r="P23" s="15">
        <v>144</v>
      </c>
      <c r="Q23" s="15">
        <v>3.0679999999999998E-4</v>
      </c>
      <c r="R23" s="15">
        <v>3.0679999999999998E-4</v>
      </c>
      <c r="S23" s="15">
        <v>3.2089999999999999E-4</v>
      </c>
      <c r="T23" s="15">
        <v>3.2089999999999999E-4</v>
      </c>
      <c r="U23" s="15">
        <v>3.168E-4</v>
      </c>
    </row>
    <row r="24" spans="2:21" x14ac:dyDescent="0.35">
      <c r="B24" s="15" t="s">
        <v>140</v>
      </c>
      <c r="C24" s="15">
        <v>9.6849999999999996E-4</v>
      </c>
      <c r="D24" s="15">
        <v>2248</v>
      </c>
      <c r="E24" s="15">
        <v>2248</v>
      </c>
      <c r="F24" s="15">
        <v>9.6500000000000004E-4</v>
      </c>
      <c r="G24" s="15">
        <v>2247</v>
      </c>
      <c r="H24" s="15">
        <v>2247</v>
      </c>
      <c r="I24" s="15">
        <v>9.6509999999999999E-4</v>
      </c>
      <c r="J24" s="15">
        <v>280.72038569</v>
      </c>
      <c r="K24" s="15">
        <v>75290.262773790004</v>
      </c>
      <c r="L24" s="15">
        <v>87066.075284820006</v>
      </c>
      <c r="M24" s="15">
        <v>9.6862900000000004E-4</v>
      </c>
      <c r="N24" s="15">
        <v>9.6966100000000003E-4</v>
      </c>
      <c r="O24" s="15">
        <v>50</v>
      </c>
      <c r="P24" s="15">
        <v>62</v>
      </c>
      <c r="Q24" s="15">
        <v>9.6139999999999995E-4</v>
      </c>
      <c r="R24" s="15">
        <v>9.6139999999999995E-4</v>
      </c>
      <c r="S24" s="15">
        <v>9.8360000000000006E-4</v>
      </c>
      <c r="T24" s="15">
        <v>9.8360000000000006E-4</v>
      </c>
      <c r="U24" s="15">
        <v>9.7710000000000006E-4</v>
      </c>
    </row>
    <row r="25" spans="2:21" x14ac:dyDescent="0.35">
      <c r="B25" s="15" t="s">
        <v>142</v>
      </c>
      <c r="C25" s="15">
        <v>0.20824000000000001</v>
      </c>
      <c r="D25" s="15">
        <v>3027</v>
      </c>
      <c r="E25" s="15">
        <v>3027</v>
      </c>
      <c r="F25" s="15">
        <v>0.20774999999999999</v>
      </c>
      <c r="G25" s="15">
        <v>3026</v>
      </c>
      <c r="H25" s="15">
        <v>3026</v>
      </c>
      <c r="I25" s="15">
        <v>0.2077</v>
      </c>
      <c r="J25" s="15">
        <v>0.15191879999999999</v>
      </c>
      <c r="K25" s="15">
        <v>731233.60267811001</v>
      </c>
      <c r="L25" s="15">
        <v>807297.56644196005</v>
      </c>
      <c r="M25" s="15">
        <v>0.20426</v>
      </c>
      <c r="N25" s="15">
        <v>0.20438700000000001</v>
      </c>
      <c r="O25" s="15">
        <v>360</v>
      </c>
      <c r="P25" s="15">
        <v>416</v>
      </c>
      <c r="Q25" s="15">
        <v>0.20200000000000001</v>
      </c>
      <c r="R25" s="15">
        <v>0.20200000000000001</v>
      </c>
      <c r="S25" s="15">
        <v>0.21263000000000001</v>
      </c>
      <c r="T25" s="15">
        <v>0.21263000000000001</v>
      </c>
      <c r="U25" s="15">
        <v>0.21023</v>
      </c>
    </row>
    <row r="26" spans="2:21" x14ac:dyDescent="0.35">
      <c r="B26" s="15" t="s">
        <v>144</v>
      </c>
      <c r="C26" s="15">
        <v>0.23504</v>
      </c>
      <c r="D26" s="15">
        <v>2700</v>
      </c>
      <c r="E26" s="15">
        <v>2700</v>
      </c>
      <c r="F26" s="15">
        <v>0.23429</v>
      </c>
      <c r="G26" s="15">
        <v>3160</v>
      </c>
      <c r="H26" s="15">
        <v>3160</v>
      </c>
      <c r="I26" s="15">
        <v>0.23491999999999999</v>
      </c>
      <c r="J26" s="15">
        <v>120.73173846</v>
      </c>
      <c r="K26" s="15">
        <v>324465.43550565001</v>
      </c>
      <c r="L26" s="15">
        <v>370421.31502560998</v>
      </c>
      <c r="M26" s="15">
        <v>0.23080400000000001</v>
      </c>
      <c r="N26" s="15">
        <v>0.23103699999999999</v>
      </c>
      <c r="O26" s="15">
        <v>232</v>
      </c>
      <c r="P26" s="15">
        <v>260</v>
      </c>
      <c r="Q26" s="15">
        <v>0.22728999999999999</v>
      </c>
      <c r="R26" s="15">
        <v>0.22728999999999999</v>
      </c>
      <c r="S26" s="15">
        <v>0.23957999999999999</v>
      </c>
      <c r="T26" s="15">
        <v>0.23957999999999999</v>
      </c>
      <c r="U26" s="15">
        <v>0.23604</v>
      </c>
    </row>
    <row r="27" spans="2:21" x14ac:dyDescent="0.35">
      <c r="B27" s="15" t="s">
        <v>146</v>
      </c>
      <c r="C27" s="15">
        <v>2.4130000000000001E-5</v>
      </c>
      <c r="D27" s="15">
        <v>3204</v>
      </c>
      <c r="E27" s="15">
        <v>3204</v>
      </c>
      <c r="F27" s="15">
        <v>2.406E-5</v>
      </c>
      <c r="G27" s="15">
        <v>3227</v>
      </c>
      <c r="H27" s="15">
        <v>3227</v>
      </c>
      <c r="I27" s="15">
        <v>2.385E-5</v>
      </c>
      <c r="J27" s="15">
        <v>745.4895004</v>
      </c>
      <c r="K27" s="15">
        <v>170162.00677991001</v>
      </c>
      <c r="L27" s="15">
        <v>231306.11065811999</v>
      </c>
      <c r="M27" s="15">
        <v>2.4219E-5</v>
      </c>
      <c r="N27" s="15">
        <v>2.3983000000000001E-5</v>
      </c>
      <c r="O27" s="15">
        <v>152</v>
      </c>
      <c r="P27" s="15">
        <v>184</v>
      </c>
      <c r="Q27" s="15">
        <v>2.3839999999999999E-5</v>
      </c>
      <c r="R27" s="15">
        <v>2.3839999999999999E-5</v>
      </c>
      <c r="S27" s="15">
        <v>2.4640000000000001E-5</v>
      </c>
      <c r="T27" s="15">
        <v>2.4640000000000001E-5</v>
      </c>
      <c r="U27" s="15">
        <v>2.446E-5</v>
      </c>
    </row>
    <row r="28" spans="2:21" x14ac:dyDescent="0.35">
      <c r="B28" s="15" t="s">
        <v>148</v>
      </c>
      <c r="C28" s="15">
        <v>1.0436000000000001</v>
      </c>
      <c r="D28" s="15">
        <v>1</v>
      </c>
      <c r="E28" s="15">
        <v>1</v>
      </c>
      <c r="F28" s="15">
        <v>1.0417000000000001</v>
      </c>
      <c r="G28" s="15">
        <v>3</v>
      </c>
      <c r="H28" s="15">
        <v>3</v>
      </c>
      <c r="I28" s="15">
        <v>1.0405</v>
      </c>
      <c r="J28" s="15">
        <v>1.26E-6</v>
      </c>
      <c r="K28" s="15">
        <v>252.11022975</v>
      </c>
      <c r="L28" s="15">
        <v>257.93650086000002</v>
      </c>
      <c r="M28" s="15">
        <v>1.05236302</v>
      </c>
      <c r="N28" s="15">
        <v>1.0523071500000001</v>
      </c>
      <c r="O28" s="15">
        <v>150</v>
      </c>
      <c r="P28" s="15">
        <v>161</v>
      </c>
      <c r="Q28" s="15">
        <v>1.0405</v>
      </c>
      <c r="R28" s="15">
        <v>1.0405</v>
      </c>
      <c r="S28" s="15">
        <v>1.0608</v>
      </c>
      <c r="T28" s="15">
        <v>1.0608</v>
      </c>
      <c r="U28" s="15">
        <v>1.0468999999999999</v>
      </c>
    </row>
    <row r="29" spans="2:21" x14ac:dyDescent="0.35">
      <c r="B29" s="15" t="s">
        <v>150</v>
      </c>
      <c r="C29" s="15">
        <v>224.3</v>
      </c>
      <c r="D29" s="15">
        <v>32</v>
      </c>
      <c r="E29" s="15">
        <v>32</v>
      </c>
      <c r="F29" s="15">
        <v>224.1</v>
      </c>
      <c r="G29" s="15">
        <v>128</v>
      </c>
      <c r="H29" s="15">
        <v>128</v>
      </c>
      <c r="I29" s="15">
        <v>224.4</v>
      </c>
      <c r="J29" s="15">
        <v>1.3315834799999999</v>
      </c>
      <c r="K29" s="15">
        <v>4615.2998008900004</v>
      </c>
      <c r="L29" s="15">
        <v>5130.4910327600001</v>
      </c>
      <c r="M29" s="15">
        <v>222.436542</v>
      </c>
      <c r="N29" s="15">
        <v>222.52658700000001</v>
      </c>
      <c r="O29" s="15">
        <v>3215</v>
      </c>
      <c r="P29" s="15">
        <v>3715</v>
      </c>
      <c r="Q29" s="15">
        <v>218.7</v>
      </c>
      <c r="R29" s="15">
        <v>218.7</v>
      </c>
      <c r="S29" s="15">
        <v>226.4</v>
      </c>
      <c r="T29" s="15">
        <v>226.4</v>
      </c>
      <c r="U29" s="15">
        <v>224.5</v>
      </c>
    </row>
    <row r="30" spans="2:21" x14ac:dyDescent="0.35">
      <c r="B30" s="15" t="s">
        <v>152</v>
      </c>
      <c r="C30" s="15">
        <v>201.4</v>
      </c>
      <c r="D30" s="15">
        <v>2</v>
      </c>
      <c r="E30" s="15">
        <v>2</v>
      </c>
      <c r="F30" s="15">
        <v>199.05</v>
      </c>
      <c r="G30" s="15">
        <v>2</v>
      </c>
      <c r="H30" s="15">
        <v>2</v>
      </c>
      <c r="I30" s="15">
        <v>198.29</v>
      </c>
      <c r="J30" s="15">
        <v>1.4674999999999999E-4</v>
      </c>
      <c r="K30" s="15">
        <v>0.16093371000000001</v>
      </c>
      <c r="L30" s="15">
        <v>0.16093371000000001</v>
      </c>
      <c r="M30" s="15">
        <v>195.90217899999999</v>
      </c>
      <c r="N30" s="15">
        <v>195.90217899999999</v>
      </c>
      <c r="O30" s="15">
        <v>3</v>
      </c>
      <c r="P30" s="15">
        <v>3</v>
      </c>
      <c r="Q30" s="15">
        <v>195.9</v>
      </c>
      <c r="R30" s="15">
        <v>195.9</v>
      </c>
      <c r="S30" s="15">
        <v>203.75</v>
      </c>
      <c r="T30" s="15">
        <v>198.29</v>
      </c>
      <c r="U30" s="15">
        <v>203.75</v>
      </c>
    </row>
    <row r="31" spans="2:21" x14ac:dyDescent="0.35">
      <c r="B31" s="15" t="s">
        <v>154</v>
      </c>
      <c r="C31" s="15">
        <v>253.4</v>
      </c>
      <c r="D31" s="15">
        <v>7</v>
      </c>
      <c r="E31" s="15">
        <v>7</v>
      </c>
      <c r="F31" s="15">
        <v>253.1</v>
      </c>
      <c r="G31" s="15">
        <v>72</v>
      </c>
      <c r="H31" s="15">
        <v>72</v>
      </c>
      <c r="I31" s="15">
        <v>253.1</v>
      </c>
      <c r="J31" s="15">
        <v>0.08</v>
      </c>
      <c r="K31" s="15">
        <v>12380.828923499999</v>
      </c>
      <c r="L31" s="15">
        <v>13216.1156099</v>
      </c>
      <c r="M31" s="15">
        <v>251.60522499999999</v>
      </c>
      <c r="N31" s="15">
        <v>251.73016799999999</v>
      </c>
      <c r="O31" s="15">
        <v>3675</v>
      </c>
      <c r="P31" s="15">
        <v>4080</v>
      </c>
      <c r="Q31" s="15">
        <v>246</v>
      </c>
      <c r="R31" s="15">
        <v>246</v>
      </c>
      <c r="S31" s="15">
        <v>255.5</v>
      </c>
      <c r="T31" s="15">
        <v>255.5</v>
      </c>
      <c r="U31" s="15">
        <v>253.1</v>
      </c>
    </row>
    <row r="32" spans="2:21" x14ac:dyDescent="0.35">
      <c r="B32" s="15" t="s">
        <v>156</v>
      </c>
      <c r="C32" s="15">
        <v>253.38</v>
      </c>
      <c r="D32" s="15">
        <v>2</v>
      </c>
      <c r="E32" s="15">
        <v>2</v>
      </c>
      <c r="F32" s="15">
        <v>252.77</v>
      </c>
      <c r="G32" s="15">
        <v>2</v>
      </c>
      <c r="H32" s="15">
        <v>2</v>
      </c>
      <c r="I32" s="15">
        <v>246.85</v>
      </c>
      <c r="J32" s="15">
        <v>7.8E-2</v>
      </c>
      <c r="K32" s="15">
        <v>134.83781857</v>
      </c>
      <c r="L32" s="15">
        <v>134.83781857</v>
      </c>
      <c r="M32" s="15">
        <v>249.40693200000001</v>
      </c>
      <c r="N32" s="15">
        <v>249.40691100000001</v>
      </c>
      <c r="O32" s="15">
        <v>37</v>
      </c>
      <c r="P32" s="15">
        <v>37</v>
      </c>
      <c r="Q32" s="15">
        <v>246.68</v>
      </c>
      <c r="R32" s="15">
        <v>246.68</v>
      </c>
      <c r="S32" s="15">
        <v>255.78</v>
      </c>
      <c r="T32" s="15">
        <v>255.32</v>
      </c>
      <c r="U32" s="15">
        <v>255.78</v>
      </c>
    </row>
    <row r="33" spans="2:21" x14ac:dyDescent="0.35">
      <c r="B33" s="15" t="s">
        <v>158</v>
      </c>
      <c r="C33" s="15">
        <v>2.6009999999999998E-2</v>
      </c>
      <c r="D33" s="15">
        <v>42</v>
      </c>
      <c r="E33" s="15">
        <v>42</v>
      </c>
      <c r="F33" s="15">
        <v>2.5989999999999999E-2</v>
      </c>
      <c r="G33" s="15">
        <v>1</v>
      </c>
      <c r="H33" s="15">
        <v>1</v>
      </c>
      <c r="I33" s="15">
        <v>2.6009999999999998E-2</v>
      </c>
      <c r="J33" s="15">
        <v>0.44</v>
      </c>
      <c r="K33" s="15">
        <v>785.45738648999998</v>
      </c>
      <c r="L33" s="15">
        <v>799.89031906000002</v>
      </c>
      <c r="M33" s="15">
        <v>2.620958E-2</v>
      </c>
      <c r="N33" s="15">
        <v>2.6200279999999999E-2</v>
      </c>
      <c r="O33" s="15">
        <v>935</v>
      </c>
      <c r="P33" s="15">
        <v>1009</v>
      </c>
      <c r="Q33" s="15">
        <v>2.579E-2</v>
      </c>
      <c r="R33" s="15">
        <v>2.579E-2</v>
      </c>
      <c r="S33" s="15">
        <v>2.649E-2</v>
      </c>
      <c r="T33" s="15">
        <v>2.649E-2</v>
      </c>
      <c r="U33" s="15">
        <v>2.6210000000000001E-2</v>
      </c>
    </row>
    <row r="34" spans="2:21" x14ac:dyDescent="0.35">
      <c r="B34" s="15" t="s">
        <v>160</v>
      </c>
      <c r="C34" s="15">
        <v>0.88793999999999995</v>
      </c>
      <c r="D34" s="15">
        <v>255</v>
      </c>
      <c r="E34" s="15">
        <v>255</v>
      </c>
      <c r="F34" s="15">
        <v>0.88685999999999998</v>
      </c>
      <c r="G34" s="15">
        <v>1389</v>
      </c>
      <c r="H34" s="15">
        <v>1389</v>
      </c>
      <c r="I34" s="15">
        <v>0.88793999999999995</v>
      </c>
      <c r="J34" s="15">
        <v>126.24749421</v>
      </c>
      <c r="K34" s="15">
        <v>34268.251013280002</v>
      </c>
      <c r="L34" s="15">
        <v>50696.100831939999</v>
      </c>
      <c r="M34" s="15">
        <v>0.88932655000000005</v>
      </c>
      <c r="N34" s="15">
        <v>0.88954012999999998</v>
      </c>
      <c r="O34" s="15">
        <v>262</v>
      </c>
      <c r="P34" s="15">
        <v>335</v>
      </c>
      <c r="Q34" s="15">
        <v>0.88724999999999998</v>
      </c>
      <c r="R34" s="15">
        <v>0.88724999999999998</v>
      </c>
      <c r="S34" s="15">
        <v>0.89190000000000003</v>
      </c>
      <c r="T34" s="15">
        <v>0.89190000000000003</v>
      </c>
      <c r="U34" s="15">
        <v>0.88854999999999995</v>
      </c>
    </row>
    <row r="35" spans="2:21" x14ac:dyDescent="0.35">
      <c r="B35" s="15" t="s">
        <v>162</v>
      </c>
      <c r="C35" s="15">
        <v>1.00271</v>
      </c>
      <c r="D35" s="15">
        <v>489</v>
      </c>
      <c r="E35" s="15">
        <v>489</v>
      </c>
      <c r="F35" s="15">
        <v>1.00135</v>
      </c>
      <c r="G35" s="15">
        <v>3970</v>
      </c>
      <c r="H35" s="15">
        <v>3970</v>
      </c>
      <c r="I35" s="15">
        <v>1.00271</v>
      </c>
      <c r="J35" s="15">
        <v>50.002293780000002</v>
      </c>
      <c r="K35" s="15">
        <v>55391.10404731</v>
      </c>
      <c r="L35" s="15">
        <v>59308.362318489999</v>
      </c>
      <c r="M35" s="15">
        <v>1.00168156</v>
      </c>
      <c r="N35" s="15">
        <v>1.001762</v>
      </c>
      <c r="O35" s="15">
        <v>195</v>
      </c>
      <c r="P35" s="15">
        <v>234</v>
      </c>
      <c r="Q35" s="15">
        <v>1</v>
      </c>
      <c r="R35" s="15">
        <v>1</v>
      </c>
      <c r="S35" s="15">
        <v>1.0043899999999999</v>
      </c>
      <c r="T35" s="15">
        <v>1.0043899999999999</v>
      </c>
      <c r="U35" s="15">
        <v>1.0043899999999999</v>
      </c>
    </row>
    <row r="36" spans="2:21" x14ac:dyDescent="0.35">
      <c r="B36" s="15" t="s">
        <v>164</v>
      </c>
      <c r="C36" s="15">
        <v>1.0026600000000001</v>
      </c>
      <c r="D36" s="15">
        <v>357</v>
      </c>
      <c r="E36" s="15">
        <v>357</v>
      </c>
      <c r="F36" s="15">
        <v>1.0008600000000001</v>
      </c>
      <c r="G36" s="15">
        <v>390</v>
      </c>
      <c r="H36" s="15">
        <v>390</v>
      </c>
      <c r="I36" s="15">
        <v>1.00163</v>
      </c>
      <c r="J36" s="15">
        <v>126.24749421</v>
      </c>
      <c r="K36" s="15">
        <v>19616.369146429999</v>
      </c>
      <c r="L36" s="15">
        <v>24050.052891899999</v>
      </c>
      <c r="M36" s="15">
        <v>1.0020012300000001</v>
      </c>
      <c r="N36" s="15">
        <v>1.00218794</v>
      </c>
      <c r="O36" s="15">
        <v>103</v>
      </c>
      <c r="P36" s="15">
        <v>123</v>
      </c>
      <c r="Q36" s="15">
        <v>1.0002899999999999</v>
      </c>
      <c r="R36" s="15">
        <v>1.0002899999999999</v>
      </c>
      <c r="S36" s="15">
        <v>1.0044200000000001</v>
      </c>
      <c r="T36" s="15">
        <v>1.0044200000000001</v>
      </c>
      <c r="U36" s="15">
        <v>1.0044200000000001</v>
      </c>
    </row>
    <row r="37" spans="2:21" x14ac:dyDescent="0.35">
      <c r="B37" s="15" t="s">
        <v>166</v>
      </c>
      <c r="C37" s="15">
        <v>69.194000000000003</v>
      </c>
      <c r="D37" s="15">
        <v>5</v>
      </c>
      <c r="E37" s="15">
        <v>5</v>
      </c>
      <c r="F37" s="15">
        <v>69.064999999999998</v>
      </c>
      <c r="G37" s="15">
        <v>4</v>
      </c>
      <c r="H37" s="15">
        <v>4</v>
      </c>
      <c r="I37" s="15">
        <v>69.087000000000003</v>
      </c>
      <c r="J37" s="15">
        <v>0.819214</v>
      </c>
      <c r="K37" s="15">
        <v>909.96947068999998</v>
      </c>
      <c r="L37" s="15">
        <v>929.93054863999998</v>
      </c>
      <c r="M37" s="15">
        <v>68.265923999999998</v>
      </c>
      <c r="N37" s="15">
        <v>68.292357999999993</v>
      </c>
      <c r="O37" s="15">
        <v>484</v>
      </c>
      <c r="P37" s="15">
        <v>505</v>
      </c>
      <c r="Q37" s="15">
        <v>67.63</v>
      </c>
      <c r="R37" s="15">
        <v>67.63</v>
      </c>
      <c r="S37" s="15">
        <v>69.694999999999993</v>
      </c>
      <c r="T37" s="15">
        <v>69.78</v>
      </c>
      <c r="U37" s="15">
        <v>69.328999999999994</v>
      </c>
    </row>
    <row r="38" spans="2:21" x14ac:dyDescent="0.35">
      <c r="B38" s="15" t="s">
        <v>168</v>
      </c>
      <c r="C38" s="15">
        <v>77.977000000000004</v>
      </c>
      <c r="D38" s="15">
        <v>49</v>
      </c>
      <c r="E38" s="15">
        <v>49</v>
      </c>
      <c r="F38" s="15">
        <v>77.956999999999994</v>
      </c>
      <c r="G38" s="15">
        <v>8</v>
      </c>
      <c r="H38" s="15">
        <v>8</v>
      </c>
      <c r="I38" s="15">
        <v>77.977000000000004</v>
      </c>
      <c r="J38" s="15">
        <v>0.03</v>
      </c>
      <c r="K38" s="15">
        <v>1236.33254304</v>
      </c>
      <c r="L38" s="15">
        <v>1387.91685598</v>
      </c>
      <c r="M38" s="15">
        <v>77.264107999999993</v>
      </c>
      <c r="N38" s="15">
        <v>77.392522</v>
      </c>
      <c r="O38" s="15">
        <v>366</v>
      </c>
      <c r="P38" s="15">
        <v>385</v>
      </c>
      <c r="Q38" s="15">
        <v>75.83</v>
      </c>
      <c r="R38" s="15">
        <v>75.83</v>
      </c>
      <c r="S38" s="15">
        <v>78.638999999999996</v>
      </c>
      <c r="T38" s="15">
        <v>78.688999999999993</v>
      </c>
      <c r="U38" s="15">
        <v>78.352000000000004</v>
      </c>
    </row>
    <row r="39" spans="2:21" x14ac:dyDescent="0.35">
      <c r="B39" s="15" t="s">
        <v>170</v>
      </c>
      <c r="C39" s="15">
        <v>8.0000000000000002E-3</v>
      </c>
      <c r="D39" s="15">
        <v>1</v>
      </c>
      <c r="E39" s="15">
        <v>1</v>
      </c>
      <c r="F39" s="15">
        <v>7.9900000000000006E-3</v>
      </c>
      <c r="G39" s="15">
        <v>46</v>
      </c>
      <c r="H39" s="15">
        <v>46</v>
      </c>
      <c r="I39" s="15">
        <v>7.9799999999999992E-3</v>
      </c>
      <c r="J39" s="15">
        <v>0.26773967999999998</v>
      </c>
      <c r="K39" s="15">
        <v>273.49837432999999</v>
      </c>
      <c r="L39" s="15">
        <v>281.47363529</v>
      </c>
      <c r="M39" s="15">
        <v>8.0803400000000001E-3</v>
      </c>
      <c r="N39" s="15">
        <v>8.0681699999999995E-3</v>
      </c>
      <c r="O39" s="15">
        <v>188</v>
      </c>
      <c r="P39" s="15">
        <v>215</v>
      </c>
      <c r="Q39" s="15">
        <v>7.9299999999999995E-3</v>
      </c>
      <c r="R39" s="15">
        <v>7.9299999999999995E-3</v>
      </c>
      <c r="S39" s="15">
        <v>8.1300000000000001E-3</v>
      </c>
      <c r="T39" s="15">
        <v>8.1399999999999997E-3</v>
      </c>
      <c r="U39" s="15">
        <v>8.0999999999999996E-3</v>
      </c>
    </row>
    <row r="40" spans="2:21" x14ac:dyDescent="0.35">
      <c r="B40" s="15" t="s">
        <v>172</v>
      </c>
      <c r="C40" s="15">
        <v>1.1528E-2</v>
      </c>
      <c r="D40" s="15">
        <v>63</v>
      </c>
      <c r="E40" s="15">
        <v>63</v>
      </c>
      <c r="F40" s="15">
        <v>1.1501000000000001E-2</v>
      </c>
      <c r="G40" s="15">
        <v>195</v>
      </c>
      <c r="H40" s="15">
        <v>195</v>
      </c>
      <c r="I40" s="15">
        <v>1.1565000000000001E-2</v>
      </c>
      <c r="J40" s="15">
        <v>38.9157121</v>
      </c>
      <c r="K40" s="15">
        <v>1746.2484227100001</v>
      </c>
      <c r="L40" s="15">
        <v>4429.01122012</v>
      </c>
      <c r="M40" s="15">
        <v>1.1622560000000001E-2</v>
      </c>
      <c r="N40" s="15">
        <v>1.159527E-2</v>
      </c>
      <c r="O40" s="15">
        <v>33</v>
      </c>
      <c r="P40" s="15">
        <v>55</v>
      </c>
      <c r="Q40" s="15">
        <v>1.1563E-2</v>
      </c>
      <c r="R40" s="15">
        <v>1.1538E-2</v>
      </c>
      <c r="S40" s="15">
        <v>1.1677E-2</v>
      </c>
      <c r="T40" s="15">
        <v>1.1707E-2</v>
      </c>
      <c r="U40" s="15">
        <v>1.158E-2</v>
      </c>
    </row>
    <row r="41" spans="2:21" x14ac:dyDescent="0.35">
      <c r="B41" s="15" t="s">
        <v>174</v>
      </c>
      <c r="C41" s="15">
        <v>2.4784000000000002</v>
      </c>
      <c r="D41" s="15">
        <v>600</v>
      </c>
      <c r="E41" s="15">
        <v>600</v>
      </c>
      <c r="F41" s="15">
        <v>2.476</v>
      </c>
      <c r="G41" s="15">
        <v>600</v>
      </c>
      <c r="H41" s="15">
        <v>600</v>
      </c>
      <c r="I41" s="15">
        <v>2.4771000000000001</v>
      </c>
      <c r="J41" s="15">
        <v>1.9283000000000001E-4</v>
      </c>
      <c r="K41" s="15">
        <v>51149.316246139999</v>
      </c>
      <c r="L41" s="15">
        <v>54646.679759300001</v>
      </c>
      <c r="M41" s="15">
        <v>2.4667309999999998</v>
      </c>
      <c r="N41" s="15">
        <v>2.4669029999999998</v>
      </c>
      <c r="O41" s="15">
        <v>416</v>
      </c>
      <c r="P41" s="15">
        <v>443</v>
      </c>
      <c r="Q41" s="15">
        <v>2.4323999999999999</v>
      </c>
      <c r="R41" s="15">
        <v>2.4323999999999999</v>
      </c>
      <c r="S41" s="15">
        <v>2.5026999999999999</v>
      </c>
      <c r="T41" s="15">
        <v>2.5026999999999999</v>
      </c>
      <c r="U41" s="15">
        <v>2.4822000000000002</v>
      </c>
    </row>
    <row r="42" spans="2:21" x14ac:dyDescent="0.35">
      <c r="B42" s="15" t="s">
        <v>176</v>
      </c>
      <c r="C42" s="15">
        <v>2.7972999999999999</v>
      </c>
      <c r="D42" s="15">
        <v>600</v>
      </c>
      <c r="E42" s="15">
        <v>600</v>
      </c>
      <c r="F42" s="15">
        <v>2.7945000000000002</v>
      </c>
      <c r="G42" s="15">
        <v>600</v>
      </c>
      <c r="H42" s="15">
        <v>600</v>
      </c>
      <c r="I42" s="15">
        <v>2.8</v>
      </c>
      <c r="J42" s="15">
        <v>194.54143689</v>
      </c>
      <c r="K42" s="15">
        <v>51175.753017670002</v>
      </c>
      <c r="L42" s="15">
        <v>54788.435059809999</v>
      </c>
      <c r="M42" s="15">
        <v>2.7758539999999998</v>
      </c>
      <c r="N42" s="15">
        <v>2.776278</v>
      </c>
      <c r="O42" s="15">
        <v>220</v>
      </c>
      <c r="P42" s="15">
        <v>245</v>
      </c>
      <c r="Q42" s="15">
        <v>2.7355</v>
      </c>
      <c r="R42" s="15">
        <v>2.7355</v>
      </c>
      <c r="S42" s="15">
        <v>2.8174999999999999</v>
      </c>
      <c r="T42" s="15">
        <v>2.8174999999999999</v>
      </c>
      <c r="U42" s="15">
        <v>2.8005</v>
      </c>
    </row>
    <row r="43" spans="2:21" x14ac:dyDescent="0.35">
      <c r="B43" s="15" t="s">
        <v>178</v>
      </c>
      <c r="C43" s="15">
        <v>2.8699999999999998E-4</v>
      </c>
      <c r="D43" s="15">
        <v>83</v>
      </c>
      <c r="E43" s="15">
        <v>83</v>
      </c>
      <c r="F43" s="15">
        <v>2.8689999999999998E-4</v>
      </c>
      <c r="G43" s="15">
        <v>18</v>
      </c>
      <c r="H43" s="15">
        <v>18</v>
      </c>
      <c r="I43" s="15">
        <v>2.8699999999999998E-4</v>
      </c>
      <c r="J43" s="15">
        <v>7.2441615700000002</v>
      </c>
      <c r="K43" s="15">
        <v>7682.9941776699998</v>
      </c>
      <c r="L43" s="15">
        <v>7994.3375353900001</v>
      </c>
      <c r="M43" s="15">
        <v>2.9138999999999999E-4</v>
      </c>
      <c r="N43" s="15">
        <v>2.7908000000000002E-4</v>
      </c>
      <c r="O43" s="15">
        <v>90</v>
      </c>
      <c r="P43" s="15">
        <v>98</v>
      </c>
      <c r="Q43" s="15">
        <v>2.8630000000000002E-4</v>
      </c>
      <c r="R43" s="15">
        <v>2.8630000000000002E-4</v>
      </c>
      <c r="S43" s="15">
        <v>2.9300000000000002E-4</v>
      </c>
      <c r="T43" s="15">
        <v>2.9300000000000002E-4</v>
      </c>
      <c r="U43" s="15">
        <v>2.9E-4</v>
      </c>
    </row>
    <row r="44" spans="2:21" x14ac:dyDescent="0.35">
      <c r="B44" s="15" t="s">
        <v>180</v>
      </c>
      <c r="C44" s="15">
        <v>235</v>
      </c>
      <c r="D44" s="15">
        <v>2</v>
      </c>
      <c r="E44" s="15">
        <v>2</v>
      </c>
      <c r="F44" s="15">
        <v>233.98</v>
      </c>
      <c r="G44" s="15">
        <v>8</v>
      </c>
      <c r="H44" s="15">
        <v>8</v>
      </c>
      <c r="I44" s="15">
        <v>233.6</v>
      </c>
      <c r="J44" s="15">
        <v>0.87385570000000001</v>
      </c>
      <c r="K44" s="15">
        <v>67.00107371</v>
      </c>
      <c r="L44" s="15">
        <v>76.406162170000002</v>
      </c>
      <c r="M44" s="15">
        <v>232.64270999999999</v>
      </c>
      <c r="N44" s="15">
        <v>232.94525999999999</v>
      </c>
      <c r="O44" s="15">
        <v>56</v>
      </c>
      <c r="P44" s="15">
        <v>64</v>
      </c>
      <c r="Q44" s="15">
        <v>229.67</v>
      </c>
      <c r="R44" s="15">
        <v>229.67</v>
      </c>
      <c r="S44" s="15">
        <v>235.85</v>
      </c>
      <c r="T44" s="15">
        <v>235.85</v>
      </c>
      <c r="U44" s="15">
        <v>235.85</v>
      </c>
    </row>
    <row r="45" spans="2:21" x14ac:dyDescent="0.35">
      <c r="B45" s="15" t="s">
        <v>182</v>
      </c>
      <c r="C45" s="15">
        <v>242.15700000000001</v>
      </c>
      <c r="D45" s="15">
        <v>1</v>
      </c>
      <c r="E45" s="15">
        <v>1</v>
      </c>
      <c r="F45" s="15">
        <v>242.07400000000001</v>
      </c>
      <c r="G45" s="15">
        <v>21</v>
      </c>
      <c r="H45" s="15">
        <v>21</v>
      </c>
      <c r="I45" s="15">
        <v>241.98500000000001</v>
      </c>
      <c r="J45" s="15">
        <v>9.7000000000000003E-2</v>
      </c>
      <c r="K45" s="15">
        <v>114.81815142000001</v>
      </c>
      <c r="L45" s="15">
        <v>136.97048874999999</v>
      </c>
      <c r="M45" s="15">
        <v>238.823048</v>
      </c>
      <c r="N45" s="15">
        <v>239.15030300000001</v>
      </c>
      <c r="O45" s="15">
        <v>529</v>
      </c>
      <c r="P45" s="15">
        <v>642</v>
      </c>
      <c r="Q45" s="15">
        <v>234.279</v>
      </c>
      <c r="R45" s="15">
        <v>234.279</v>
      </c>
      <c r="S45" s="15">
        <v>242.96799999999999</v>
      </c>
      <c r="T45" s="15">
        <v>242.96799999999999</v>
      </c>
      <c r="U45" s="15">
        <v>240.81</v>
      </c>
    </row>
    <row r="46" spans="2:21" x14ac:dyDescent="0.35">
      <c r="B46" s="15" t="s">
        <v>184</v>
      </c>
      <c r="C46" s="15">
        <v>243.08</v>
      </c>
      <c r="D46" s="15">
        <v>15</v>
      </c>
      <c r="E46" s="15">
        <v>15</v>
      </c>
      <c r="F46" s="15">
        <v>242.66</v>
      </c>
      <c r="G46" s="15">
        <v>3</v>
      </c>
      <c r="H46" s="15">
        <v>3</v>
      </c>
      <c r="I46" s="15">
        <v>240.4</v>
      </c>
      <c r="J46" s="15">
        <v>2.2000000000000001E-7</v>
      </c>
      <c r="K46" s="15">
        <v>323.92050798999998</v>
      </c>
      <c r="L46" s="15">
        <v>323.95335526999997</v>
      </c>
      <c r="M46" s="15">
        <v>240.31178</v>
      </c>
      <c r="N46" s="15">
        <v>240.31179599999999</v>
      </c>
      <c r="O46" s="15">
        <v>58</v>
      </c>
      <c r="P46" s="15">
        <v>59</v>
      </c>
      <c r="Q46" s="15">
        <v>235</v>
      </c>
      <c r="R46" s="15">
        <v>235</v>
      </c>
      <c r="S46" s="15">
        <v>243.36</v>
      </c>
      <c r="T46" s="15">
        <v>243.36</v>
      </c>
      <c r="U46" s="15">
        <v>241.86</v>
      </c>
    </row>
    <row r="47" spans="2:21" x14ac:dyDescent="0.35">
      <c r="B47" s="15" t="s">
        <v>186</v>
      </c>
      <c r="C47" s="15">
        <v>242.93</v>
      </c>
      <c r="D47" s="15">
        <v>2</v>
      </c>
      <c r="E47" s="15">
        <v>2</v>
      </c>
      <c r="F47" s="15">
        <v>242.64</v>
      </c>
      <c r="G47" s="15">
        <v>3</v>
      </c>
      <c r="H47" s="15">
        <v>3</v>
      </c>
      <c r="I47" s="15">
        <v>243.03</v>
      </c>
      <c r="J47" s="15">
        <v>2.1</v>
      </c>
      <c r="K47" s="15">
        <v>623.54214859000001</v>
      </c>
      <c r="L47" s="15">
        <v>742.99573041999997</v>
      </c>
      <c r="M47" s="15">
        <v>237.91654</v>
      </c>
      <c r="N47" s="15">
        <v>238.54703000000001</v>
      </c>
      <c r="O47" s="15">
        <v>205</v>
      </c>
      <c r="P47" s="15">
        <v>256</v>
      </c>
      <c r="Q47" s="15">
        <v>234.48</v>
      </c>
      <c r="R47" s="15">
        <v>234.48</v>
      </c>
      <c r="S47" s="15">
        <v>243.32</v>
      </c>
      <c r="T47" s="15">
        <v>243.32</v>
      </c>
      <c r="U47" s="15">
        <v>242.17</v>
      </c>
    </row>
    <row r="48" spans="2:21" x14ac:dyDescent="0.35">
      <c r="B48" s="15" t="s">
        <v>188</v>
      </c>
      <c r="C48" s="15">
        <v>1.5235799999999999</v>
      </c>
      <c r="D48" s="15">
        <v>842</v>
      </c>
      <c r="E48" s="15">
        <v>842</v>
      </c>
      <c r="F48" s="15">
        <v>1.5186500000000001</v>
      </c>
      <c r="G48" s="15">
        <v>335</v>
      </c>
      <c r="H48" s="15">
        <v>335</v>
      </c>
      <c r="I48" s="15">
        <v>1.52356</v>
      </c>
      <c r="J48" s="15">
        <v>339.36556486000001</v>
      </c>
      <c r="K48" s="15">
        <v>1646.9853652500001</v>
      </c>
      <c r="L48" s="15">
        <v>2605.2994407599999</v>
      </c>
      <c r="M48" s="15">
        <v>1.5227999999999999</v>
      </c>
      <c r="N48" s="15">
        <v>1.5205500000000001</v>
      </c>
      <c r="O48" s="15">
        <v>11</v>
      </c>
      <c r="P48" s="15">
        <v>17</v>
      </c>
      <c r="Q48" s="15">
        <v>1.5200899999999999</v>
      </c>
      <c r="R48" s="15">
        <v>1.5162500000000001</v>
      </c>
      <c r="S48" s="15">
        <v>1.52546</v>
      </c>
      <c r="T48" s="15">
        <v>1.52546</v>
      </c>
      <c r="U48" s="15">
        <v>1.52484</v>
      </c>
    </row>
    <row r="49" spans="2:21" x14ac:dyDescent="0.35">
      <c r="B49" s="15" t="s">
        <v>190</v>
      </c>
      <c r="C49" s="15">
        <v>1.0911500000000001</v>
      </c>
      <c r="D49" s="15">
        <v>39</v>
      </c>
      <c r="E49" s="15">
        <v>39</v>
      </c>
      <c r="F49" s="15">
        <v>1.08619</v>
      </c>
      <c r="G49" s="15">
        <v>20</v>
      </c>
      <c r="H49" s="15">
        <v>20</v>
      </c>
      <c r="I49" s="15">
        <v>1.09016</v>
      </c>
      <c r="J49" s="15">
        <v>83.412800000000004</v>
      </c>
      <c r="K49" s="15">
        <v>9407.1976668200004</v>
      </c>
      <c r="L49" s="15">
        <v>15571.22476682</v>
      </c>
      <c r="M49" s="15">
        <v>1.0880700000000001</v>
      </c>
      <c r="N49" s="15">
        <v>1.08144</v>
      </c>
      <c r="O49" s="15">
        <v>64</v>
      </c>
      <c r="P49" s="15">
        <v>85</v>
      </c>
      <c r="Q49" s="15">
        <v>1.08301</v>
      </c>
      <c r="R49" s="15">
        <v>1.08301</v>
      </c>
      <c r="S49" s="15">
        <v>1.0960000000000001</v>
      </c>
      <c r="T49" s="15">
        <v>1.0960000000000001</v>
      </c>
      <c r="U49" s="15">
        <v>1.0900000000000001</v>
      </c>
    </row>
    <row r="50" spans="2:21" x14ac:dyDescent="0.35">
      <c r="B50" s="15" t="s">
        <v>192</v>
      </c>
      <c r="C50" s="15">
        <v>0.89337999999999995</v>
      </c>
      <c r="D50" s="15">
        <v>307</v>
      </c>
      <c r="E50" s="15">
        <v>307</v>
      </c>
      <c r="F50" s="15">
        <v>0.89073999999999998</v>
      </c>
      <c r="G50" s="15">
        <v>330</v>
      </c>
      <c r="H50" s="15">
        <v>330</v>
      </c>
      <c r="I50" s="15">
        <v>0.89173000000000002</v>
      </c>
      <c r="J50" s="15">
        <v>33.220994349999998</v>
      </c>
      <c r="K50" s="15">
        <v>3653.1294392</v>
      </c>
      <c r="L50" s="15">
        <v>18965.260075999999</v>
      </c>
      <c r="M50" s="15">
        <v>0.89070000000000005</v>
      </c>
      <c r="N50" s="15">
        <v>0.88915</v>
      </c>
      <c r="O50" s="15">
        <v>13</v>
      </c>
      <c r="P50" s="15">
        <v>40</v>
      </c>
      <c r="Q50" s="15">
        <v>0.89019000000000004</v>
      </c>
      <c r="R50" s="15">
        <v>0.88766</v>
      </c>
      <c r="S50" s="15">
        <v>0.89532</v>
      </c>
      <c r="T50" s="15">
        <v>0.89532</v>
      </c>
      <c r="U50" s="15">
        <v>0.89459999999999995</v>
      </c>
    </row>
    <row r="51" spans="2:21" x14ac:dyDescent="0.35">
      <c r="B51" s="15" t="s">
        <v>194</v>
      </c>
      <c r="C51" s="15">
        <v>124.01900000000001</v>
      </c>
      <c r="D51" s="15">
        <v>919</v>
      </c>
      <c r="E51" s="15">
        <v>919</v>
      </c>
      <c r="F51" s="15">
        <v>123.395</v>
      </c>
      <c r="G51" s="15">
        <v>328</v>
      </c>
      <c r="H51" s="15">
        <v>328</v>
      </c>
      <c r="I51" s="15">
        <v>123.947</v>
      </c>
      <c r="J51" s="15">
        <v>156.50686999999999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123.947</v>
      </c>
      <c r="R51" s="15">
        <v>0</v>
      </c>
      <c r="S51" s="15">
        <v>123.947</v>
      </c>
      <c r="T51" s="15">
        <v>0</v>
      </c>
      <c r="U51" s="15">
        <v>123.947</v>
      </c>
    </row>
    <row r="52" spans="2:21" x14ac:dyDescent="0.35">
      <c r="B52" s="15" t="s">
        <v>196</v>
      </c>
      <c r="C52" s="15">
        <v>0.1343</v>
      </c>
      <c r="D52" s="15">
        <v>10</v>
      </c>
      <c r="E52" s="15">
        <v>10</v>
      </c>
      <c r="F52" s="15">
        <v>0.1338</v>
      </c>
      <c r="G52" s="15">
        <v>40</v>
      </c>
      <c r="H52" s="15">
        <v>40</v>
      </c>
      <c r="I52" s="15">
        <v>0.1346</v>
      </c>
      <c r="J52" s="15">
        <v>2.020315E-2</v>
      </c>
      <c r="K52" s="15">
        <v>871.04384956000001</v>
      </c>
      <c r="L52" s="15">
        <v>965.70014441000001</v>
      </c>
      <c r="M52" s="15">
        <v>0.13157244000000001</v>
      </c>
      <c r="N52" s="15">
        <v>0.13097268000000001</v>
      </c>
      <c r="O52" s="15">
        <v>172</v>
      </c>
      <c r="P52" s="15">
        <v>190</v>
      </c>
      <c r="Q52" s="15">
        <v>0.1268</v>
      </c>
      <c r="R52" s="15">
        <v>0.12379999999999999</v>
      </c>
      <c r="S52" s="15">
        <v>0.1348</v>
      </c>
      <c r="T52" s="15">
        <v>0.1348</v>
      </c>
      <c r="U52" s="15">
        <v>0.12720000000000001</v>
      </c>
    </row>
    <row r="53" spans="2:21" x14ac:dyDescent="0.35">
      <c r="B53" s="15" t="s">
        <v>198</v>
      </c>
      <c r="C53" s="15">
        <v>29.17</v>
      </c>
      <c r="D53" s="15">
        <v>11</v>
      </c>
      <c r="E53" s="15">
        <v>11</v>
      </c>
      <c r="F53" s="15">
        <v>28.77</v>
      </c>
      <c r="G53" s="15">
        <v>43</v>
      </c>
      <c r="H53" s="15">
        <v>43</v>
      </c>
      <c r="I53" s="15">
        <v>28.55</v>
      </c>
      <c r="J53" s="15">
        <v>4.4117000000000001E-4</v>
      </c>
      <c r="K53" s="15">
        <v>1918.8121069199999</v>
      </c>
      <c r="L53" s="15">
        <v>2127.93356679</v>
      </c>
      <c r="M53" s="15">
        <v>28.584472000000002</v>
      </c>
      <c r="N53" s="15">
        <v>28.455767000000002</v>
      </c>
      <c r="O53" s="15">
        <v>340</v>
      </c>
      <c r="P53" s="15">
        <v>387</v>
      </c>
      <c r="Q53" s="15">
        <v>26.95</v>
      </c>
      <c r="R53" s="15">
        <v>26.75</v>
      </c>
      <c r="S53" s="15">
        <v>29.6</v>
      </c>
      <c r="T53" s="15">
        <v>29.6</v>
      </c>
      <c r="U53" s="15">
        <v>27.11</v>
      </c>
    </row>
    <row r="54" spans="2:21" x14ac:dyDescent="0.35">
      <c r="B54" s="15" t="s">
        <v>200</v>
      </c>
      <c r="C54" s="15">
        <v>32.67</v>
      </c>
      <c r="D54" s="15">
        <v>1</v>
      </c>
      <c r="E54" s="15">
        <v>1</v>
      </c>
      <c r="F54" s="15">
        <v>32.49</v>
      </c>
      <c r="G54" s="15">
        <v>17</v>
      </c>
      <c r="H54" s="15">
        <v>17</v>
      </c>
      <c r="I54" s="15">
        <v>32.25</v>
      </c>
      <c r="J54" s="15">
        <v>4.4724641900000002</v>
      </c>
      <c r="K54" s="15">
        <v>397.04503975</v>
      </c>
      <c r="L54" s="15">
        <v>397.46635458999998</v>
      </c>
      <c r="M54" s="15">
        <v>31.560334999999998</v>
      </c>
      <c r="N54" s="15">
        <v>31.558885</v>
      </c>
      <c r="O54" s="15">
        <v>100</v>
      </c>
      <c r="P54" s="15">
        <v>108</v>
      </c>
      <c r="Q54" s="15">
        <v>30.44</v>
      </c>
      <c r="R54" s="15">
        <v>30.03</v>
      </c>
      <c r="S54" s="15">
        <v>32.25</v>
      </c>
      <c r="T54" s="15">
        <v>32.25</v>
      </c>
      <c r="U54" s="15">
        <v>30.44</v>
      </c>
    </row>
    <row r="55" spans="2:21" x14ac:dyDescent="0.35">
      <c r="B55" s="15" t="s">
        <v>202</v>
      </c>
      <c r="C55" s="15">
        <v>3.3600000000000001E-3</v>
      </c>
      <c r="D55" s="15">
        <v>10</v>
      </c>
      <c r="E55" s="15">
        <v>10</v>
      </c>
      <c r="F55" s="15">
        <v>3.3400000000000001E-3</v>
      </c>
      <c r="G55" s="15">
        <v>9</v>
      </c>
      <c r="H55" s="15">
        <v>9</v>
      </c>
      <c r="I55" s="15">
        <v>3.3400000000000001E-3</v>
      </c>
      <c r="J55" s="15">
        <v>9.9999999999999995E-8</v>
      </c>
      <c r="K55" s="15">
        <v>383.30018992999999</v>
      </c>
      <c r="L55" s="15">
        <v>1149.6303180800001</v>
      </c>
      <c r="M55" s="15">
        <v>3.2945600000000002E-3</v>
      </c>
      <c r="N55" s="15">
        <v>3.3064000000000001E-3</v>
      </c>
      <c r="O55" s="15">
        <v>108</v>
      </c>
      <c r="P55" s="15">
        <v>265</v>
      </c>
      <c r="Q55" s="15">
        <v>3.1700000000000001E-3</v>
      </c>
      <c r="R55" s="15">
        <v>3.0899999999999999E-3</v>
      </c>
      <c r="S55" s="15">
        <v>3.3600000000000001E-3</v>
      </c>
      <c r="T55" s="15">
        <v>3.3999999999999998E-3</v>
      </c>
      <c r="U55" s="15">
        <v>3.1700000000000001E-3</v>
      </c>
    </row>
    <row r="56" spans="2:21" x14ac:dyDescent="0.35">
      <c r="B56" s="15" t="s">
        <v>204</v>
      </c>
      <c r="C56" s="15">
        <v>1.3738000000000001E-3</v>
      </c>
      <c r="D56" s="15">
        <v>1588</v>
      </c>
      <c r="E56" s="15">
        <v>1588</v>
      </c>
      <c r="F56" s="15">
        <v>1.3679E-3</v>
      </c>
      <c r="G56" s="15">
        <v>2488</v>
      </c>
      <c r="H56" s="15">
        <v>2488</v>
      </c>
      <c r="I56" s="15">
        <v>1.3751E-3</v>
      </c>
      <c r="J56" s="15">
        <v>1361.2588885</v>
      </c>
      <c r="K56" s="15">
        <v>7933.0208541600005</v>
      </c>
      <c r="L56" s="15">
        <v>25723.559307259999</v>
      </c>
      <c r="M56" s="15">
        <v>1.391492E-3</v>
      </c>
      <c r="N56" s="15">
        <v>1.3889449999999999E-3</v>
      </c>
      <c r="O56" s="15">
        <v>11</v>
      </c>
      <c r="P56" s="15">
        <v>25</v>
      </c>
      <c r="Q56" s="15">
        <v>1.3751E-3</v>
      </c>
      <c r="R56" s="15">
        <v>1.3725E-3</v>
      </c>
      <c r="S56" s="15">
        <v>1.3971000000000001E-3</v>
      </c>
      <c r="T56" s="15">
        <v>1.4E-3</v>
      </c>
      <c r="U56" s="15">
        <v>1.3937000000000001E-3</v>
      </c>
    </row>
    <row r="57" spans="2:21" x14ac:dyDescent="0.35">
      <c r="B57" s="15" t="s">
        <v>206</v>
      </c>
      <c r="C57" s="15">
        <v>0.2954</v>
      </c>
      <c r="D57" s="15">
        <v>1805</v>
      </c>
      <c r="E57" s="15">
        <v>1805</v>
      </c>
      <c r="F57" s="15">
        <v>0.29470000000000002</v>
      </c>
      <c r="G57" s="15">
        <v>1805</v>
      </c>
      <c r="H57" s="15">
        <v>1805</v>
      </c>
      <c r="I57" s="15">
        <v>0.29599999999999999</v>
      </c>
      <c r="J57" s="15">
        <v>1015</v>
      </c>
      <c r="K57" s="15">
        <v>153907.17207008999</v>
      </c>
      <c r="L57" s="15">
        <v>159333.93657650999</v>
      </c>
      <c r="M57" s="15">
        <v>0.29325200000000001</v>
      </c>
      <c r="N57" s="15">
        <v>0.29314299999999999</v>
      </c>
      <c r="O57" s="15">
        <v>191</v>
      </c>
      <c r="P57" s="15">
        <v>199</v>
      </c>
      <c r="Q57" s="15">
        <v>0.28710000000000002</v>
      </c>
      <c r="R57" s="15">
        <v>0.28710000000000002</v>
      </c>
      <c r="S57" s="15">
        <v>0.3014</v>
      </c>
      <c r="T57" s="15">
        <v>0.3014</v>
      </c>
      <c r="U57" s="15">
        <v>0.2999</v>
      </c>
    </row>
    <row r="58" spans="2:21" x14ac:dyDescent="0.35">
      <c r="B58" s="15" t="s">
        <v>208</v>
      </c>
      <c r="C58" s="15">
        <v>0.3337</v>
      </c>
      <c r="D58" s="15">
        <v>1664</v>
      </c>
      <c r="E58" s="15">
        <v>1664</v>
      </c>
      <c r="F58" s="15">
        <v>0.3322</v>
      </c>
      <c r="G58" s="15">
        <v>4264</v>
      </c>
      <c r="H58" s="15">
        <v>4264</v>
      </c>
      <c r="I58" s="15">
        <v>0.33239999999999997</v>
      </c>
      <c r="J58" s="15">
        <v>211.14523496999999</v>
      </c>
      <c r="K58" s="15">
        <v>56822.615104140001</v>
      </c>
      <c r="L58" s="15">
        <v>86238.232419609994</v>
      </c>
      <c r="M58" s="15">
        <v>0.32791199999999998</v>
      </c>
      <c r="N58" s="15">
        <v>0.32419199999999998</v>
      </c>
      <c r="O58" s="15">
        <v>70</v>
      </c>
      <c r="P58" s="15">
        <v>118</v>
      </c>
      <c r="Q58" s="15">
        <v>0.31590000000000001</v>
      </c>
      <c r="R58" s="15">
        <v>0.308</v>
      </c>
      <c r="S58" s="15">
        <v>0.33850000000000002</v>
      </c>
      <c r="T58" s="15">
        <v>0.3392</v>
      </c>
      <c r="U58" s="15">
        <v>0.33729999999999999</v>
      </c>
    </row>
    <row r="59" spans="2:21" x14ac:dyDescent="0.35">
      <c r="B59" s="15" t="s">
        <v>210</v>
      </c>
      <c r="C59" s="15">
        <v>3.4230000000000003E-5</v>
      </c>
      <c r="D59" s="15">
        <v>1674</v>
      </c>
      <c r="E59" s="15">
        <v>1674</v>
      </c>
      <c r="F59" s="15">
        <v>3.413E-5</v>
      </c>
      <c r="G59" s="15">
        <v>1677</v>
      </c>
      <c r="H59" s="15">
        <v>1677</v>
      </c>
      <c r="I59" s="15">
        <v>3.4230000000000003E-5</v>
      </c>
      <c r="J59" s="15">
        <v>140.22261284999999</v>
      </c>
      <c r="K59" s="15">
        <v>35686.413723860001</v>
      </c>
      <c r="L59" s="15">
        <v>37559.707654240003</v>
      </c>
      <c r="M59" s="15">
        <v>3.4552999999999999E-5</v>
      </c>
      <c r="N59" s="15">
        <v>3.4007999999999997E-5</v>
      </c>
      <c r="O59" s="15">
        <v>45</v>
      </c>
      <c r="P59" s="15">
        <v>47</v>
      </c>
      <c r="Q59" s="15">
        <v>3.4050000000000001E-5</v>
      </c>
      <c r="R59" s="15">
        <v>3.4050000000000001E-5</v>
      </c>
      <c r="S59" s="15">
        <v>3.506E-5</v>
      </c>
      <c r="T59" s="15">
        <v>3.506E-5</v>
      </c>
      <c r="U59" s="15">
        <v>3.4950000000000002E-5</v>
      </c>
    </row>
    <row r="60" spans="2:21" x14ac:dyDescent="0.35">
      <c r="B60" s="15" t="s">
        <v>212</v>
      </c>
      <c r="C60" s="15">
        <v>1.791475E-2</v>
      </c>
      <c r="D60" s="15">
        <v>127</v>
      </c>
      <c r="E60" s="15">
        <v>127</v>
      </c>
      <c r="F60" s="15">
        <v>1.7868169999999999E-2</v>
      </c>
      <c r="G60" s="15">
        <v>127</v>
      </c>
      <c r="H60" s="15">
        <v>127</v>
      </c>
      <c r="I60" s="15">
        <v>1.789719E-2</v>
      </c>
      <c r="J60" s="15">
        <v>77.639867719999998</v>
      </c>
      <c r="K60" s="15">
        <v>1862.4460663699999</v>
      </c>
      <c r="L60" s="15">
        <v>12971.83270549</v>
      </c>
      <c r="M60" s="15">
        <v>1.8033766E-2</v>
      </c>
      <c r="N60" s="15">
        <v>1.7832575999999999E-2</v>
      </c>
      <c r="O60" s="15">
        <v>25</v>
      </c>
      <c r="P60" s="15">
        <v>68</v>
      </c>
      <c r="Q60" s="15">
        <v>1.7883759999999999E-2</v>
      </c>
      <c r="R60" s="15">
        <v>1.7708600000000001E-2</v>
      </c>
      <c r="S60" s="15">
        <v>1.8091289999999999E-2</v>
      </c>
      <c r="T60" s="15">
        <v>1.8154920000000001E-2</v>
      </c>
      <c r="U60" s="15">
        <v>1.8033449999999999E-2</v>
      </c>
    </row>
    <row r="61" spans="2:21" x14ac:dyDescent="0.35">
      <c r="B61" s="15" t="s">
        <v>214</v>
      </c>
      <c r="C61" s="15">
        <v>3.8517199999999998</v>
      </c>
      <c r="D61" s="15">
        <v>195</v>
      </c>
      <c r="E61" s="15">
        <v>195</v>
      </c>
      <c r="F61" s="15">
        <v>3.8466399999999998</v>
      </c>
      <c r="G61" s="15">
        <v>224</v>
      </c>
      <c r="H61" s="15">
        <v>224</v>
      </c>
      <c r="I61" s="15">
        <v>3.8506200000000002</v>
      </c>
      <c r="J61" s="15">
        <v>813.4953266</v>
      </c>
      <c r="K61" s="15">
        <v>50901.814516279999</v>
      </c>
      <c r="L61" s="15">
        <v>68783.838397979998</v>
      </c>
      <c r="M61" s="15">
        <v>3.7827320000000002</v>
      </c>
      <c r="N61" s="15">
        <v>3.792249</v>
      </c>
      <c r="O61" s="15">
        <v>259</v>
      </c>
      <c r="P61" s="15">
        <v>378</v>
      </c>
      <c r="Q61" s="15">
        <v>3.7475100000000001</v>
      </c>
      <c r="R61" s="15">
        <v>3.7475100000000001</v>
      </c>
      <c r="S61" s="15">
        <v>3.9037500000000001</v>
      </c>
      <c r="T61" s="15">
        <v>3.9037500000000001</v>
      </c>
      <c r="U61" s="15">
        <v>3.8739499999999998</v>
      </c>
    </row>
    <row r="62" spans="2:21" x14ac:dyDescent="0.35">
      <c r="B62" s="15" t="s">
        <v>216</v>
      </c>
      <c r="C62" s="15">
        <v>4.3459000000000003</v>
      </c>
      <c r="D62" s="15">
        <v>50</v>
      </c>
      <c r="E62" s="15">
        <v>50</v>
      </c>
      <c r="F62" s="15">
        <v>4.3437299999999999</v>
      </c>
      <c r="G62" s="15">
        <v>204</v>
      </c>
      <c r="H62" s="15">
        <v>204</v>
      </c>
      <c r="I62" s="15">
        <v>4.34</v>
      </c>
      <c r="J62" s="15">
        <v>22.14687</v>
      </c>
      <c r="K62" s="15">
        <v>104556.67564914</v>
      </c>
      <c r="L62" s="15">
        <v>106025.02224123001</v>
      </c>
      <c r="M62" s="15">
        <v>4.2960880000000001</v>
      </c>
      <c r="N62" s="15">
        <v>4.2956919999999998</v>
      </c>
      <c r="O62" s="15">
        <v>555</v>
      </c>
      <c r="P62" s="15">
        <v>568</v>
      </c>
      <c r="Q62" s="15">
        <v>4.1938000000000004</v>
      </c>
      <c r="R62" s="15">
        <v>4.1938000000000004</v>
      </c>
      <c r="S62" s="15">
        <v>4.4010400000000001</v>
      </c>
      <c r="T62" s="15">
        <v>4.4010400000000001</v>
      </c>
      <c r="U62" s="15">
        <v>4.3562399999999997</v>
      </c>
    </row>
    <row r="63" spans="2:21" x14ac:dyDescent="0.35">
      <c r="B63" s="15" t="s">
        <v>218</v>
      </c>
      <c r="C63" s="15">
        <v>4.4645999999999998E-4</v>
      </c>
      <c r="D63" s="15">
        <v>145</v>
      </c>
      <c r="E63" s="15">
        <v>145</v>
      </c>
      <c r="F63" s="15">
        <v>4.4564000000000002E-4</v>
      </c>
      <c r="G63" s="15">
        <v>145</v>
      </c>
      <c r="H63" s="15">
        <v>145</v>
      </c>
      <c r="I63" s="15">
        <v>4.4359999999999999E-4</v>
      </c>
      <c r="J63" s="15">
        <v>2007.69432342</v>
      </c>
      <c r="K63" s="15">
        <v>20860.40878632</v>
      </c>
      <c r="L63" s="15">
        <v>20938.40878636</v>
      </c>
      <c r="M63" s="15">
        <v>4.4535100000000003E-4</v>
      </c>
      <c r="N63" s="15">
        <v>4.4483100000000002E-4</v>
      </c>
      <c r="O63" s="15">
        <v>137</v>
      </c>
      <c r="P63" s="15">
        <v>143</v>
      </c>
      <c r="Q63" s="15">
        <v>4.4000000000000002E-4</v>
      </c>
      <c r="R63" s="15">
        <v>4.4000000000000002E-4</v>
      </c>
      <c r="S63" s="15">
        <v>4.5345999999999999E-4</v>
      </c>
      <c r="T63" s="15">
        <v>4.5345999999999999E-4</v>
      </c>
      <c r="U63" s="15">
        <v>4.4963000000000002E-4</v>
      </c>
    </row>
    <row r="64" spans="2:21" x14ac:dyDescent="0.35">
      <c r="B64" s="15" t="s">
        <v>220</v>
      </c>
      <c r="C64" s="15">
        <v>5.4048799999999999E-3</v>
      </c>
      <c r="D64" s="15">
        <v>407</v>
      </c>
      <c r="E64" s="15">
        <v>407</v>
      </c>
      <c r="F64" s="15">
        <v>5.3602299999999997E-3</v>
      </c>
      <c r="G64" s="15">
        <v>407</v>
      </c>
      <c r="H64" s="15">
        <v>407</v>
      </c>
      <c r="I64" s="15">
        <v>5.4075199999999999E-3</v>
      </c>
      <c r="J64" s="15">
        <v>40.14690556</v>
      </c>
      <c r="K64" s="15">
        <v>1455.7579769700001</v>
      </c>
      <c r="L64" s="15">
        <v>1663.34324816</v>
      </c>
      <c r="M64" s="15">
        <v>5.4160759999999997E-3</v>
      </c>
      <c r="N64" s="15">
        <v>5.435311E-3</v>
      </c>
      <c r="O64" s="15">
        <v>28</v>
      </c>
      <c r="P64" s="15">
        <v>29</v>
      </c>
      <c r="Q64" s="15">
        <v>5.3019699999999996E-3</v>
      </c>
      <c r="R64" s="15">
        <v>5.3019699999999996E-3</v>
      </c>
      <c r="S64" s="15">
        <v>5.5723200000000004E-3</v>
      </c>
      <c r="T64" s="15">
        <v>5.5723200000000004E-3</v>
      </c>
      <c r="U64" s="15">
        <v>5.5723200000000004E-3</v>
      </c>
    </row>
    <row r="65" spans="2:21" x14ac:dyDescent="0.35">
      <c r="B65" s="15" t="s">
        <v>6</v>
      </c>
      <c r="C65" s="15">
        <v>1.164879</v>
      </c>
      <c r="D65" s="15">
        <v>266</v>
      </c>
      <c r="E65" s="15">
        <v>266</v>
      </c>
      <c r="F65" s="15">
        <v>1.147173</v>
      </c>
      <c r="G65" s="15">
        <v>267</v>
      </c>
      <c r="H65" s="15">
        <v>267</v>
      </c>
      <c r="I65" s="15">
        <v>1.149931</v>
      </c>
      <c r="J65" s="15">
        <v>402.31884966000001</v>
      </c>
      <c r="K65" s="15">
        <v>37088.45265875</v>
      </c>
      <c r="L65" s="15">
        <v>37932.117210440003</v>
      </c>
      <c r="M65" s="15">
        <v>1.154668</v>
      </c>
      <c r="N65" s="15">
        <v>1.155138</v>
      </c>
      <c r="O65" s="15">
        <v>158</v>
      </c>
      <c r="P65" s="15">
        <v>170</v>
      </c>
      <c r="Q65" s="15">
        <v>1.122001</v>
      </c>
      <c r="R65" s="15">
        <v>1.122001</v>
      </c>
      <c r="S65" s="15">
        <v>1.1888799999999999</v>
      </c>
      <c r="T65" s="15">
        <v>1.1962950000000001</v>
      </c>
      <c r="U65" s="15">
        <v>1.180439</v>
      </c>
    </row>
    <row r="66" spans="2:21" x14ac:dyDescent="0.35">
      <c r="B66" s="15" t="s">
        <v>223</v>
      </c>
      <c r="C66" s="15">
        <v>1.3156319999999999</v>
      </c>
      <c r="D66" s="15">
        <v>266</v>
      </c>
      <c r="E66" s="15">
        <v>266</v>
      </c>
      <c r="F66" s="15">
        <v>1.3031140000000001</v>
      </c>
      <c r="G66" s="15">
        <v>434</v>
      </c>
      <c r="H66" s="15">
        <v>434</v>
      </c>
      <c r="I66" s="15">
        <v>1.3180480000000001</v>
      </c>
      <c r="J66" s="15">
        <v>54.011733790000001</v>
      </c>
      <c r="K66" s="15">
        <v>11455.613302629999</v>
      </c>
      <c r="L66" s="15">
        <v>12107.230782549999</v>
      </c>
      <c r="M66" s="15">
        <v>1.297701</v>
      </c>
      <c r="N66" s="15">
        <v>1.2998700000000001</v>
      </c>
      <c r="O66" s="15">
        <v>53</v>
      </c>
      <c r="P66" s="15">
        <v>58</v>
      </c>
      <c r="Q66" s="15">
        <v>1.2523610000000001</v>
      </c>
      <c r="R66" s="15">
        <v>1.2523610000000001</v>
      </c>
      <c r="S66" s="15">
        <v>1.3475889999999999</v>
      </c>
      <c r="T66" s="15">
        <v>1.3475889999999999</v>
      </c>
      <c r="U66" s="15">
        <v>1.3475889999999999</v>
      </c>
    </row>
    <row r="67" spans="2:21" x14ac:dyDescent="0.35">
      <c r="B67" s="15" t="s">
        <v>225</v>
      </c>
      <c r="C67" s="15">
        <v>1.3489E-4</v>
      </c>
      <c r="D67" s="15">
        <v>1489</v>
      </c>
      <c r="E67" s="15">
        <v>1489</v>
      </c>
      <c r="F67" s="15">
        <v>1.3380900000000001E-4</v>
      </c>
      <c r="G67" s="15">
        <v>870</v>
      </c>
      <c r="H67" s="15">
        <v>870</v>
      </c>
      <c r="I67" s="15">
        <v>1.3475100000000001E-4</v>
      </c>
      <c r="J67" s="15">
        <v>120</v>
      </c>
      <c r="K67" s="15">
        <v>18206.296869080001</v>
      </c>
      <c r="L67" s="15">
        <v>20061.823352489999</v>
      </c>
      <c r="M67" s="15">
        <v>1.34936E-4</v>
      </c>
      <c r="N67" s="15">
        <v>1.35017E-4</v>
      </c>
      <c r="O67" s="15">
        <v>106</v>
      </c>
      <c r="P67" s="15">
        <v>112</v>
      </c>
      <c r="Q67" s="15">
        <v>1.3295399999999999E-4</v>
      </c>
      <c r="R67" s="15">
        <v>1.3295399999999999E-4</v>
      </c>
      <c r="S67" s="15">
        <v>1.39025E-4</v>
      </c>
      <c r="T67" s="15">
        <v>1.39025E-4</v>
      </c>
      <c r="U67" s="15">
        <v>1.3736400000000001E-4</v>
      </c>
    </row>
    <row r="68" spans="2:21" x14ac:dyDescent="0.35">
      <c r="B68" s="15" t="s">
        <v>227</v>
      </c>
      <c r="C68" s="15">
        <v>0.19320000000000001</v>
      </c>
      <c r="D68" s="15">
        <v>12</v>
      </c>
      <c r="E68" s="15">
        <v>12</v>
      </c>
      <c r="F68" s="15">
        <v>0.19278999999999999</v>
      </c>
      <c r="G68" s="15">
        <v>12</v>
      </c>
      <c r="H68" s="15">
        <v>12</v>
      </c>
      <c r="I68" s="15">
        <v>0.19339999999999999</v>
      </c>
      <c r="J68" s="15">
        <v>1.59E-6</v>
      </c>
      <c r="K68" s="15">
        <v>160.16600185999999</v>
      </c>
      <c r="L68" s="15">
        <v>160.27959186000001</v>
      </c>
      <c r="M68" s="15">
        <v>0.192636</v>
      </c>
      <c r="N68" s="15">
        <v>0.19259399999999999</v>
      </c>
      <c r="O68" s="15">
        <v>32</v>
      </c>
      <c r="P68" s="15">
        <v>34</v>
      </c>
      <c r="Q68" s="15">
        <v>0.19209999999999999</v>
      </c>
      <c r="R68" s="15">
        <v>0.19209999999999999</v>
      </c>
      <c r="S68" s="15">
        <v>0.19339999999999999</v>
      </c>
      <c r="T68" s="15">
        <v>0.19339999999999999</v>
      </c>
      <c r="U68" s="15">
        <v>0.19284999999999999</v>
      </c>
    </row>
    <row r="69" spans="2:21" x14ac:dyDescent="0.35">
      <c r="B69" s="15" t="s">
        <v>229</v>
      </c>
      <c r="C69" s="15">
        <v>37.329819999999998</v>
      </c>
      <c r="D69" s="15">
        <v>8</v>
      </c>
      <c r="E69" s="15">
        <v>8</v>
      </c>
      <c r="F69" s="15">
        <v>36.669580000000003</v>
      </c>
      <c r="G69" s="15">
        <v>9</v>
      </c>
      <c r="H69" s="15">
        <v>9</v>
      </c>
      <c r="I69" s="15">
        <v>36.316459999999999</v>
      </c>
      <c r="J69" s="15">
        <v>0.17602487</v>
      </c>
      <c r="K69" s="15">
        <v>12.082957690000001</v>
      </c>
      <c r="L69" s="15">
        <v>12.082957690000001</v>
      </c>
      <c r="M69" s="15">
        <v>36.957279999999997</v>
      </c>
      <c r="N69" s="15">
        <v>36.956659999999999</v>
      </c>
      <c r="O69" s="15">
        <v>5</v>
      </c>
      <c r="P69" s="15">
        <v>5</v>
      </c>
      <c r="Q69" s="15">
        <v>36</v>
      </c>
      <c r="R69" s="15">
        <v>36</v>
      </c>
      <c r="S69" s="15">
        <v>37.4</v>
      </c>
      <c r="T69" s="15">
        <v>37.066429999999997</v>
      </c>
      <c r="U69" s="15">
        <v>37.4</v>
      </c>
    </row>
    <row r="70" spans="2:21" x14ac:dyDescent="0.35">
      <c r="B70" s="15" t="s">
        <v>231</v>
      </c>
      <c r="C70" s="15">
        <v>46.949069999999999</v>
      </c>
      <c r="D70" s="15">
        <v>8</v>
      </c>
      <c r="E70" s="15">
        <v>8</v>
      </c>
      <c r="F70" s="15">
        <v>46.67062</v>
      </c>
      <c r="G70" s="15">
        <v>11</v>
      </c>
      <c r="H70" s="15">
        <v>11</v>
      </c>
      <c r="I70" s="15">
        <v>46.570689999999999</v>
      </c>
      <c r="J70" s="15">
        <v>6.12</v>
      </c>
      <c r="K70" s="15">
        <v>34.064418320000001</v>
      </c>
      <c r="L70" s="15">
        <v>48.313028000000003</v>
      </c>
      <c r="M70" s="15">
        <v>46.212800000000001</v>
      </c>
      <c r="N70" s="15">
        <v>46.190083999999999</v>
      </c>
      <c r="O70" s="15">
        <v>14</v>
      </c>
      <c r="P70" s="15">
        <v>24</v>
      </c>
      <c r="Q70" s="15">
        <v>45.174480000000003</v>
      </c>
      <c r="R70" s="15">
        <v>45.174480000000003</v>
      </c>
      <c r="S70" s="15">
        <v>46.668709999999997</v>
      </c>
      <c r="T70" s="15">
        <v>46.570689999999999</v>
      </c>
      <c r="U70" s="15">
        <v>46.668709999999997</v>
      </c>
    </row>
    <row r="71" spans="2:21" x14ac:dyDescent="0.35">
      <c r="B71" s="15" t="s">
        <v>233</v>
      </c>
      <c r="C71" s="15">
        <v>4.3326800000000002E-3</v>
      </c>
      <c r="D71" s="15">
        <v>557</v>
      </c>
      <c r="E71" s="15">
        <v>557</v>
      </c>
      <c r="F71" s="15">
        <v>4.3038499999999997E-3</v>
      </c>
      <c r="G71" s="15">
        <v>286</v>
      </c>
      <c r="H71" s="15">
        <v>286</v>
      </c>
      <c r="I71" s="15">
        <v>4.3125200000000002E-3</v>
      </c>
      <c r="J71" s="15">
        <v>698.97922223</v>
      </c>
      <c r="K71" s="15">
        <v>46392.436336530001</v>
      </c>
      <c r="L71" s="15">
        <v>48007.900324560003</v>
      </c>
      <c r="M71" s="15">
        <v>4.4451839999999996E-3</v>
      </c>
      <c r="N71" s="15">
        <v>4.4364870000000002E-3</v>
      </c>
      <c r="O71" s="15">
        <v>171</v>
      </c>
      <c r="P71" s="15">
        <v>185</v>
      </c>
      <c r="Q71" s="15">
        <v>4.1180100000000001E-3</v>
      </c>
      <c r="R71" s="15">
        <v>4.1180100000000001E-3</v>
      </c>
      <c r="S71" s="15">
        <v>4.6412199999999997E-3</v>
      </c>
      <c r="T71" s="15">
        <v>4.6412199999999997E-3</v>
      </c>
      <c r="U71" s="15">
        <v>4.1645700000000003E-3</v>
      </c>
    </row>
    <row r="72" spans="2:21" x14ac:dyDescent="0.35">
      <c r="B72" s="15" t="s">
        <v>235</v>
      </c>
      <c r="C72" s="15">
        <v>0.93641799999999997</v>
      </c>
      <c r="D72" s="15">
        <v>348</v>
      </c>
      <c r="E72" s="15">
        <v>348</v>
      </c>
      <c r="F72" s="15">
        <v>0.92615800000000004</v>
      </c>
      <c r="G72" s="15">
        <v>630</v>
      </c>
      <c r="H72" s="15">
        <v>630</v>
      </c>
      <c r="I72" s="15">
        <v>0.93126500000000001</v>
      </c>
      <c r="J72" s="15">
        <v>231.23815454999999</v>
      </c>
      <c r="K72" s="15">
        <v>248280.29003135001</v>
      </c>
      <c r="L72" s="15">
        <v>255308.02382500999</v>
      </c>
      <c r="M72" s="15">
        <v>0.95503499999999997</v>
      </c>
      <c r="N72" s="15">
        <v>0.95338999999999996</v>
      </c>
      <c r="O72" s="15">
        <v>1008</v>
      </c>
      <c r="P72" s="15">
        <v>1063</v>
      </c>
      <c r="Q72" s="15">
        <v>0.88746899999999995</v>
      </c>
      <c r="R72" s="15">
        <v>0.88697499999999996</v>
      </c>
      <c r="S72" s="15">
        <v>0.99899899999999997</v>
      </c>
      <c r="T72" s="15">
        <v>0.99899899999999997</v>
      </c>
      <c r="U72" s="15">
        <v>0.88746899999999995</v>
      </c>
    </row>
    <row r="73" spans="2:21" x14ac:dyDescent="0.35">
      <c r="B73" s="15" t="s">
        <v>237</v>
      </c>
      <c r="C73" s="15">
        <v>1.053404</v>
      </c>
      <c r="D73" s="15">
        <v>947</v>
      </c>
      <c r="E73" s="15">
        <v>947</v>
      </c>
      <c r="F73" s="15">
        <v>1.0465580000000001</v>
      </c>
      <c r="G73" s="15">
        <v>238</v>
      </c>
      <c r="H73" s="15">
        <v>238</v>
      </c>
      <c r="I73" s="15">
        <v>1.0481020000000001</v>
      </c>
      <c r="J73" s="15">
        <v>262.70872280999998</v>
      </c>
      <c r="K73" s="15">
        <v>142019.61369289999</v>
      </c>
      <c r="L73" s="15">
        <v>158528.99343897001</v>
      </c>
      <c r="M73" s="15">
        <v>1.0709759999999999</v>
      </c>
      <c r="N73" s="15">
        <v>1.064457</v>
      </c>
      <c r="O73" s="15">
        <v>567</v>
      </c>
      <c r="P73" s="15">
        <v>625</v>
      </c>
      <c r="Q73" s="15">
        <v>1.0044900000000001</v>
      </c>
      <c r="R73" s="15">
        <v>0.99604400000000004</v>
      </c>
      <c r="S73" s="15">
        <v>1.1304959999999999</v>
      </c>
      <c r="T73" s="15">
        <v>1.1304959999999999</v>
      </c>
      <c r="U73" s="15">
        <v>1.008427</v>
      </c>
    </row>
    <row r="74" spans="2:21" x14ac:dyDescent="0.35">
      <c r="B74" s="15" t="s">
        <v>239</v>
      </c>
      <c r="C74" s="15">
        <v>1.08021E-4</v>
      </c>
      <c r="D74" s="15">
        <v>380</v>
      </c>
      <c r="E74" s="15">
        <v>380</v>
      </c>
      <c r="F74" s="15">
        <v>1.07346E-4</v>
      </c>
      <c r="G74" s="15">
        <v>621</v>
      </c>
      <c r="H74" s="15">
        <v>621</v>
      </c>
      <c r="I74" s="15">
        <v>1.07407E-4</v>
      </c>
      <c r="J74" s="15">
        <v>231.62914334999999</v>
      </c>
      <c r="K74" s="15">
        <v>113184.28742247001</v>
      </c>
      <c r="L74" s="15">
        <v>116963.28155165</v>
      </c>
      <c r="M74" s="15">
        <v>1.11327E-4</v>
      </c>
      <c r="N74" s="15">
        <v>1.11035E-4</v>
      </c>
      <c r="O74" s="15">
        <v>480</v>
      </c>
      <c r="P74" s="15">
        <v>500</v>
      </c>
      <c r="Q74" s="15">
        <v>1.0325E-4</v>
      </c>
      <c r="R74" s="15">
        <v>1.0325E-4</v>
      </c>
      <c r="S74" s="15">
        <v>1.18137E-4</v>
      </c>
      <c r="T74" s="15">
        <v>1.18137E-4</v>
      </c>
      <c r="U74" s="15">
        <v>1.04132E-4</v>
      </c>
    </row>
    <row r="75" spans="2:21" x14ac:dyDescent="0.35">
      <c r="B75" s="15" t="s">
        <v>241</v>
      </c>
      <c r="C75" s="15">
        <v>7.0559300000000002E-3</v>
      </c>
      <c r="D75" s="15">
        <v>223</v>
      </c>
      <c r="E75" s="15">
        <v>223</v>
      </c>
      <c r="F75" s="15">
        <v>7.0167500000000004E-3</v>
      </c>
      <c r="G75" s="15">
        <v>296</v>
      </c>
      <c r="H75" s="15">
        <v>296</v>
      </c>
      <c r="I75" s="15">
        <v>7.0529800000000004E-3</v>
      </c>
      <c r="J75" s="15">
        <v>1E-8</v>
      </c>
      <c r="K75" s="15">
        <v>847.09708599999999</v>
      </c>
      <c r="L75" s="15">
        <v>1057.9889658899999</v>
      </c>
      <c r="M75" s="15">
        <v>7.0662149999999998E-3</v>
      </c>
      <c r="N75" s="15">
        <v>7.0682660000000001E-3</v>
      </c>
      <c r="O75" s="15">
        <v>17</v>
      </c>
      <c r="P75" s="15">
        <v>23</v>
      </c>
      <c r="Q75" s="15">
        <v>7.0480899999999999E-3</v>
      </c>
      <c r="R75" s="15">
        <v>7.0462399999999996E-3</v>
      </c>
      <c r="S75" s="15">
        <v>7.1529100000000002E-3</v>
      </c>
      <c r="T75" s="15">
        <v>7.1529100000000002E-3</v>
      </c>
      <c r="U75" s="15">
        <v>7.0697399999999997E-3</v>
      </c>
    </row>
    <row r="76" spans="2:21" x14ac:dyDescent="0.35">
      <c r="B76" s="15" t="s">
        <v>243</v>
      </c>
      <c r="C76" s="15">
        <v>1.5148759999999999</v>
      </c>
      <c r="D76" s="15">
        <v>372</v>
      </c>
      <c r="E76" s="15">
        <v>372</v>
      </c>
      <c r="F76" s="15">
        <v>1.510704</v>
      </c>
      <c r="G76" s="15">
        <v>372</v>
      </c>
      <c r="H76" s="15">
        <v>372</v>
      </c>
      <c r="I76" s="15">
        <v>1.5072410000000001</v>
      </c>
      <c r="J76" s="15">
        <v>15.956028999999999</v>
      </c>
      <c r="K76" s="15">
        <v>15362.511992850001</v>
      </c>
      <c r="L76" s="15">
        <v>28227.919238580002</v>
      </c>
      <c r="M76" s="15">
        <v>1.5070600000000001</v>
      </c>
      <c r="N76" s="15">
        <v>1.5061119999999999</v>
      </c>
      <c r="O76" s="15">
        <v>97</v>
      </c>
      <c r="P76" s="15">
        <v>198</v>
      </c>
      <c r="Q76" s="15">
        <v>1.478834</v>
      </c>
      <c r="R76" s="15">
        <v>1.4782090000000001</v>
      </c>
      <c r="S76" s="15">
        <v>1.5325009999999999</v>
      </c>
      <c r="T76" s="15">
        <v>1.5400180000000001</v>
      </c>
      <c r="U76" s="15">
        <v>1.5108250000000001</v>
      </c>
    </row>
    <row r="77" spans="2:21" x14ac:dyDescent="0.35">
      <c r="B77" s="15" t="s">
        <v>245</v>
      </c>
      <c r="C77" s="15">
        <v>1.7099709999999999</v>
      </c>
      <c r="D77" s="15">
        <v>150</v>
      </c>
      <c r="E77" s="15">
        <v>150</v>
      </c>
      <c r="F77" s="15">
        <v>1.7055819999999999</v>
      </c>
      <c r="G77" s="15">
        <v>2398</v>
      </c>
      <c r="H77" s="15">
        <v>2398</v>
      </c>
      <c r="I77" s="15">
        <v>1.7112160000000001</v>
      </c>
      <c r="J77" s="15">
        <v>150</v>
      </c>
      <c r="K77" s="15">
        <v>26696.905302359999</v>
      </c>
      <c r="L77" s="15">
        <v>30692.94334147</v>
      </c>
      <c r="M77" s="15">
        <v>1.6985870000000001</v>
      </c>
      <c r="N77" s="15">
        <v>1.6979649999999999</v>
      </c>
      <c r="O77" s="15">
        <v>152</v>
      </c>
      <c r="P77" s="15">
        <v>178</v>
      </c>
      <c r="Q77" s="15">
        <v>1.6601969999999999</v>
      </c>
      <c r="R77" s="15">
        <v>1.6601969999999999</v>
      </c>
      <c r="S77" s="15">
        <v>1.738537</v>
      </c>
      <c r="T77" s="15">
        <v>1.738537</v>
      </c>
      <c r="U77" s="15">
        <v>1.705897</v>
      </c>
    </row>
    <row r="78" spans="2:21" x14ac:dyDescent="0.35">
      <c r="B78" s="15" t="s">
        <v>247</v>
      </c>
      <c r="C78" s="15">
        <v>1.75518E-4</v>
      </c>
      <c r="D78" s="15">
        <v>334</v>
      </c>
      <c r="E78" s="15">
        <v>334</v>
      </c>
      <c r="F78" s="15">
        <v>1.7506600000000001E-4</v>
      </c>
      <c r="G78" s="15">
        <v>334</v>
      </c>
      <c r="H78" s="15">
        <v>334</v>
      </c>
      <c r="I78" s="15">
        <v>1.7502500000000001E-4</v>
      </c>
      <c r="J78" s="15">
        <v>150</v>
      </c>
      <c r="K78" s="15">
        <v>8781.2550723500008</v>
      </c>
      <c r="L78" s="15">
        <v>9285.7174559699997</v>
      </c>
      <c r="M78" s="15">
        <v>1.7715999999999999E-4</v>
      </c>
      <c r="N78" s="15">
        <v>1.72437E-4</v>
      </c>
      <c r="O78" s="15">
        <v>77</v>
      </c>
      <c r="P78" s="15">
        <v>84</v>
      </c>
      <c r="Q78" s="15">
        <v>1.7457099999999999E-4</v>
      </c>
      <c r="R78" s="15">
        <v>1.7457099999999999E-4</v>
      </c>
      <c r="S78" s="15">
        <v>1.7980700000000001E-4</v>
      </c>
      <c r="T78" s="15">
        <v>1.7980700000000001E-4</v>
      </c>
      <c r="U78" s="15">
        <v>1.7789999999999999E-4</v>
      </c>
    </row>
    <row r="79" spans="2:21" x14ac:dyDescent="0.35">
      <c r="B79" s="15" t="s">
        <v>249</v>
      </c>
      <c r="C79" s="15">
        <v>8.0860000000000003E-4</v>
      </c>
      <c r="D79" s="15">
        <v>4050</v>
      </c>
      <c r="E79" s="15">
        <v>4050</v>
      </c>
      <c r="F79" s="15">
        <v>8.0500000000000005E-4</v>
      </c>
      <c r="G79" s="15">
        <v>4050</v>
      </c>
      <c r="H79" s="15">
        <v>4050</v>
      </c>
      <c r="I79" s="15">
        <v>8.0789999999999996E-4</v>
      </c>
      <c r="J79" s="15">
        <v>1176.1547344999999</v>
      </c>
      <c r="K79" s="15">
        <v>35797.736926910002</v>
      </c>
      <c r="L79" s="15">
        <v>35797.736926910002</v>
      </c>
      <c r="M79" s="15">
        <v>8.1990000000000003E-4</v>
      </c>
      <c r="N79" s="15">
        <v>8.1877000000000002E-4</v>
      </c>
      <c r="O79" s="15">
        <v>49</v>
      </c>
      <c r="P79" s="15">
        <v>49</v>
      </c>
      <c r="Q79" s="15">
        <v>8.0789999999999996E-4</v>
      </c>
      <c r="R79" s="15">
        <v>8.0789999999999996E-4</v>
      </c>
      <c r="S79" s="15">
        <v>8.2870000000000003E-4</v>
      </c>
      <c r="T79" s="15">
        <v>8.2870000000000003E-4</v>
      </c>
      <c r="U79" s="15">
        <v>8.2459999999999999E-4</v>
      </c>
    </row>
    <row r="80" spans="2:21" x14ac:dyDescent="0.35">
      <c r="B80" s="15" t="s">
        <v>251</v>
      </c>
      <c r="C80" s="15">
        <v>0.17380000000000001</v>
      </c>
      <c r="D80" s="15">
        <v>4560</v>
      </c>
      <c r="E80" s="15">
        <v>4560</v>
      </c>
      <c r="F80" s="15">
        <v>0.17330999999999999</v>
      </c>
      <c r="G80" s="15">
        <v>4561</v>
      </c>
      <c r="H80" s="15">
        <v>4561</v>
      </c>
      <c r="I80" s="15">
        <v>0.1739</v>
      </c>
      <c r="J80" s="15">
        <v>3128.9595641199999</v>
      </c>
      <c r="K80" s="15">
        <v>157731.89376362</v>
      </c>
      <c r="L80" s="15">
        <v>161504.91020136999</v>
      </c>
      <c r="M80" s="15">
        <v>0.17393600000000001</v>
      </c>
      <c r="N80" s="15">
        <v>0.17308799999999999</v>
      </c>
      <c r="O80" s="15">
        <v>123</v>
      </c>
      <c r="P80" s="15">
        <v>130</v>
      </c>
      <c r="Q80" s="15">
        <v>0.16200000000000001</v>
      </c>
      <c r="R80" s="15">
        <v>0.16200000000000001</v>
      </c>
      <c r="S80" s="15">
        <v>0.17757999999999999</v>
      </c>
      <c r="T80" s="15">
        <v>0.17757999999999999</v>
      </c>
      <c r="U80" s="15">
        <v>0.17713000000000001</v>
      </c>
    </row>
    <row r="81" spans="2:21" x14ac:dyDescent="0.35">
      <c r="B81" s="15" t="s">
        <v>253</v>
      </c>
      <c r="C81" s="15">
        <v>0.19589999999999999</v>
      </c>
      <c r="D81" s="15">
        <v>4407</v>
      </c>
      <c r="E81" s="15">
        <v>4407</v>
      </c>
      <c r="F81" s="15">
        <v>0.19570000000000001</v>
      </c>
      <c r="G81" s="15">
        <v>2547</v>
      </c>
      <c r="H81" s="15">
        <v>2547</v>
      </c>
      <c r="I81" s="15">
        <v>0.19589999999999999</v>
      </c>
      <c r="J81" s="15">
        <v>1872.0107197499999</v>
      </c>
      <c r="K81" s="15">
        <v>35412.831987769998</v>
      </c>
      <c r="L81" s="15">
        <v>39388.650828259997</v>
      </c>
      <c r="M81" s="15">
        <v>0.19577</v>
      </c>
      <c r="N81" s="15">
        <v>0.19375400000000001</v>
      </c>
      <c r="O81" s="15">
        <v>43</v>
      </c>
      <c r="P81" s="15">
        <v>54</v>
      </c>
      <c r="Q81" s="15">
        <v>0.19370000000000001</v>
      </c>
      <c r="R81" s="15">
        <v>0.19370000000000001</v>
      </c>
      <c r="S81" s="15">
        <v>0.20030000000000001</v>
      </c>
      <c r="T81" s="15">
        <v>0.20030000000000001</v>
      </c>
      <c r="U81" s="15">
        <v>0.19897999999999999</v>
      </c>
    </row>
    <row r="82" spans="2:21" x14ac:dyDescent="0.35">
      <c r="B82" s="15" t="s">
        <v>255</v>
      </c>
      <c r="C82" s="15">
        <v>2.016E-5</v>
      </c>
      <c r="D82" s="15">
        <v>4869</v>
      </c>
      <c r="E82" s="15">
        <v>4869</v>
      </c>
      <c r="F82" s="15">
        <v>2.0089999999999999E-5</v>
      </c>
      <c r="G82" s="15">
        <v>4362</v>
      </c>
      <c r="H82" s="15">
        <v>4362</v>
      </c>
      <c r="I82" s="15">
        <v>2.0000000000000002E-5</v>
      </c>
      <c r="J82" s="15">
        <v>100</v>
      </c>
      <c r="K82" s="15">
        <v>54174.725614770003</v>
      </c>
      <c r="L82" s="15">
        <v>102464.61821296001</v>
      </c>
      <c r="M82" s="15">
        <v>2.0477999999999999E-5</v>
      </c>
      <c r="N82" s="15">
        <v>2.0273999999999999E-5</v>
      </c>
      <c r="O82" s="15">
        <v>44</v>
      </c>
      <c r="P82" s="15">
        <v>82</v>
      </c>
      <c r="Q82" s="15">
        <v>2.0000000000000002E-5</v>
      </c>
      <c r="R82" s="15">
        <v>2.0000000000000002E-5</v>
      </c>
      <c r="S82" s="15">
        <v>2.0740000000000001E-5</v>
      </c>
      <c r="T82" s="15">
        <v>2.0780000000000001E-5</v>
      </c>
      <c r="U82" s="15">
        <v>2.0659999999999999E-5</v>
      </c>
    </row>
    <row r="83" spans="2:21" x14ac:dyDescent="0.35">
      <c r="B83" s="15" t="s">
        <v>257</v>
      </c>
      <c r="C83" s="15">
        <v>7.1993270000000003</v>
      </c>
      <c r="D83" s="15">
        <v>1</v>
      </c>
      <c r="E83" s="15">
        <v>1</v>
      </c>
      <c r="F83" s="15">
        <v>6.9237229999999998</v>
      </c>
      <c r="G83" s="15">
        <v>1</v>
      </c>
      <c r="H83" s="15">
        <v>1</v>
      </c>
      <c r="I83" s="15">
        <v>7.2202979999999997</v>
      </c>
      <c r="J83" s="15">
        <v>6.6500000000000004E-2</v>
      </c>
      <c r="K83" s="15">
        <v>14.11572675</v>
      </c>
      <c r="L83" s="15">
        <v>14.11572675</v>
      </c>
      <c r="M83" s="15">
        <v>7.0947115729999997</v>
      </c>
      <c r="N83" s="15">
        <v>7.0947112949999998</v>
      </c>
      <c r="O83" s="15">
        <v>35</v>
      </c>
      <c r="P83" s="15">
        <v>35</v>
      </c>
      <c r="Q83" s="15">
        <v>6.9141019999999997</v>
      </c>
      <c r="R83" s="15">
        <v>6.9142390000000002</v>
      </c>
      <c r="S83" s="15">
        <v>7.2206979999999996</v>
      </c>
      <c r="T83" s="15">
        <v>7.2206979999999996</v>
      </c>
      <c r="U83" s="15">
        <v>6.9141019999999997</v>
      </c>
    </row>
    <row r="84" spans="2:21" x14ac:dyDescent="0.35">
      <c r="B84" s="15" t="s">
        <v>4</v>
      </c>
      <c r="C84" s="15">
        <v>1509.25</v>
      </c>
      <c r="D84" s="15">
        <v>2</v>
      </c>
      <c r="E84" s="15">
        <v>2</v>
      </c>
      <c r="F84" s="15">
        <v>1491.11</v>
      </c>
      <c r="G84" s="15">
        <v>1</v>
      </c>
      <c r="H84" s="15">
        <v>1</v>
      </c>
      <c r="I84" s="15">
        <v>1491.59</v>
      </c>
      <c r="J84" s="15">
        <v>1.4195000000000001E-4</v>
      </c>
      <c r="K84" s="15">
        <v>6.1119273700000001</v>
      </c>
      <c r="L84" s="15">
        <v>7.6661707300000002</v>
      </c>
      <c r="M84" s="15">
        <v>1496.5185349999999</v>
      </c>
      <c r="N84" s="15">
        <v>1495.457578</v>
      </c>
      <c r="O84" s="15">
        <v>77</v>
      </c>
      <c r="P84" s="15">
        <v>89</v>
      </c>
      <c r="Q84" s="15">
        <v>1485</v>
      </c>
      <c r="R84" s="15">
        <v>1485</v>
      </c>
      <c r="S84" s="15">
        <v>1503.47</v>
      </c>
      <c r="T84" s="15">
        <v>1503.47</v>
      </c>
      <c r="U84" s="15">
        <v>1485</v>
      </c>
    </row>
    <row r="85" spans="2:21" x14ac:dyDescent="0.35">
      <c r="B85" s="15" t="s">
        <v>260</v>
      </c>
      <c r="C85" s="15">
        <v>1683.85</v>
      </c>
      <c r="D85" s="15">
        <v>1</v>
      </c>
      <c r="E85" s="15">
        <v>1</v>
      </c>
      <c r="F85" s="15">
        <v>1683.84</v>
      </c>
      <c r="G85" s="15">
        <v>1</v>
      </c>
      <c r="H85" s="15">
        <v>1</v>
      </c>
      <c r="I85" s="15">
        <v>1683.81</v>
      </c>
      <c r="J85" s="15">
        <v>3.0257610000000001E-2</v>
      </c>
      <c r="K85" s="15">
        <v>11.41507945</v>
      </c>
      <c r="L85" s="15">
        <v>19.731164830000001</v>
      </c>
      <c r="M85" s="15">
        <v>1686.1247980000001</v>
      </c>
      <c r="N85" s="15">
        <v>1685.445596</v>
      </c>
      <c r="O85" s="15">
        <v>167</v>
      </c>
      <c r="P85" s="15">
        <v>311</v>
      </c>
      <c r="Q85" s="15">
        <v>1680</v>
      </c>
      <c r="R85" s="15">
        <v>1680</v>
      </c>
      <c r="S85" s="15">
        <v>1691.87</v>
      </c>
      <c r="T85" s="15">
        <v>1691.87</v>
      </c>
      <c r="U85" s="15">
        <v>1684.01</v>
      </c>
    </row>
    <row r="86" spans="2:21" x14ac:dyDescent="0.35">
      <c r="B86" s="15" t="s">
        <v>262</v>
      </c>
      <c r="C86" s="15">
        <v>0.174293</v>
      </c>
      <c r="D86" s="15">
        <v>1</v>
      </c>
      <c r="E86" s="15">
        <v>1</v>
      </c>
      <c r="F86" s="15">
        <v>0.172515</v>
      </c>
      <c r="G86" s="15">
        <v>1</v>
      </c>
      <c r="H86" s="15">
        <v>1</v>
      </c>
      <c r="I86" s="15">
        <v>0.174293</v>
      </c>
      <c r="J86" s="15">
        <v>0.04</v>
      </c>
      <c r="K86" s="15">
        <v>33.803534859999999</v>
      </c>
      <c r="L86" s="15">
        <v>35.476548749999999</v>
      </c>
      <c r="M86" s="15">
        <v>0.17587170399999999</v>
      </c>
      <c r="N86" s="15">
        <v>0.175801017</v>
      </c>
      <c r="O86" s="15">
        <v>245</v>
      </c>
      <c r="P86" s="15">
        <v>271</v>
      </c>
      <c r="Q86" s="15">
        <v>0.172511</v>
      </c>
      <c r="R86" s="15">
        <v>0.172511</v>
      </c>
      <c r="S86" s="15">
        <v>0.179396</v>
      </c>
      <c r="T86" s="15">
        <v>0.179396</v>
      </c>
      <c r="U86" s="15">
        <v>0.17578099999999999</v>
      </c>
    </row>
    <row r="87" spans="2:21" x14ac:dyDescent="0.35">
      <c r="B87" s="15" t="s">
        <v>264</v>
      </c>
      <c r="C87" s="15">
        <v>7.4041000000000003E-3</v>
      </c>
      <c r="D87" s="15">
        <v>4</v>
      </c>
      <c r="E87" s="15">
        <v>4</v>
      </c>
      <c r="F87" s="15">
        <v>7.3762999999999997E-3</v>
      </c>
      <c r="G87" s="15">
        <v>288</v>
      </c>
      <c r="H87" s="15">
        <v>288</v>
      </c>
      <c r="I87" s="15">
        <v>7.4910000000000003E-3</v>
      </c>
      <c r="J87" s="15">
        <v>63.560547319999998</v>
      </c>
      <c r="K87" s="15">
        <v>200.87862706999999</v>
      </c>
      <c r="L87" s="15">
        <v>200.87862706999999</v>
      </c>
      <c r="M87" s="15">
        <v>7.44693E-3</v>
      </c>
      <c r="N87" s="15">
        <v>7.44357E-3</v>
      </c>
      <c r="O87" s="15">
        <v>8</v>
      </c>
      <c r="P87" s="15">
        <v>8</v>
      </c>
      <c r="Q87" s="15">
        <v>7.3718000000000004E-3</v>
      </c>
      <c r="R87" s="15">
        <v>7.3718000000000004E-3</v>
      </c>
      <c r="S87" s="15">
        <v>7.5887999999999997E-3</v>
      </c>
      <c r="T87" s="15">
        <v>7.4910000000000003E-3</v>
      </c>
      <c r="U87" s="15">
        <v>7.5887999999999997E-3</v>
      </c>
    </row>
    <row r="88" spans="2:21" x14ac:dyDescent="0.35">
      <c r="B88" s="15" t="s">
        <v>266</v>
      </c>
      <c r="C88" s="15">
        <v>1.59352</v>
      </c>
      <c r="D88" s="15">
        <v>321</v>
      </c>
      <c r="E88" s="15">
        <v>321</v>
      </c>
      <c r="F88" s="15">
        <v>1.58897</v>
      </c>
      <c r="G88" s="15">
        <v>321</v>
      </c>
      <c r="H88" s="15">
        <v>321</v>
      </c>
      <c r="I88" s="15">
        <v>1.5884100000000001</v>
      </c>
      <c r="J88" s="15">
        <v>3.5391178399999998</v>
      </c>
      <c r="K88" s="15">
        <v>23165.258932429999</v>
      </c>
      <c r="L88" s="15">
        <v>24520.718694579999</v>
      </c>
      <c r="M88" s="15">
        <v>1.585399</v>
      </c>
      <c r="N88" s="15">
        <v>1.5875589999999999</v>
      </c>
      <c r="O88" s="15">
        <v>181</v>
      </c>
      <c r="P88" s="15">
        <v>204</v>
      </c>
      <c r="Q88" s="15">
        <v>1.55576</v>
      </c>
      <c r="R88" s="15">
        <v>1.55576</v>
      </c>
      <c r="S88" s="15">
        <v>1.6413599999999999</v>
      </c>
      <c r="T88" s="15">
        <v>1.6413599999999999</v>
      </c>
      <c r="U88" s="15">
        <v>1.6406400000000001</v>
      </c>
    </row>
    <row r="89" spans="2:21" x14ac:dyDescent="0.35">
      <c r="B89" s="15" t="s">
        <v>268</v>
      </c>
      <c r="C89" s="15">
        <v>1.79854</v>
      </c>
      <c r="D89" s="15">
        <v>297</v>
      </c>
      <c r="E89" s="15">
        <v>297</v>
      </c>
      <c r="F89" s="15">
        <v>1.7934099999999999</v>
      </c>
      <c r="G89" s="15">
        <v>297</v>
      </c>
      <c r="H89" s="15">
        <v>297</v>
      </c>
      <c r="I89" s="15">
        <v>1.79196</v>
      </c>
      <c r="J89" s="15">
        <v>70</v>
      </c>
      <c r="K89" s="15">
        <v>8948.2735964300009</v>
      </c>
      <c r="L89" s="15">
        <v>9351.5114247000001</v>
      </c>
      <c r="M89" s="15">
        <v>1.7995019999999999</v>
      </c>
      <c r="N89" s="15">
        <v>1.799742</v>
      </c>
      <c r="O89" s="15">
        <v>83</v>
      </c>
      <c r="P89" s="15">
        <v>95</v>
      </c>
      <c r="Q89" s="15">
        <v>1.74621</v>
      </c>
      <c r="R89" s="15">
        <v>1.74621</v>
      </c>
      <c r="S89" s="15">
        <v>1.8532200000000001</v>
      </c>
      <c r="T89" s="15">
        <v>1.8532200000000001</v>
      </c>
      <c r="U89" s="15">
        <v>1.8510899999999999</v>
      </c>
    </row>
    <row r="90" spans="2:21" x14ac:dyDescent="0.35">
      <c r="B90" s="15" t="s">
        <v>270</v>
      </c>
      <c r="C90" s="15">
        <v>1.8469999999999999E-4</v>
      </c>
      <c r="D90" s="15">
        <v>975</v>
      </c>
      <c r="E90" s="15">
        <v>975</v>
      </c>
      <c r="F90" s="15">
        <v>1.841E-4</v>
      </c>
      <c r="G90" s="15">
        <v>301</v>
      </c>
      <c r="H90" s="15">
        <v>301</v>
      </c>
      <c r="I90" s="15">
        <v>1.8469999999999999E-4</v>
      </c>
      <c r="J90" s="15">
        <v>25</v>
      </c>
      <c r="K90" s="15">
        <v>2510.5293811199999</v>
      </c>
      <c r="L90" s="15">
        <v>2766.4963643299998</v>
      </c>
      <c r="M90" s="15">
        <v>1.8684999999999999E-4</v>
      </c>
      <c r="N90" s="15">
        <v>1.7532999999999999E-4</v>
      </c>
      <c r="O90" s="15">
        <v>119</v>
      </c>
      <c r="P90" s="15">
        <v>139</v>
      </c>
      <c r="Q90" s="15">
        <v>1.8310000000000001E-4</v>
      </c>
      <c r="R90" s="15">
        <v>1.8310000000000001E-4</v>
      </c>
      <c r="S90" s="15">
        <v>1.918E-4</v>
      </c>
      <c r="T90" s="15">
        <v>1.918E-4</v>
      </c>
      <c r="U90" s="15">
        <v>1.9149999999999999E-4</v>
      </c>
    </row>
    <row r="91" spans="2:21" x14ac:dyDescent="0.35">
      <c r="B91" s="15" t="s">
        <v>272</v>
      </c>
      <c r="C91" s="15">
        <v>1.0900000000000001E-5</v>
      </c>
      <c r="D91" s="15">
        <v>128451</v>
      </c>
      <c r="E91" s="15">
        <v>128451</v>
      </c>
      <c r="F91" s="15">
        <v>1.079E-5</v>
      </c>
      <c r="G91" s="15">
        <v>194135</v>
      </c>
      <c r="H91" s="15">
        <v>194135</v>
      </c>
      <c r="I91" s="15">
        <v>1.0890000000000001E-5</v>
      </c>
      <c r="J91" s="15">
        <v>14797.47587695</v>
      </c>
      <c r="K91" s="15">
        <v>3008763.3516521798</v>
      </c>
      <c r="L91" s="15">
        <v>3045013.3516521798</v>
      </c>
      <c r="M91" s="15">
        <v>1.0999099999999999E-5</v>
      </c>
      <c r="N91" s="15">
        <v>1.09862E-5</v>
      </c>
      <c r="O91" s="15">
        <v>34</v>
      </c>
      <c r="P91" s="15">
        <v>35</v>
      </c>
      <c r="Q91" s="15">
        <v>1.078E-5</v>
      </c>
      <c r="R91" s="15">
        <v>1.078E-5</v>
      </c>
      <c r="S91" s="15">
        <v>1.1260000000000001E-5</v>
      </c>
      <c r="T91" s="15">
        <v>1.1260000000000001E-5</v>
      </c>
      <c r="U91" s="15">
        <v>1.1260000000000001E-5</v>
      </c>
    </row>
    <row r="92" spans="2:21" x14ac:dyDescent="0.35">
      <c r="B92" s="15" t="s">
        <v>5</v>
      </c>
      <c r="C92" s="15">
        <v>2.3500000000000001E-3</v>
      </c>
      <c r="D92" s="15">
        <v>623321</v>
      </c>
      <c r="E92" s="15">
        <v>623321</v>
      </c>
      <c r="F92" s="15">
        <v>2.32E-3</v>
      </c>
      <c r="G92" s="15">
        <v>1540805</v>
      </c>
      <c r="H92" s="15">
        <v>1540805</v>
      </c>
      <c r="I92" s="15">
        <v>2.3500000000000001E-3</v>
      </c>
      <c r="J92" s="15">
        <v>100000</v>
      </c>
      <c r="K92" s="15">
        <v>18847882.560931601</v>
      </c>
      <c r="L92" s="15">
        <v>22080255.231009498</v>
      </c>
      <c r="M92" s="15">
        <v>2.3140000000000001E-3</v>
      </c>
      <c r="N92" s="15">
        <v>1.7279999999999999E-3</v>
      </c>
      <c r="O92" s="15">
        <v>304</v>
      </c>
      <c r="P92" s="15">
        <v>337</v>
      </c>
      <c r="Q92" s="15">
        <v>2.2499999999999998E-3</v>
      </c>
      <c r="R92" s="15">
        <v>2.2499999999999998E-3</v>
      </c>
      <c r="S92" s="15">
        <v>2.4099999999999998E-3</v>
      </c>
      <c r="T92" s="15">
        <v>2.4199999999999998E-3</v>
      </c>
      <c r="U92" s="15">
        <v>2.3999999999999998E-3</v>
      </c>
    </row>
    <row r="93" spans="2:21" x14ac:dyDescent="0.35">
      <c r="B93" s="15" t="s">
        <v>275</v>
      </c>
      <c r="C93" s="15">
        <v>2.64E-3</v>
      </c>
      <c r="D93" s="15">
        <v>271622</v>
      </c>
      <c r="E93" s="15">
        <v>271622</v>
      </c>
      <c r="F93" s="15">
        <v>2.6199999999999999E-3</v>
      </c>
      <c r="G93" s="15">
        <v>188341</v>
      </c>
      <c r="H93" s="15">
        <v>188341</v>
      </c>
      <c r="I93" s="15">
        <v>2.64E-3</v>
      </c>
      <c r="J93" s="15">
        <v>100000</v>
      </c>
      <c r="K93" s="15">
        <v>7946294.5938262399</v>
      </c>
      <c r="L93" s="15">
        <v>8265837.8009010404</v>
      </c>
      <c r="M93" s="15">
        <v>2.6199999999999999E-3</v>
      </c>
      <c r="N93" s="15">
        <v>2.3110000000000001E-3</v>
      </c>
      <c r="O93" s="15">
        <v>134</v>
      </c>
      <c r="P93" s="15">
        <v>144</v>
      </c>
      <c r="Q93" s="15">
        <v>2.5500000000000002E-3</v>
      </c>
      <c r="R93" s="15">
        <v>2.5500000000000002E-3</v>
      </c>
      <c r="S93" s="15">
        <v>2.7399999999999998E-3</v>
      </c>
      <c r="T93" s="15">
        <v>2.7399999999999998E-3</v>
      </c>
      <c r="U93" s="15">
        <v>2.7000000000000001E-3</v>
      </c>
    </row>
    <row r="94" spans="2:21" x14ac:dyDescent="0.35">
      <c r="B94" s="15" t="s">
        <v>277</v>
      </c>
      <c r="C94" s="15">
        <v>2.7179999999999999E-7</v>
      </c>
      <c r="D94" s="15">
        <v>377106</v>
      </c>
      <c r="E94" s="15">
        <v>377106</v>
      </c>
      <c r="F94" s="15">
        <v>2.6930000000000001E-7</v>
      </c>
      <c r="G94" s="15">
        <v>879409</v>
      </c>
      <c r="H94" s="15">
        <v>879409</v>
      </c>
      <c r="I94" s="15">
        <v>2.7000000000000001E-7</v>
      </c>
      <c r="J94" s="15">
        <v>153606.17025539</v>
      </c>
      <c r="K94" s="15">
        <v>11997012.805030201</v>
      </c>
      <c r="L94" s="15">
        <v>12064873.374333501</v>
      </c>
      <c r="M94" s="15">
        <v>2.7560000000000001E-7</v>
      </c>
      <c r="N94" s="15">
        <v>2.4769999999999997E-7</v>
      </c>
      <c r="O94" s="15">
        <v>102</v>
      </c>
      <c r="P94" s="15">
        <v>106</v>
      </c>
      <c r="Q94" s="15">
        <v>2.6909999999999999E-7</v>
      </c>
      <c r="R94" s="15">
        <v>2.6909999999999999E-7</v>
      </c>
      <c r="S94" s="15">
        <v>2.8140000000000002E-7</v>
      </c>
      <c r="T94" s="15">
        <v>2.8140000000000002E-7</v>
      </c>
      <c r="U94" s="15">
        <v>2.791E-7</v>
      </c>
    </row>
    <row r="95" spans="2:21" x14ac:dyDescent="0.35">
      <c r="B95" s="15" t="s">
        <v>279</v>
      </c>
      <c r="C95" s="15">
        <v>7.4339999999999996E-5</v>
      </c>
      <c r="D95" s="15">
        <v>28800</v>
      </c>
      <c r="E95" s="15">
        <v>28800</v>
      </c>
      <c r="F95" s="15">
        <v>7.4010000000000005E-5</v>
      </c>
      <c r="G95" s="15">
        <v>28793</v>
      </c>
      <c r="H95" s="15">
        <v>28793</v>
      </c>
      <c r="I95" s="15">
        <v>7.428E-5</v>
      </c>
      <c r="J95" s="15">
        <v>2999</v>
      </c>
      <c r="K95" s="15">
        <v>198011.71326518999</v>
      </c>
      <c r="L95" s="15">
        <v>198011.71326518999</v>
      </c>
      <c r="M95" s="15">
        <v>7.3534000000000004E-5</v>
      </c>
      <c r="N95" s="15">
        <v>7.3523500000000002E-5</v>
      </c>
      <c r="O95" s="15">
        <v>37</v>
      </c>
      <c r="P95" s="15">
        <v>37</v>
      </c>
      <c r="Q95" s="15">
        <v>6.9789999999999994E-5</v>
      </c>
      <c r="R95" s="15">
        <v>7.1030000000000003E-5</v>
      </c>
      <c r="S95" s="15">
        <v>7.6069999999999995E-5</v>
      </c>
      <c r="T95" s="15">
        <v>7.6069999999999995E-5</v>
      </c>
      <c r="U95" s="15">
        <v>6.9789999999999994E-5</v>
      </c>
    </row>
    <row r="96" spans="2:21" x14ac:dyDescent="0.35">
      <c r="B96" s="15" t="s">
        <v>281</v>
      </c>
      <c r="C96" s="15">
        <v>1.5966000000000001E-2</v>
      </c>
      <c r="D96" s="15">
        <v>31438</v>
      </c>
      <c r="E96" s="15">
        <v>31438</v>
      </c>
      <c r="F96" s="15">
        <v>1.5931000000000001E-2</v>
      </c>
      <c r="G96" s="15">
        <v>277802</v>
      </c>
      <c r="H96" s="15">
        <v>277802</v>
      </c>
      <c r="I96" s="15">
        <v>1.5928999999999999E-2</v>
      </c>
      <c r="J96" s="15">
        <v>2.9999999999999999E-7</v>
      </c>
      <c r="K96" s="15">
        <v>5259293.6503964197</v>
      </c>
      <c r="L96" s="15">
        <v>5377095.9662097497</v>
      </c>
      <c r="M96" s="15">
        <v>1.5600299999999999E-2</v>
      </c>
      <c r="N96" s="15">
        <v>1.55745E-2</v>
      </c>
      <c r="O96" s="15">
        <v>402</v>
      </c>
      <c r="P96" s="15">
        <v>412</v>
      </c>
      <c r="Q96" s="15">
        <v>1.5001E-2</v>
      </c>
      <c r="R96" s="15">
        <v>1.5001E-2</v>
      </c>
      <c r="S96" s="15">
        <v>1.6081999999999999E-2</v>
      </c>
      <c r="T96" s="15">
        <v>1.6081999999999999E-2</v>
      </c>
      <c r="U96" s="15">
        <v>1.5099E-2</v>
      </c>
    </row>
    <row r="97" spans="2:21" x14ac:dyDescent="0.35">
      <c r="B97" s="15" t="s">
        <v>283</v>
      </c>
      <c r="C97" s="15">
        <v>1.8027000000000001E-2</v>
      </c>
      <c r="D97" s="15">
        <v>30995</v>
      </c>
      <c r="E97" s="15">
        <v>30995</v>
      </c>
      <c r="F97" s="15">
        <v>1.8008E-2</v>
      </c>
      <c r="G97" s="15">
        <v>42254</v>
      </c>
      <c r="H97" s="15">
        <v>42254</v>
      </c>
      <c r="I97" s="15">
        <v>1.8008E-2</v>
      </c>
      <c r="J97" s="15">
        <v>33941.158059920002</v>
      </c>
      <c r="K97" s="15">
        <v>7901907.95138516</v>
      </c>
      <c r="L97" s="15">
        <v>8240772.00351559</v>
      </c>
      <c r="M97" s="15">
        <v>1.7606799999999999E-2</v>
      </c>
      <c r="N97" s="15">
        <v>1.75797E-2</v>
      </c>
      <c r="O97" s="15">
        <v>267</v>
      </c>
      <c r="P97" s="15">
        <v>290</v>
      </c>
      <c r="Q97" s="15">
        <v>1.6899999999999998E-2</v>
      </c>
      <c r="R97" s="15">
        <v>1.6899999999999998E-2</v>
      </c>
      <c r="S97" s="15">
        <v>1.8076999999999999E-2</v>
      </c>
      <c r="T97" s="15">
        <v>1.8076999999999999E-2</v>
      </c>
      <c r="U97" s="15">
        <v>1.6958999999999998E-2</v>
      </c>
    </row>
    <row r="98" spans="2:21" x14ac:dyDescent="0.35">
      <c r="B98" s="15" t="s">
        <v>285</v>
      </c>
      <c r="C98" s="15">
        <v>1.8500000000000001E-6</v>
      </c>
      <c r="D98" s="15">
        <v>28446</v>
      </c>
      <c r="E98" s="15">
        <v>28446</v>
      </c>
      <c r="F98" s="15">
        <v>1.8463E-6</v>
      </c>
      <c r="G98" s="15">
        <v>277794</v>
      </c>
      <c r="H98" s="15">
        <v>277794</v>
      </c>
      <c r="I98" s="15">
        <v>1.8449999999999999E-6</v>
      </c>
      <c r="J98" s="15">
        <v>1633.9317741</v>
      </c>
      <c r="K98" s="15">
        <v>1926689.8501145199</v>
      </c>
      <c r="L98" s="15">
        <v>1954206.45204091</v>
      </c>
      <c r="M98" s="15">
        <v>1.8470000000000001E-6</v>
      </c>
      <c r="N98" s="15">
        <v>1.8301000000000001E-6</v>
      </c>
      <c r="O98" s="15">
        <v>172</v>
      </c>
      <c r="P98" s="15">
        <v>174</v>
      </c>
      <c r="Q98" s="15">
        <v>1.7604999999999999E-6</v>
      </c>
      <c r="R98" s="15">
        <v>1.7604999999999999E-6</v>
      </c>
      <c r="S98" s="15">
        <v>1.9E-6</v>
      </c>
      <c r="T98" s="15">
        <v>1.9E-6</v>
      </c>
      <c r="U98" s="15">
        <v>1.7604999999999999E-6</v>
      </c>
    </row>
    <row r="99" spans="2:21" x14ac:dyDescent="0.35">
      <c r="B99" s="15" t="s">
        <v>287</v>
      </c>
      <c r="C99" s="15">
        <v>0.88639999999999997</v>
      </c>
      <c r="D99" s="15">
        <v>570</v>
      </c>
      <c r="E99" s="15">
        <v>570</v>
      </c>
      <c r="F99" s="15">
        <v>0.88529999999999998</v>
      </c>
      <c r="G99" s="15">
        <v>3763</v>
      </c>
      <c r="H99" s="15">
        <v>3763</v>
      </c>
      <c r="I99" s="15">
        <v>0.88539999999999996</v>
      </c>
      <c r="J99" s="15">
        <v>3.2570000000000002E-5</v>
      </c>
      <c r="K99" s="15">
        <v>214227.03272212</v>
      </c>
      <c r="L99" s="15">
        <v>224635.93719473999</v>
      </c>
      <c r="M99" s="15">
        <v>0.89837252999999995</v>
      </c>
      <c r="N99" s="15">
        <v>0.89780583000000003</v>
      </c>
      <c r="O99" s="15">
        <v>597</v>
      </c>
      <c r="P99" s="15">
        <v>656</v>
      </c>
      <c r="Q99" s="15">
        <v>0.88480000000000003</v>
      </c>
      <c r="R99" s="15">
        <v>0.88480000000000003</v>
      </c>
      <c r="S99" s="15">
        <v>0.9698</v>
      </c>
      <c r="T99" s="15">
        <v>0.9698</v>
      </c>
      <c r="U99" s="15">
        <v>0.88629999999999998</v>
      </c>
    </row>
    <row r="100" spans="2:21" x14ac:dyDescent="0.35">
      <c r="B100" s="15" t="s">
        <v>289</v>
      </c>
      <c r="C100" s="15">
        <v>0.96604000000000001</v>
      </c>
      <c r="D100" s="15">
        <v>236</v>
      </c>
      <c r="E100" s="15">
        <v>236</v>
      </c>
      <c r="F100" s="15">
        <v>0.96133999999999997</v>
      </c>
      <c r="G100" s="15">
        <v>105</v>
      </c>
      <c r="H100" s="15">
        <v>105</v>
      </c>
      <c r="I100" s="15">
        <v>0.96547000000000005</v>
      </c>
      <c r="J100" s="15">
        <v>249.9171</v>
      </c>
      <c r="K100" s="15">
        <v>16995.372619139998</v>
      </c>
      <c r="L100" s="15">
        <v>17938.319949140001</v>
      </c>
      <c r="M100" s="15">
        <v>0.96780999999999995</v>
      </c>
      <c r="N100" s="15">
        <v>0.96511999999999998</v>
      </c>
      <c r="O100" s="15">
        <v>76</v>
      </c>
      <c r="P100" s="15">
        <v>83</v>
      </c>
      <c r="Q100" s="15">
        <v>0.96199999999999997</v>
      </c>
      <c r="R100" s="15">
        <v>0.96199999999999997</v>
      </c>
      <c r="S100" s="15">
        <v>0.97328999999999999</v>
      </c>
      <c r="T100" s="15">
        <v>0.97328999999999999</v>
      </c>
      <c r="U100" s="15">
        <v>0.96504000000000001</v>
      </c>
    </row>
    <row r="101" spans="2:21" x14ac:dyDescent="0.35">
      <c r="B101" s="15" t="s">
        <v>291</v>
      </c>
      <c r="C101" s="15">
        <v>1.0002</v>
      </c>
      <c r="D101" s="15">
        <v>570</v>
      </c>
      <c r="E101" s="15">
        <v>570</v>
      </c>
      <c r="F101" s="15">
        <v>0.99990000000000001</v>
      </c>
      <c r="G101" s="15">
        <v>23007</v>
      </c>
      <c r="H101" s="15">
        <v>23007</v>
      </c>
      <c r="I101" s="15">
        <v>0.99990000000000001</v>
      </c>
      <c r="J101" s="15">
        <v>173.8649015</v>
      </c>
      <c r="K101" s="15">
        <v>55377.008470280001</v>
      </c>
      <c r="L101" s="15">
        <v>157124.16968933001</v>
      </c>
      <c r="M101" s="15">
        <v>1.0000429399999999</v>
      </c>
      <c r="N101" s="15">
        <v>0.99975088999999995</v>
      </c>
      <c r="O101" s="15">
        <v>234</v>
      </c>
      <c r="P101" s="15">
        <v>463</v>
      </c>
      <c r="Q101" s="15">
        <v>0.99950000000000006</v>
      </c>
      <c r="R101" s="15">
        <v>0.999</v>
      </c>
      <c r="S101" s="15">
        <v>1.0006999999999999</v>
      </c>
      <c r="T101" s="15">
        <v>1.0006999999999999</v>
      </c>
      <c r="U101" s="15">
        <v>0.99970000000000003</v>
      </c>
    </row>
    <row r="102" spans="2:21" x14ac:dyDescent="0.35">
      <c r="B102" s="15" t="s">
        <v>293</v>
      </c>
      <c r="C102" s="15">
        <v>1</v>
      </c>
      <c r="D102" s="15">
        <v>1406</v>
      </c>
      <c r="E102" s="15">
        <v>1406</v>
      </c>
      <c r="F102" s="15">
        <v>0.99950000000000006</v>
      </c>
      <c r="G102" s="15">
        <v>1836</v>
      </c>
      <c r="H102" s="15">
        <v>1836</v>
      </c>
      <c r="I102" s="15">
        <v>0.99950000000000006</v>
      </c>
      <c r="J102" s="15">
        <v>173.8649015</v>
      </c>
      <c r="K102" s="15">
        <v>90781.318285700007</v>
      </c>
      <c r="L102" s="15">
        <v>98578.265168040001</v>
      </c>
      <c r="M102" s="15">
        <v>0.99991905999999997</v>
      </c>
      <c r="N102" s="15">
        <v>0.99989554000000003</v>
      </c>
      <c r="O102" s="15">
        <v>375</v>
      </c>
      <c r="P102" s="15">
        <v>413</v>
      </c>
      <c r="Q102" s="15">
        <v>0.99919999999999998</v>
      </c>
      <c r="R102" s="15">
        <v>0.99919999999999998</v>
      </c>
      <c r="S102" s="15">
        <v>1.0013000000000001</v>
      </c>
      <c r="T102" s="15">
        <v>1.0013000000000001</v>
      </c>
      <c r="U102" s="15">
        <v>1.0002</v>
      </c>
    </row>
    <row r="103" spans="2:21" x14ac:dyDescent="0.35">
      <c r="B103" s="15" t="s">
        <v>295</v>
      </c>
      <c r="C103" s="15">
        <v>1.3516999999999999</v>
      </c>
      <c r="D103" s="15">
        <v>390</v>
      </c>
      <c r="E103" s="15">
        <v>390</v>
      </c>
      <c r="F103" s="15">
        <v>1.3449</v>
      </c>
      <c r="G103" s="15">
        <v>379</v>
      </c>
      <c r="H103" s="15">
        <v>379</v>
      </c>
      <c r="I103" s="15">
        <v>1.3496999999999999</v>
      </c>
      <c r="J103" s="15">
        <v>290.69608061000002</v>
      </c>
      <c r="K103" s="15">
        <v>22882.076421400001</v>
      </c>
      <c r="L103" s="15">
        <v>25259.692281399999</v>
      </c>
      <c r="M103" s="15">
        <v>1.3312999599999999</v>
      </c>
      <c r="N103" s="15">
        <v>1.3321905700000001</v>
      </c>
      <c r="O103" s="15">
        <v>70</v>
      </c>
      <c r="P103" s="15">
        <v>79</v>
      </c>
      <c r="Q103" s="15">
        <v>1.3254999999999999</v>
      </c>
      <c r="R103" s="15">
        <v>1.3251999999999999</v>
      </c>
      <c r="S103" s="15">
        <v>1.35</v>
      </c>
      <c r="T103" s="15">
        <v>1.35</v>
      </c>
      <c r="U103" s="15">
        <v>1.35</v>
      </c>
    </row>
    <row r="104" spans="2:21" x14ac:dyDescent="0.35">
      <c r="B104" s="15" t="s">
        <v>297</v>
      </c>
      <c r="C104" s="15">
        <v>0.97999000000000003</v>
      </c>
      <c r="D104" s="15">
        <v>390</v>
      </c>
      <c r="E104" s="15">
        <v>390</v>
      </c>
      <c r="F104" s="15">
        <v>0.95803000000000005</v>
      </c>
      <c r="G104" s="15">
        <v>420</v>
      </c>
      <c r="H104" s="15">
        <v>420</v>
      </c>
      <c r="I104" s="15">
        <v>0.98</v>
      </c>
      <c r="J104" s="15">
        <v>505.59234694000003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0.98</v>
      </c>
      <c r="R104" s="15">
        <v>0</v>
      </c>
      <c r="S104" s="15">
        <v>0.98</v>
      </c>
      <c r="T104" s="15">
        <v>0</v>
      </c>
      <c r="U104" s="15">
        <v>0.98</v>
      </c>
    </row>
    <row r="105" spans="2:21" x14ac:dyDescent="0.35">
      <c r="B105" s="15" t="s">
        <v>8</v>
      </c>
      <c r="C105" s="15">
        <v>0.88660000000000005</v>
      </c>
      <c r="D105" s="15">
        <v>9773</v>
      </c>
      <c r="E105" s="15">
        <v>9773</v>
      </c>
      <c r="F105" s="15">
        <v>0.88560000000000005</v>
      </c>
      <c r="G105" s="15">
        <v>6964</v>
      </c>
      <c r="H105" s="15">
        <v>6964</v>
      </c>
      <c r="I105" s="15">
        <v>0.88660000000000005</v>
      </c>
      <c r="J105" s="15">
        <v>174.03480696</v>
      </c>
      <c r="K105" s="15">
        <v>1710165.2410289501</v>
      </c>
      <c r="L105" s="15">
        <v>1824450.29310807</v>
      </c>
      <c r="M105" s="15">
        <v>0.88324687000000002</v>
      </c>
      <c r="N105" s="15">
        <v>0.88346926000000003</v>
      </c>
      <c r="O105" s="15">
        <v>2324</v>
      </c>
      <c r="P105" s="15">
        <v>2611</v>
      </c>
      <c r="Q105" s="15">
        <v>0.85270000000000001</v>
      </c>
      <c r="R105" s="15">
        <v>0.85270000000000001</v>
      </c>
      <c r="S105" s="15">
        <v>0.89070000000000005</v>
      </c>
      <c r="T105" s="15">
        <v>0.89070000000000005</v>
      </c>
      <c r="U105" s="15">
        <v>0.88600000000000001</v>
      </c>
    </row>
    <row r="106" spans="2:21" x14ac:dyDescent="0.35">
      <c r="B106" s="15" t="s">
        <v>300</v>
      </c>
      <c r="C106" s="15">
        <v>0.79079999999999995</v>
      </c>
      <c r="D106" s="15">
        <v>9995</v>
      </c>
      <c r="E106" s="15">
        <v>9995</v>
      </c>
      <c r="F106" s="15">
        <v>0.78979999999999995</v>
      </c>
      <c r="G106" s="15">
        <v>9995</v>
      </c>
      <c r="H106" s="15">
        <v>9995</v>
      </c>
      <c r="I106" s="15">
        <v>0.79079999999999995</v>
      </c>
      <c r="J106" s="15">
        <v>123.66666666</v>
      </c>
      <c r="K106" s="15">
        <v>69130.380974200001</v>
      </c>
      <c r="L106" s="15">
        <v>81553.408533459995</v>
      </c>
      <c r="M106" s="15">
        <v>0.79224158</v>
      </c>
      <c r="N106" s="15">
        <v>0.79222254999999997</v>
      </c>
      <c r="O106" s="15">
        <v>141</v>
      </c>
      <c r="P106" s="15">
        <v>193</v>
      </c>
      <c r="Q106" s="15">
        <v>0.78959999999999997</v>
      </c>
      <c r="R106" s="15">
        <v>0.78959999999999997</v>
      </c>
      <c r="S106" s="15">
        <v>0.79379999999999995</v>
      </c>
      <c r="T106" s="15">
        <v>0.79379999999999995</v>
      </c>
      <c r="U106" s="15">
        <v>0.79210000000000003</v>
      </c>
    </row>
    <row r="107" spans="2:21" x14ac:dyDescent="0.35">
      <c r="B107" s="15" t="s">
        <v>302</v>
      </c>
      <c r="C107" s="15">
        <v>110.038</v>
      </c>
      <c r="D107" s="15">
        <v>390</v>
      </c>
      <c r="E107" s="15">
        <v>390</v>
      </c>
      <c r="F107" s="15">
        <v>109.21299999999999</v>
      </c>
      <c r="G107" s="15">
        <v>371</v>
      </c>
      <c r="H107" s="15">
        <v>371</v>
      </c>
      <c r="I107" s="15">
        <v>108.068</v>
      </c>
      <c r="J107" s="15">
        <v>125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108.068</v>
      </c>
      <c r="R107" s="15">
        <v>0</v>
      </c>
      <c r="S107" s="15">
        <v>108.068</v>
      </c>
      <c r="T107" s="15">
        <v>0</v>
      </c>
      <c r="U107" s="15">
        <v>108.068</v>
      </c>
    </row>
    <row r="108" spans="2:21" x14ac:dyDescent="0.35">
      <c r="B108" s="15" t="s">
        <v>304</v>
      </c>
      <c r="C108" s="15">
        <v>1.0004</v>
      </c>
      <c r="D108" s="15">
        <v>417</v>
      </c>
      <c r="E108" s="15">
        <v>417</v>
      </c>
      <c r="F108" s="15">
        <v>1.0003</v>
      </c>
      <c r="G108" s="15">
        <v>7256</v>
      </c>
      <c r="H108" s="15">
        <v>7256</v>
      </c>
      <c r="I108" s="15">
        <v>1.0004</v>
      </c>
      <c r="J108" s="15">
        <v>33.799639139999996</v>
      </c>
      <c r="K108" s="15">
        <v>3590162.5071981899</v>
      </c>
      <c r="L108" s="15">
        <v>4180710.6297148499</v>
      </c>
      <c r="M108" s="15">
        <v>0.99984054</v>
      </c>
      <c r="N108" s="15">
        <v>0.99971052999999999</v>
      </c>
      <c r="O108" s="15">
        <v>5632</v>
      </c>
      <c r="P108" s="15">
        <v>6580</v>
      </c>
      <c r="Q108" s="15">
        <v>0.99939999999999996</v>
      </c>
      <c r="R108" s="15">
        <v>0.99939999999999996</v>
      </c>
      <c r="S108" s="15">
        <v>1.0004999999999999</v>
      </c>
      <c r="T108" s="15">
        <v>1.0004999999999999</v>
      </c>
      <c r="U108" s="15">
        <v>0.99980000000000002</v>
      </c>
    </row>
    <row r="109" spans="2:21" x14ac:dyDescent="0.35">
      <c r="B109" s="15" t="s">
        <v>307</v>
      </c>
      <c r="C109" s="15">
        <v>4.7385999999999999E-3</v>
      </c>
      <c r="D109" s="15">
        <v>304</v>
      </c>
      <c r="E109" s="15">
        <v>304</v>
      </c>
      <c r="F109" s="15">
        <v>4.6858999999999998E-3</v>
      </c>
      <c r="G109" s="15">
        <v>447</v>
      </c>
      <c r="H109" s="15">
        <v>447</v>
      </c>
      <c r="I109" s="15">
        <v>4.7892000000000004E-3</v>
      </c>
      <c r="J109" s="15">
        <v>351.50014256999998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4.7892000000000004E-3</v>
      </c>
      <c r="R109" s="15">
        <v>0</v>
      </c>
      <c r="S109" s="15">
        <v>4.7892000000000004E-3</v>
      </c>
      <c r="T109" s="15">
        <v>0</v>
      </c>
      <c r="U109" s="15">
        <v>4.7892000000000004E-3</v>
      </c>
    </row>
    <row r="110" spans="2:21" x14ac:dyDescent="0.35">
      <c r="B110" s="15" t="s">
        <v>309</v>
      </c>
      <c r="C110" s="15">
        <v>1.0126999999999999</v>
      </c>
      <c r="D110" s="15">
        <v>509</v>
      </c>
      <c r="E110" s="15">
        <v>509</v>
      </c>
      <c r="F110" s="15">
        <v>1.0085</v>
      </c>
      <c r="G110" s="15">
        <v>508</v>
      </c>
      <c r="H110" s="15">
        <v>508</v>
      </c>
      <c r="I110" s="15">
        <v>1.0114000000000001</v>
      </c>
      <c r="J110" s="15">
        <v>50</v>
      </c>
      <c r="K110" s="15">
        <v>39324.685625509999</v>
      </c>
      <c r="L110" s="15">
        <v>40197.920675109999</v>
      </c>
      <c r="M110" s="15">
        <v>1.0106619999999999</v>
      </c>
      <c r="N110" s="15">
        <v>1.0106630000000001</v>
      </c>
      <c r="O110" s="15">
        <v>95</v>
      </c>
      <c r="P110" s="15">
        <v>105</v>
      </c>
      <c r="Q110" s="15">
        <v>0.99</v>
      </c>
      <c r="R110" s="15">
        <v>0.99</v>
      </c>
      <c r="S110" s="15">
        <v>1.0277000000000001</v>
      </c>
      <c r="T110" s="15">
        <v>1.0277000000000001</v>
      </c>
      <c r="U110" s="15">
        <v>1.0177</v>
      </c>
    </row>
    <row r="111" spans="2:21" x14ac:dyDescent="0.35">
      <c r="B111" s="15" t="s">
        <v>311</v>
      </c>
      <c r="C111" s="15">
        <v>1.143</v>
      </c>
      <c r="D111" s="15">
        <v>494</v>
      </c>
      <c r="E111" s="15">
        <v>494</v>
      </c>
      <c r="F111" s="15">
        <v>1.1384000000000001</v>
      </c>
      <c r="G111" s="15">
        <v>494</v>
      </c>
      <c r="H111" s="15">
        <v>494</v>
      </c>
      <c r="I111" s="15">
        <v>1.1395</v>
      </c>
      <c r="J111" s="15">
        <v>18</v>
      </c>
      <c r="K111" s="15">
        <v>13411.395768689999</v>
      </c>
      <c r="L111" s="15">
        <v>13411.395768689999</v>
      </c>
      <c r="M111" s="15">
        <v>1.130112</v>
      </c>
      <c r="N111" s="15">
        <v>1.1299330000000001</v>
      </c>
      <c r="O111" s="15">
        <v>28</v>
      </c>
      <c r="P111" s="15">
        <v>28</v>
      </c>
      <c r="Q111" s="15">
        <v>1.1178999999999999</v>
      </c>
      <c r="R111" s="15">
        <v>1.1178999999999999</v>
      </c>
      <c r="S111" s="15">
        <v>1.1509</v>
      </c>
      <c r="T111" s="15">
        <v>1.1509</v>
      </c>
      <c r="U111" s="15">
        <v>1.1455</v>
      </c>
    </row>
    <row r="112" spans="2:21" x14ac:dyDescent="0.35">
      <c r="B112" s="15" t="s">
        <v>313</v>
      </c>
      <c r="C112" s="15">
        <v>1.1734E-4</v>
      </c>
      <c r="D112" s="15">
        <v>443</v>
      </c>
      <c r="E112" s="15">
        <v>443</v>
      </c>
      <c r="F112" s="15">
        <v>1.1688000000000001E-4</v>
      </c>
      <c r="G112" s="15">
        <v>444</v>
      </c>
      <c r="H112" s="15">
        <v>444</v>
      </c>
      <c r="I112" s="15">
        <v>1.1619E-4</v>
      </c>
      <c r="J112" s="15">
        <v>303.81504174000003</v>
      </c>
      <c r="K112" s="15">
        <v>2544.93941055</v>
      </c>
      <c r="L112" s="15">
        <v>2819.1688030700002</v>
      </c>
      <c r="M112" s="15">
        <v>1.1818E-4</v>
      </c>
      <c r="N112" s="15">
        <v>1.1438E-4</v>
      </c>
      <c r="O112" s="15">
        <v>23</v>
      </c>
      <c r="P112" s="15">
        <v>25</v>
      </c>
      <c r="Q112" s="15">
        <v>1.1619E-4</v>
      </c>
      <c r="R112" s="15">
        <v>1.1619E-4</v>
      </c>
      <c r="S112" s="15">
        <v>1.1977999999999999E-4</v>
      </c>
      <c r="T112" s="15">
        <v>1.1977999999999999E-4</v>
      </c>
      <c r="U112" s="15">
        <v>1.1891E-4</v>
      </c>
    </row>
    <row r="113" spans="2:21" x14ac:dyDescent="0.35">
      <c r="B113" s="15" t="s">
        <v>315</v>
      </c>
      <c r="C113" s="15">
        <v>9422.9</v>
      </c>
      <c r="D113" s="15">
        <v>1</v>
      </c>
      <c r="E113" s="15">
        <v>1</v>
      </c>
      <c r="F113" s="15">
        <v>9376.5</v>
      </c>
      <c r="G113" s="15">
        <v>6</v>
      </c>
      <c r="H113" s="15">
        <v>6</v>
      </c>
      <c r="I113" s="15">
        <v>9380.5</v>
      </c>
      <c r="J113" s="15">
        <v>3.6983009999999997E-2</v>
      </c>
      <c r="K113" s="15">
        <v>15.372419369999999</v>
      </c>
      <c r="L113" s="15">
        <v>16.684712829999999</v>
      </c>
      <c r="M113" s="15">
        <v>9322.2667199999996</v>
      </c>
      <c r="N113" s="15">
        <v>9325.0326800000003</v>
      </c>
      <c r="O113" s="15">
        <v>154</v>
      </c>
      <c r="P113" s="15">
        <v>197</v>
      </c>
      <c r="Q113" s="15">
        <v>9155</v>
      </c>
      <c r="R113" s="15">
        <v>9155</v>
      </c>
      <c r="S113" s="15">
        <v>9423</v>
      </c>
      <c r="T113" s="15">
        <v>9423</v>
      </c>
      <c r="U113" s="15">
        <v>9350</v>
      </c>
    </row>
    <row r="114" spans="2:21" x14ac:dyDescent="0.35">
      <c r="B114" s="15" t="s">
        <v>317</v>
      </c>
      <c r="C114" s="15">
        <v>9736.1</v>
      </c>
      <c r="D114" s="15">
        <v>1</v>
      </c>
      <c r="E114" s="15">
        <v>1</v>
      </c>
      <c r="F114" s="15">
        <v>9706.2999999999993</v>
      </c>
      <c r="G114" s="15">
        <v>1</v>
      </c>
      <c r="H114" s="15">
        <v>1</v>
      </c>
      <c r="I114" s="15">
        <v>9412.9</v>
      </c>
      <c r="J114" s="15">
        <v>0.81541892999999999</v>
      </c>
      <c r="K114" s="15">
        <v>1.9974452499999999</v>
      </c>
      <c r="L114" s="15">
        <v>1.9974452499999999</v>
      </c>
      <c r="M114" s="15">
        <v>9431.3368399999999</v>
      </c>
      <c r="N114" s="15">
        <v>9431.3358900000003</v>
      </c>
      <c r="O114" s="15">
        <v>17</v>
      </c>
      <c r="P114" s="15">
        <v>17</v>
      </c>
      <c r="Q114" s="15">
        <v>9412.9</v>
      </c>
      <c r="R114" s="15">
        <v>9412.9</v>
      </c>
      <c r="S114" s="15">
        <v>9653.4</v>
      </c>
      <c r="T114" s="15">
        <v>9594.2000000000007</v>
      </c>
      <c r="U114" s="15">
        <v>9653.4</v>
      </c>
    </row>
    <row r="115" spans="2:21" x14ac:dyDescent="0.35">
      <c r="B115" s="15" t="s">
        <v>319</v>
      </c>
      <c r="C115" s="15">
        <v>9755.58</v>
      </c>
      <c r="D115" s="15">
        <v>1</v>
      </c>
      <c r="E115" s="15">
        <v>1</v>
      </c>
      <c r="F115" s="15">
        <v>9731.23</v>
      </c>
      <c r="G115" s="15">
        <v>1</v>
      </c>
      <c r="H115" s="15">
        <v>1</v>
      </c>
      <c r="I115" s="15">
        <v>9769.51</v>
      </c>
      <c r="J115" s="15">
        <v>3.7892299999999997E-2</v>
      </c>
      <c r="K115" s="15">
        <v>17.280013879999998</v>
      </c>
      <c r="L115" s="15">
        <v>18.614080649999998</v>
      </c>
      <c r="M115" s="15">
        <v>9538.2939000000006</v>
      </c>
      <c r="N115" s="15">
        <v>9548.5089000000007</v>
      </c>
      <c r="O115" s="15">
        <v>139</v>
      </c>
      <c r="P115" s="15">
        <v>152</v>
      </c>
      <c r="Q115" s="15">
        <v>9390.6</v>
      </c>
      <c r="R115" s="15">
        <v>9390.6</v>
      </c>
      <c r="S115" s="15">
        <v>9800</v>
      </c>
      <c r="T115" s="15">
        <v>9800</v>
      </c>
      <c r="U115" s="15">
        <v>9648.7900000000009</v>
      </c>
    </row>
    <row r="116" spans="2:21" x14ac:dyDescent="0.35">
      <c r="B116" s="15" t="s">
        <v>321</v>
      </c>
      <c r="C116" s="15">
        <v>9745.4</v>
      </c>
      <c r="D116" s="15">
        <v>1</v>
      </c>
      <c r="E116" s="15">
        <v>1</v>
      </c>
      <c r="F116" s="15">
        <v>9733.6</v>
      </c>
      <c r="G116" s="15">
        <v>1</v>
      </c>
      <c r="H116" s="15">
        <v>1</v>
      </c>
      <c r="I116" s="15">
        <v>9746.1</v>
      </c>
      <c r="J116" s="15">
        <v>1.371374E-2</v>
      </c>
      <c r="K116" s="15">
        <v>65.607236029999996</v>
      </c>
      <c r="L116" s="15">
        <v>66.443356870000002</v>
      </c>
      <c r="M116" s="15">
        <v>9557.0187000000005</v>
      </c>
      <c r="N116" s="15">
        <v>9558.4882600000001</v>
      </c>
      <c r="O116" s="15">
        <v>749</v>
      </c>
      <c r="P116" s="15">
        <v>764</v>
      </c>
      <c r="Q116" s="15">
        <v>9365.7999999999993</v>
      </c>
      <c r="R116" s="15">
        <v>9365.7999999999993</v>
      </c>
      <c r="S116" s="15">
        <v>9801.1</v>
      </c>
      <c r="T116" s="15">
        <v>9801.1</v>
      </c>
      <c r="U116" s="15">
        <v>9680.5</v>
      </c>
    </row>
    <row r="117" spans="2:21" x14ac:dyDescent="0.35">
      <c r="B117" s="15" t="s">
        <v>7</v>
      </c>
      <c r="C117" s="15">
        <v>2.3143999999999999E-3</v>
      </c>
      <c r="D117" s="15">
        <v>210893</v>
      </c>
      <c r="E117" s="15">
        <v>210893</v>
      </c>
      <c r="F117" s="15">
        <v>2.2588E-3</v>
      </c>
      <c r="G117" s="15">
        <v>135496</v>
      </c>
      <c r="H117" s="15">
        <v>135496</v>
      </c>
      <c r="I117" s="15">
        <v>2.3143E-3</v>
      </c>
      <c r="J117" s="15">
        <v>4320.2142826199997</v>
      </c>
      <c r="K117" s="15">
        <v>3742390.3648808599</v>
      </c>
      <c r="L117" s="15">
        <v>3780446.9275178998</v>
      </c>
      <c r="M117" s="15">
        <v>2.296509E-3</v>
      </c>
      <c r="N117" s="15">
        <v>2.2962239999999999E-3</v>
      </c>
      <c r="O117" s="15">
        <v>122</v>
      </c>
      <c r="P117" s="15">
        <v>126</v>
      </c>
      <c r="Q117" s="15">
        <v>2.2501000000000001E-3</v>
      </c>
      <c r="R117" s="15">
        <v>2.2501000000000001E-3</v>
      </c>
      <c r="S117" s="15">
        <v>2.3700000000000001E-3</v>
      </c>
      <c r="T117" s="15">
        <v>2.3700000000000001E-3</v>
      </c>
      <c r="U117" s="15">
        <v>2.2999000000000001E-3</v>
      </c>
    </row>
    <row r="118" spans="2:21" x14ac:dyDescent="0.35">
      <c r="B118" s="15" t="s">
        <v>324</v>
      </c>
      <c r="C118" s="15">
        <v>2.6099000000000001E-3</v>
      </c>
      <c r="D118" s="15">
        <v>97737</v>
      </c>
      <c r="E118" s="15">
        <v>97737</v>
      </c>
      <c r="F118" s="15">
        <v>2.5856999999999998E-3</v>
      </c>
      <c r="G118" s="15">
        <v>220083</v>
      </c>
      <c r="H118" s="15">
        <v>220083</v>
      </c>
      <c r="I118" s="15">
        <v>2.6099000000000001E-3</v>
      </c>
      <c r="J118" s="15">
        <v>4319.47584198</v>
      </c>
      <c r="K118" s="15">
        <v>3670968.84167</v>
      </c>
      <c r="L118" s="15">
        <v>3870452.2109610601</v>
      </c>
      <c r="M118" s="15">
        <v>2.582146E-3</v>
      </c>
      <c r="N118" s="15">
        <v>2.5818540000000002E-3</v>
      </c>
      <c r="O118" s="15">
        <v>65</v>
      </c>
      <c r="P118" s="15">
        <v>71</v>
      </c>
      <c r="Q118" s="15">
        <v>2.5606000000000001E-3</v>
      </c>
      <c r="R118" s="15">
        <v>2.5555E-3</v>
      </c>
      <c r="S118" s="15">
        <v>2.6099000000000001E-3</v>
      </c>
      <c r="T118" s="15">
        <v>2.6099000000000001E-3</v>
      </c>
      <c r="U118" s="15">
        <v>2.5731E-3</v>
      </c>
    </row>
    <row r="119" spans="2:21" x14ac:dyDescent="0.35">
      <c r="B119" s="15" t="s">
        <v>326</v>
      </c>
      <c r="C119" s="15">
        <v>2.8285000000000001E-2</v>
      </c>
      <c r="D119" s="15">
        <v>14</v>
      </c>
      <c r="E119" s="15">
        <v>14</v>
      </c>
      <c r="F119" s="15">
        <v>2.8160999999999999E-2</v>
      </c>
      <c r="G119" s="15">
        <v>77</v>
      </c>
      <c r="H119" s="15">
        <v>77</v>
      </c>
      <c r="I119" s="15">
        <v>2.8299999999999999E-2</v>
      </c>
      <c r="J119" s="15">
        <v>1</v>
      </c>
      <c r="K119" s="15">
        <v>1425.82615902</v>
      </c>
      <c r="L119" s="15">
        <v>1477.2261590200001</v>
      </c>
      <c r="M119" s="15">
        <v>2.8288919999999999E-2</v>
      </c>
      <c r="N119" s="15">
        <v>2.8292330000000001E-2</v>
      </c>
      <c r="O119" s="15">
        <v>39</v>
      </c>
      <c r="P119" s="15">
        <v>42</v>
      </c>
      <c r="Q119" s="15">
        <v>2.8045E-2</v>
      </c>
      <c r="R119" s="15">
        <v>2.8045E-2</v>
      </c>
      <c r="S119" s="15">
        <v>2.8500000000000001E-2</v>
      </c>
      <c r="T119" s="15">
        <v>2.8500000000000001E-2</v>
      </c>
      <c r="U119" s="15">
        <v>2.8400000000000002E-2</v>
      </c>
    </row>
    <row r="120" spans="2:21" x14ac:dyDescent="0.35">
      <c r="B120" s="15" t="s">
        <v>329</v>
      </c>
      <c r="C120" s="15">
        <v>7.0500000000000001E-4</v>
      </c>
      <c r="D120" s="15">
        <v>390</v>
      </c>
      <c r="E120" s="15">
        <v>390</v>
      </c>
      <c r="F120" s="15">
        <v>7.0200000000000004E-4</v>
      </c>
      <c r="G120" s="15">
        <v>536</v>
      </c>
      <c r="H120" s="15">
        <v>536</v>
      </c>
      <c r="I120" s="15">
        <v>6.9800000000000005E-4</v>
      </c>
      <c r="J120" s="15">
        <v>1E-8</v>
      </c>
      <c r="K120" s="15">
        <v>2289.7575862399999</v>
      </c>
      <c r="L120" s="15">
        <v>2291.5612336099998</v>
      </c>
      <c r="M120" s="15">
        <v>7.0664000000000002E-4</v>
      </c>
      <c r="N120" s="15">
        <v>7.0408000000000005E-4</v>
      </c>
      <c r="O120" s="15">
        <v>57</v>
      </c>
      <c r="P120" s="15">
        <v>60</v>
      </c>
      <c r="Q120" s="15">
        <v>6.9800000000000005E-4</v>
      </c>
      <c r="R120" s="15">
        <v>6.9800000000000005E-4</v>
      </c>
      <c r="S120" s="15">
        <v>7.1199999999999996E-4</v>
      </c>
      <c r="T120" s="15">
        <v>7.1299999999999998E-4</v>
      </c>
      <c r="U120" s="15">
        <v>7.1100000000000004E-4</v>
      </c>
    </row>
    <row r="121" spans="2:21" x14ac:dyDescent="0.35">
      <c r="B121" s="15" t="s">
        <v>332</v>
      </c>
      <c r="C121" s="15">
        <v>6.07</v>
      </c>
      <c r="D121" s="15">
        <v>10</v>
      </c>
      <c r="E121" s="15">
        <v>10</v>
      </c>
      <c r="F121" s="15">
        <v>6.0609999999999999</v>
      </c>
      <c r="G121" s="15">
        <v>496</v>
      </c>
      <c r="H121" s="15">
        <v>496</v>
      </c>
      <c r="I121" s="15">
        <v>6.0990000000000002</v>
      </c>
      <c r="J121" s="15">
        <v>111.83543720999999</v>
      </c>
      <c r="K121" s="15">
        <v>54865.519904170003</v>
      </c>
      <c r="L121" s="15">
        <v>56481.753116200001</v>
      </c>
      <c r="M121" s="15">
        <v>6.0031657999999997</v>
      </c>
      <c r="N121" s="15">
        <v>6.0061632500000002</v>
      </c>
      <c r="O121" s="15">
        <v>527</v>
      </c>
      <c r="P121" s="15">
        <v>568</v>
      </c>
      <c r="Q121" s="15">
        <v>5.89</v>
      </c>
      <c r="R121" s="15">
        <v>5.89</v>
      </c>
      <c r="S121" s="15">
        <v>6.0990000000000002</v>
      </c>
      <c r="T121" s="15">
        <v>6.13</v>
      </c>
      <c r="U121" s="15">
        <v>6.09</v>
      </c>
    </row>
    <row r="122" spans="2:21" x14ac:dyDescent="0.35">
      <c r="B122" s="15" t="s">
        <v>335</v>
      </c>
      <c r="C122" s="15">
        <v>6.8579999999999997</v>
      </c>
      <c r="D122" s="15">
        <v>99</v>
      </c>
      <c r="E122" s="15">
        <v>99</v>
      </c>
      <c r="F122" s="15">
        <v>6.843</v>
      </c>
      <c r="G122" s="15">
        <v>84</v>
      </c>
      <c r="H122" s="15">
        <v>84</v>
      </c>
      <c r="I122" s="15">
        <v>6.8620000000000001</v>
      </c>
      <c r="J122" s="15">
        <v>49.709443309999997</v>
      </c>
      <c r="K122" s="15">
        <v>13372.72755168</v>
      </c>
      <c r="L122" s="15">
        <v>14474.646210520001</v>
      </c>
      <c r="M122" s="15">
        <v>6.7849403600000002</v>
      </c>
      <c r="N122" s="15">
        <v>6.7793939999999999</v>
      </c>
      <c r="O122" s="15">
        <v>278</v>
      </c>
      <c r="P122" s="15">
        <v>306</v>
      </c>
      <c r="Q122" s="15">
        <v>6.6210000000000004</v>
      </c>
      <c r="R122" s="15">
        <v>6.6210000000000004</v>
      </c>
      <c r="S122" s="15">
        <v>6.9</v>
      </c>
      <c r="T122" s="15">
        <v>6.9</v>
      </c>
      <c r="U122" s="15">
        <v>6.8630000000000004</v>
      </c>
    </row>
    <row r="123" spans="2:21" x14ac:dyDescent="0.35">
      <c r="B123" s="15" t="s">
        <v>338</v>
      </c>
      <c r="C123" s="15">
        <v>2.494E-2</v>
      </c>
      <c r="D123" s="15">
        <v>35</v>
      </c>
      <c r="E123" s="15">
        <v>35</v>
      </c>
      <c r="F123" s="15">
        <v>2.4930000000000001E-2</v>
      </c>
      <c r="G123" s="15">
        <v>18</v>
      </c>
      <c r="H123" s="15">
        <v>18</v>
      </c>
      <c r="I123" s="15">
        <v>2.4930000000000001E-2</v>
      </c>
      <c r="J123" s="15">
        <v>3.5469999999999998E-5</v>
      </c>
      <c r="K123" s="15">
        <v>3601.37378687</v>
      </c>
      <c r="L123" s="15">
        <v>4381.4377048400002</v>
      </c>
      <c r="M123" s="15">
        <v>2.4923000000000001E-2</v>
      </c>
      <c r="N123" s="15">
        <v>-3.9358999999999998E-2</v>
      </c>
      <c r="O123" s="15">
        <v>1236</v>
      </c>
      <c r="P123" s="15">
        <v>2157</v>
      </c>
      <c r="Q123" s="15">
        <v>2.4740000000000002E-2</v>
      </c>
      <c r="R123" s="15">
        <v>2.4740000000000002E-2</v>
      </c>
      <c r="S123" s="15">
        <v>2.5139999999999999E-2</v>
      </c>
      <c r="T123" s="15">
        <v>2.5139999999999999E-2</v>
      </c>
      <c r="U123" s="15">
        <v>2.504E-2</v>
      </c>
    </row>
    <row r="124" spans="2:21" x14ac:dyDescent="0.35">
      <c r="B124" s="15" t="s">
        <v>343</v>
      </c>
      <c r="C124" s="15">
        <v>327.7</v>
      </c>
      <c r="D124" s="15">
        <v>4</v>
      </c>
      <c r="E124" s="15">
        <v>4</v>
      </c>
      <c r="F124" s="15">
        <v>327.27</v>
      </c>
      <c r="G124" s="15">
        <v>9</v>
      </c>
      <c r="H124" s="15">
        <v>9</v>
      </c>
      <c r="I124" s="15">
        <v>321.26</v>
      </c>
      <c r="J124" s="15">
        <v>0.24000398000000001</v>
      </c>
      <c r="K124" s="15">
        <v>106.24559379</v>
      </c>
      <c r="L124" s="15">
        <v>147.15219146999999</v>
      </c>
      <c r="M124" s="15">
        <v>320.73453999999998</v>
      </c>
      <c r="N124" s="15">
        <v>322.45546999999999</v>
      </c>
      <c r="O124" s="15">
        <v>93</v>
      </c>
      <c r="P124" s="15">
        <v>136</v>
      </c>
      <c r="Q124" s="15">
        <v>317.62</v>
      </c>
      <c r="R124" s="15">
        <v>317.62</v>
      </c>
      <c r="S124" s="15">
        <v>328.9</v>
      </c>
      <c r="T124" s="15">
        <v>328.9</v>
      </c>
      <c r="U124" s="15">
        <v>326.99</v>
      </c>
    </row>
    <row r="125" spans="2:21" x14ac:dyDescent="0.35">
      <c r="B125" s="15" t="s">
        <v>1</v>
      </c>
      <c r="C125" s="15">
        <v>215</v>
      </c>
      <c r="D125" s="15">
        <v>140</v>
      </c>
      <c r="E125" s="15">
        <v>140</v>
      </c>
      <c r="F125" s="15">
        <v>214.99</v>
      </c>
      <c r="G125" s="15">
        <v>28</v>
      </c>
      <c r="H125" s="15">
        <v>28</v>
      </c>
      <c r="I125" s="15">
        <v>215</v>
      </c>
      <c r="J125" s="15">
        <v>2.12</v>
      </c>
      <c r="K125" s="15">
        <v>38529.543768629999</v>
      </c>
      <c r="L125" s="15">
        <v>40898.740717799999</v>
      </c>
      <c r="M125" s="15">
        <v>212.19223</v>
      </c>
      <c r="N125" s="15">
        <v>212.23242999999999</v>
      </c>
      <c r="O125" s="15">
        <v>6123</v>
      </c>
      <c r="P125" s="15">
        <v>6719</v>
      </c>
      <c r="Q125" s="15">
        <v>208.6</v>
      </c>
      <c r="R125" s="15">
        <v>208.6</v>
      </c>
      <c r="S125" s="15">
        <v>215.9</v>
      </c>
      <c r="T125" s="15">
        <v>215.9</v>
      </c>
      <c r="U125" s="15">
        <v>214.44</v>
      </c>
    </row>
    <row r="126" spans="2:21" x14ac:dyDescent="0.35">
      <c r="B126" s="15" t="s">
        <v>352</v>
      </c>
      <c r="C126" s="15">
        <v>192.21</v>
      </c>
      <c r="D126" s="15">
        <v>2</v>
      </c>
      <c r="E126" s="15">
        <v>2</v>
      </c>
      <c r="F126" s="15">
        <v>191.68</v>
      </c>
      <c r="G126" s="15">
        <v>13</v>
      </c>
      <c r="H126" s="15">
        <v>13</v>
      </c>
      <c r="I126" s="15">
        <v>192.17</v>
      </c>
      <c r="J126" s="15">
        <v>0.5</v>
      </c>
      <c r="K126" s="15">
        <v>81.502860420000005</v>
      </c>
      <c r="L126" s="15">
        <v>119.31953943000001</v>
      </c>
      <c r="M126" s="15">
        <v>189.8425</v>
      </c>
      <c r="N126" s="15">
        <v>190.38658000000001</v>
      </c>
      <c r="O126" s="15">
        <v>84</v>
      </c>
      <c r="P126" s="15">
        <v>104</v>
      </c>
      <c r="Q126" s="15">
        <v>186.63</v>
      </c>
      <c r="R126" s="15">
        <v>186.63</v>
      </c>
      <c r="S126" s="15">
        <v>192.17</v>
      </c>
      <c r="T126" s="15">
        <v>192.48</v>
      </c>
      <c r="U126" s="15">
        <v>191.53</v>
      </c>
    </row>
    <row r="127" spans="2:21" x14ac:dyDescent="0.35">
      <c r="B127" s="15" t="s">
        <v>357</v>
      </c>
      <c r="C127" s="15">
        <v>26709</v>
      </c>
      <c r="D127" s="15">
        <v>2</v>
      </c>
      <c r="E127" s="15">
        <v>2</v>
      </c>
      <c r="F127" s="15">
        <v>26559</v>
      </c>
      <c r="G127" s="15">
        <v>1</v>
      </c>
      <c r="H127" s="15">
        <v>1</v>
      </c>
      <c r="I127" s="15">
        <v>26558</v>
      </c>
      <c r="J127" s="15">
        <v>0.02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26558</v>
      </c>
      <c r="R127" s="15">
        <v>0</v>
      </c>
      <c r="S127" s="15">
        <v>26558</v>
      </c>
      <c r="T127" s="15">
        <v>0</v>
      </c>
      <c r="U127" s="15">
        <v>26558</v>
      </c>
    </row>
    <row r="128" spans="2:21" x14ac:dyDescent="0.35">
      <c r="B128" s="15" t="s">
        <v>362</v>
      </c>
      <c r="C128" s="15">
        <v>242.87</v>
      </c>
      <c r="D128" s="15">
        <v>7</v>
      </c>
      <c r="E128" s="15">
        <v>7</v>
      </c>
      <c r="F128" s="15">
        <v>242.81</v>
      </c>
      <c r="G128" s="15">
        <v>7</v>
      </c>
      <c r="H128" s="15">
        <v>7</v>
      </c>
      <c r="I128" s="15">
        <v>242.89</v>
      </c>
      <c r="J128" s="15">
        <v>4.21</v>
      </c>
      <c r="K128" s="15">
        <v>51529.041298470001</v>
      </c>
      <c r="L128" s="15">
        <v>54516.152730709997</v>
      </c>
      <c r="M128" s="15">
        <v>238.0181</v>
      </c>
      <c r="N128" s="15">
        <v>238.15306000000001</v>
      </c>
      <c r="O128" s="15">
        <v>6937</v>
      </c>
      <c r="P128" s="15">
        <v>8099</v>
      </c>
      <c r="Q128" s="15">
        <v>234.37</v>
      </c>
      <c r="R128" s="15">
        <v>234.37</v>
      </c>
      <c r="S128" s="15">
        <v>244.08</v>
      </c>
      <c r="T128" s="15">
        <v>244.08</v>
      </c>
      <c r="U128" s="15">
        <v>241.98</v>
      </c>
    </row>
    <row r="129" spans="2:21" x14ac:dyDescent="0.35">
      <c r="B129" s="15" t="s">
        <v>367</v>
      </c>
      <c r="C129" s="15">
        <v>4.8149999999999998E-3</v>
      </c>
      <c r="D129" s="15">
        <v>13</v>
      </c>
      <c r="E129" s="15">
        <v>13</v>
      </c>
      <c r="F129" s="15">
        <v>4.8079999999999998E-3</v>
      </c>
      <c r="G129" s="15">
        <v>119</v>
      </c>
      <c r="H129" s="15">
        <v>119</v>
      </c>
      <c r="I129" s="15">
        <v>4.81E-3</v>
      </c>
      <c r="J129" s="15">
        <v>0.76305089999999998</v>
      </c>
      <c r="K129" s="15">
        <v>1836.5354715000001</v>
      </c>
      <c r="L129" s="15">
        <v>2039.7241547199999</v>
      </c>
      <c r="M129" s="15">
        <v>4.8101300000000001E-3</v>
      </c>
      <c r="N129" s="15">
        <v>4.8072599999999998E-3</v>
      </c>
      <c r="O129" s="15">
        <v>209</v>
      </c>
      <c r="P129" s="15">
        <v>241</v>
      </c>
      <c r="Q129" s="15">
        <v>4.7869999999999996E-3</v>
      </c>
      <c r="R129" s="15">
        <v>4.7869999999999996E-3</v>
      </c>
      <c r="S129" s="15">
        <v>4.8399999999999997E-3</v>
      </c>
      <c r="T129" s="15">
        <v>4.8450000000000003E-3</v>
      </c>
      <c r="U129" s="15">
        <v>4.8380000000000003E-3</v>
      </c>
    </row>
    <row r="130" spans="2:21" x14ac:dyDescent="0.35">
      <c r="B130" s="15" t="s">
        <v>370</v>
      </c>
      <c r="C130" s="15">
        <v>41.53</v>
      </c>
      <c r="D130" s="15">
        <v>114</v>
      </c>
      <c r="E130" s="15">
        <v>114</v>
      </c>
      <c r="F130" s="15">
        <v>41.5</v>
      </c>
      <c r="G130" s="15">
        <v>58</v>
      </c>
      <c r="H130" s="15">
        <v>58</v>
      </c>
      <c r="I130" s="15">
        <v>41.53</v>
      </c>
      <c r="J130" s="15">
        <v>8.9999999999999996E-7</v>
      </c>
      <c r="K130" s="15">
        <v>10624.89441703</v>
      </c>
      <c r="L130" s="15">
        <v>11334.062289740001</v>
      </c>
      <c r="M130" s="15">
        <v>40.955849999999998</v>
      </c>
      <c r="N130" s="15">
        <v>40.97296</v>
      </c>
      <c r="O130" s="15">
        <v>1065</v>
      </c>
      <c r="P130" s="15">
        <v>1155</v>
      </c>
      <c r="Q130" s="15">
        <v>40.119999999999997</v>
      </c>
      <c r="R130" s="15">
        <v>40.119999999999997</v>
      </c>
      <c r="S130" s="15">
        <v>41.6</v>
      </c>
      <c r="T130" s="15">
        <v>41.65</v>
      </c>
      <c r="U130" s="15">
        <v>41.51</v>
      </c>
    </row>
    <row r="131" spans="2:21" x14ac:dyDescent="0.35">
      <c r="B131" s="15" t="s">
        <v>373</v>
      </c>
      <c r="C131" s="15">
        <v>46.9</v>
      </c>
      <c r="D131" s="15">
        <v>78</v>
      </c>
      <c r="E131" s="15">
        <v>78</v>
      </c>
      <c r="F131" s="15">
        <v>46.88</v>
      </c>
      <c r="G131" s="15">
        <v>80</v>
      </c>
      <c r="H131" s="15">
        <v>80</v>
      </c>
      <c r="I131" s="15">
        <v>46.92</v>
      </c>
      <c r="J131" s="15">
        <v>0.10234306</v>
      </c>
      <c r="K131" s="15">
        <v>3029.2234684999999</v>
      </c>
      <c r="L131" s="15">
        <v>8893.2740438399996</v>
      </c>
      <c r="M131" s="15">
        <v>46.018949999999997</v>
      </c>
      <c r="N131" s="15">
        <v>46.143250000000002</v>
      </c>
      <c r="O131" s="15">
        <v>364</v>
      </c>
      <c r="P131" s="15">
        <v>918</v>
      </c>
      <c r="Q131" s="15">
        <v>45.33</v>
      </c>
      <c r="R131" s="15">
        <v>45.18</v>
      </c>
      <c r="S131" s="15">
        <v>46.92</v>
      </c>
      <c r="T131" s="15">
        <v>46.95</v>
      </c>
      <c r="U131" s="15">
        <v>46.75</v>
      </c>
    </row>
    <row r="132" spans="2:21" x14ac:dyDescent="0.35">
      <c r="B132" s="15" t="s">
        <v>376</v>
      </c>
      <c r="C132" s="15">
        <v>1.6789999999999999E-2</v>
      </c>
      <c r="D132" s="15">
        <v>21</v>
      </c>
      <c r="E132" s="15">
        <v>21</v>
      </c>
      <c r="F132" s="15">
        <v>1.6660000000000001E-2</v>
      </c>
      <c r="G132" s="15">
        <v>15</v>
      </c>
      <c r="H132" s="15">
        <v>15</v>
      </c>
      <c r="I132" s="15">
        <v>1.685E-2</v>
      </c>
      <c r="J132" s="15">
        <v>9.2743467499999994</v>
      </c>
      <c r="K132" s="15">
        <v>601.46413914000004</v>
      </c>
      <c r="L132" s="15">
        <v>689.87396003000003</v>
      </c>
      <c r="M132" s="15">
        <v>1.6887860000000001E-2</v>
      </c>
      <c r="N132" s="15">
        <v>1.6638839999999998E-2</v>
      </c>
      <c r="O132" s="15">
        <v>25</v>
      </c>
      <c r="P132" s="15">
        <v>26</v>
      </c>
      <c r="Q132" s="15">
        <v>1.6230000000000001E-2</v>
      </c>
      <c r="R132" s="15">
        <v>1.6230000000000001E-2</v>
      </c>
      <c r="S132" s="15">
        <v>1.6969999999999999E-2</v>
      </c>
      <c r="T132" s="15">
        <v>1.6969999999999999E-2</v>
      </c>
      <c r="U132" s="15">
        <v>1.686E-2</v>
      </c>
    </row>
    <row r="133" spans="2:21" x14ac:dyDescent="0.35">
      <c r="B133" s="15" t="s">
        <v>379</v>
      </c>
      <c r="C133" s="15">
        <v>4.1800000000000002E-4</v>
      </c>
      <c r="D133" s="15">
        <v>116</v>
      </c>
      <c r="E133" s="15">
        <v>116</v>
      </c>
      <c r="F133" s="15">
        <v>4.1599999999999997E-4</v>
      </c>
      <c r="G133" s="15">
        <v>4</v>
      </c>
      <c r="H133" s="15">
        <v>4</v>
      </c>
      <c r="I133" s="15">
        <v>4.1599999999999997E-4</v>
      </c>
      <c r="J133" s="15">
        <v>9.2712905299999999</v>
      </c>
      <c r="K133" s="15">
        <v>827.16123058999995</v>
      </c>
      <c r="L133" s="15">
        <v>885.20401064999999</v>
      </c>
      <c r="M133" s="15">
        <v>4.2286E-4</v>
      </c>
      <c r="N133" s="15">
        <v>4.1916000000000002E-4</v>
      </c>
      <c r="O133" s="15">
        <v>53</v>
      </c>
      <c r="P133" s="15">
        <v>72</v>
      </c>
      <c r="Q133" s="15">
        <v>4.1599999999999997E-4</v>
      </c>
      <c r="R133" s="15">
        <v>4.1399999999999998E-4</v>
      </c>
      <c r="S133" s="15">
        <v>4.28E-4</v>
      </c>
      <c r="T133" s="15">
        <v>4.28E-4</v>
      </c>
      <c r="U133" s="15">
        <v>4.2200000000000001E-4</v>
      </c>
    </row>
    <row r="134" spans="2:21" x14ac:dyDescent="0.35">
      <c r="B134" s="15" t="s">
        <v>382</v>
      </c>
      <c r="C134" s="15">
        <v>3.6040000000000001</v>
      </c>
      <c r="D134" s="15">
        <v>51</v>
      </c>
      <c r="E134" s="15">
        <v>51</v>
      </c>
      <c r="F134" s="15">
        <v>3.5579999999999998</v>
      </c>
      <c r="G134" s="15">
        <v>22</v>
      </c>
      <c r="H134" s="15">
        <v>22</v>
      </c>
      <c r="I134" s="15">
        <v>3.605</v>
      </c>
      <c r="J134" s="15">
        <v>4.0136244400000001</v>
      </c>
      <c r="K134" s="15">
        <v>1740.13135683</v>
      </c>
      <c r="L134" s="15">
        <v>2069.7640446999999</v>
      </c>
      <c r="M134" s="15">
        <v>3.5717379999999999</v>
      </c>
      <c r="N134" s="15">
        <v>3.5748169999999999</v>
      </c>
      <c r="O134" s="15">
        <v>96</v>
      </c>
      <c r="P134" s="15">
        <v>116</v>
      </c>
      <c r="Q134" s="15">
        <v>3.55</v>
      </c>
      <c r="R134" s="15">
        <v>3.55</v>
      </c>
      <c r="S134" s="15">
        <v>3.633</v>
      </c>
      <c r="T134" s="15">
        <v>3.6440000000000001</v>
      </c>
      <c r="U134" s="15">
        <v>3.57</v>
      </c>
    </row>
    <row r="135" spans="2:21" x14ac:dyDescent="0.35">
      <c r="B135" s="15" t="s">
        <v>385</v>
      </c>
      <c r="C135" s="15">
        <v>4.077</v>
      </c>
      <c r="D135" s="15">
        <v>96</v>
      </c>
      <c r="E135" s="15">
        <v>96</v>
      </c>
      <c r="F135" s="15">
        <v>3.9870000000000001</v>
      </c>
      <c r="G135" s="15">
        <v>15</v>
      </c>
      <c r="H135" s="15">
        <v>15</v>
      </c>
      <c r="I135" s="15">
        <v>4.0250000000000004</v>
      </c>
      <c r="J135" s="15">
        <v>4.0360309000000001</v>
      </c>
      <c r="K135" s="15">
        <v>129.10512621999999</v>
      </c>
      <c r="L135" s="15">
        <v>286.95088845999999</v>
      </c>
      <c r="M135" s="15">
        <v>4.0357589999999997</v>
      </c>
      <c r="N135" s="15">
        <v>4.051266</v>
      </c>
      <c r="O135" s="15">
        <v>28</v>
      </c>
      <c r="P135" s="15">
        <v>37</v>
      </c>
      <c r="Q135" s="15">
        <v>3.9620000000000002</v>
      </c>
      <c r="R135" s="15">
        <v>3.9620000000000002</v>
      </c>
      <c r="S135" s="15">
        <v>4.09</v>
      </c>
      <c r="T135" s="15">
        <v>4.0990000000000002</v>
      </c>
      <c r="U135" s="15">
        <v>4.0380000000000003</v>
      </c>
    </row>
    <row r="136" spans="2:21" x14ac:dyDescent="0.35">
      <c r="B136" s="15" t="s">
        <v>388</v>
      </c>
      <c r="C136" s="15">
        <v>5.978E-2</v>
      </c>
      <c r="D136" s="15">
        <v>6</v>
      </c>
      <c r="E136" s="15">
        <v>6</v>
      </c>
      <c r="F136" s="15">
        <v>5.9560000000000002E-2</v>
      </c>
      <c r="G136" s="15">
        <v>26</v>
      </c>
      <c r="H136" s="15">
        <v>26</v>
      </c>
      <c r="I136" s="15">
        <v>5.9560000000000002E-2</v>
      </c>
      <c r="J136" s="15">
        <v>5.7697958600000003</v>
      </c>
      <c r="K136" s="15">
        <v>848.56297316999996</v>
      </c>
      <c r="L136" s="15">
        <v>856.06297316999996</v>
      </c>
      <c r="M136" s="15">
        <v>6.0581000000000003E-2</v>
      </c>
      <c r="N136" s="15">
        <v>6.0423999999999999E-2</v>
      </c>
      <c r="O136" s="15">
        <v>38</v>
      </c>
      <c r="P136" s="15">
        <v>39</v>
      </c>
      <c r="Q136" s="15">
        <v>5.8549999999999998E-2</v>
      </c>
      <c r="R136" s="15">
        <v>5.8549999999999998E-2</v>
      </c>
      <c r="S136" s="15">
        <v>6.1499999999999999E-2</v>
      </c>
      <c r="T136" s="15">
        <v>6.1499999999999999E-2</v>
      </c>
      <c r="U136" s="15">
        <v>5.9200000000000003E-2</v>
      </c>
    </row>
    <row r="137" spans="2:21" x14ac:dyDescent="0.35">
      <c r="B137" s="15" t="s">
        <v>391</v>
      </c>
      <c r="C137" s="15">
        <v>1.49E-3</v>
      </c>
      <c r="D137" s="15">
        <v>36</v>
      </c>
      <c r="E137" s="15">
        <v>36</v>
      </c>
      <c r="F137" s="15">
        <v>1.4840000000000001E-3</v>
      </c>
      <c r="G137" s="15">
        <v>41</v>
      </c>
      <c r="H137" s="15">
        <v>41</v>
      </c>
      <c r="I137" s="15">
        <v>1.485E-3</v>
      </c>
      <c r="J137" s="15">
        <v>3.5687930099999998</v>
      </c>
      <c r="K137" s="15">
        <v>1260.53804154</v>
      </c>
      <c r="L137" s="15">
        <v>1318.16203363</v>
      </c>
      <c r="M137" s="15">
        <v>1.5E-3</v>
      </c>
      <c r="N137" s="15">
        <v>1.232E-3</v>
      </c>
      <c r="O137" s="15">
        <v>84</v>
      </c>
      <c r="P137" s="15">
        <v>94</v>
      </c>
      <c r="Q137" s="15">
        <v>1.462E-3</v>
      </c>
      <c r="R137" s="15">
        <v>1.462E-3</v>
      </c>
      <c r="S137" s="15">
        <v>1.529E-3</v>
      </c>
      <c r="T137" s="15">
        <v>1.529E-3</v>
      </c>
      <c r="U137" s="15">
        <v>1.4840000000000001E-3</v>
      </c>
    </row>
    <row r="138" spans="2:21" x14ac:dyDescent="0.35">
      <c r="B138" s="15" t="s">
        <v>394</v>
      </c>
      <c r="C138" s="15">
        <v>12.856</v>
      </c>
      <c r="D138" s="15">
        <v>35</v>
      </c>
      <c r="E138" s="15">
        <v>35</v>
      </c>
      <c r="F138" s="15">
        <v>12.805</v>
      </c>
      <c r="G138" s="15">
        <v>36</v>
      </c>
      <c r="H138" s="15">
        <v>36</v>
      </c>
      <c r="I138" s="15">
        <v>12.79</v>
      </c>
      <c r="J138" s="15">
        <v>3.9464999999999999</v>
      </c>
      <c r="K138" s="15">
        <v>2830.8358727200002</v>
      </c>
      <c r="L138" s="15">
        <v>3166.85296969</v>
      </c>
      <c r="M138" s="15">
        <v>12.76437</v>
      </c>
      <c r="N138" s="15">
        <v>12.74367</v>
      </c>
      <c r="O138" s="15">
        <v>189</v>
      </c>
      <c r="P138" s="15">
        <v>209</v>
      </c>
      <c r="Q138" s="15">
        <v>12.551</v>
      </c>
      <c r="R138" s="15">
        <v>12.545</v>
      </c>
      <c r="S138" s="15">
        <v>13.03</v>
      </c>
      <c r="T138" s="15">
        <v>13.03</v>
      </c>
      <c r="U138" s="15">
        <v>12.696999999999999</v>
      </c>
    </row>
    <row r="139" spans="2:21" x14ac:dyDescent="0.35">
      <c r="B139" s="15" t="s">
        <v>397</v>
      </c>
      <c r="C139" s="15">
        <v>14.532999999999999</v>
      </c>
      <c r="D139" s="15">
        <v>36</v>
      </c>
      <c r="E139" s="15">
        <v>36</v>
      </c>
      <c r="F139" s="15">
        <v>14.452999999999999</v>
      </c>
      <c r="G139" s="15">
        <v>71</v>
      </c>
      <c r="H139" s="15">
        <v>71</v>
      </c>
      <c r="I139" s="15">
        <v>14.446</v>
      </c>
      <c r="J139" s="15">
        <v>5.7697958600000003</v>
      </c>
      <c r="K139" s="15">
        <v>1059.8235743600001</v>
      </c>
      <c r="L139" s="15">
        <v>1059.8235743600001</v>
      </c>
      <c r="M139" s="15">
        <v>14.374969999999999</v>
      </c>
      <c r="N139" s="15">
        <v>14.37035</v>
      </c>
      <c r="O139" s="15">
        <v>82</v>
      </c>
      <c r="P139" s="15">
        <v>82</v>
      </c>
      <c r="Q139" s="15">
        <v>14.151</v>
      </c>
      <c r="R139" s="15">
        <v>14.151</v>
      </c>
      <c r="S139" s="15">
        <v>14.664</v>
      </c>
      <c r="T139" s="15">
        <v>14.664</v>
      </c>
      <c r="U139" s="15">
        <v>14.183</v>
      </c>
    </row>
    <row r="140" spans="2:21" x14ac:dyDescent="0.35">
      <c r="B140" s="15" t="s">
        <v>400</v>
      </c>
      <c r="C140" s="15">
        <v>8.3799999999999999E-4</v>
      </c>
      <c r="D140" s="15">
        <v>7874</v>
      </c>
      <c r="E140" s="15">
        <v>7874</v>
      </c>
      <c r="F140" s="15">
        <v>8.3580000000000004E-4</v>
      </c>
      <c r="G140" s="15">
        <v>2736</v>
      </c>
      <c r="H140" s="15">
        <v>2736</v>
      </c>
      <c r="I140" s="15">
        <v>8.3600000000000005E-4</v>
      </c>
      <c r="J140" s="15">
        <v>897.66606823999996</v>
      </c>
      <c r="K140" s="15">
        <v>64135.140162260002</v>
      </c>
      <c r="L140" s="15">
        <v>94462.060699940004</v>
      </c>
      <c r="M140" s="15">
        <v>8.4183019999999997E-4</v>
      </c>
      <c r="N140" s="15">
        <v>8.4168950000000002E-4</v>
      </c>
      <c r="O140" s="15">
        <v>89</v>
      </c>
      <c r="P140" s="15">
        <v>151</v>
      </c>
      <c r="Q140" s="15">
        <v>8.3460000000000001E-4</v>
      </c>
      <c r="R140" s="15">
        <v>8.3460000000000001E-4</v>
      </c>
      <c r="S140" s="15">
        <v>8.4979999999999995E-4</v>
      </c>
      <c r="T140" s="15">
        <v>8.4979999999999995E-4</v>
      </c>
      <c r="U140" s="15">
        <v>8.407E-4</v>
      </c>
    </row>
    <row r="141" spans="2:21" x14ac:dyDescent="0.35">
      <c r="B141" s="15" t="s">
        <v>402</v>
      </c>
      <c r="C141" s="15">
        <v>0.16098000000000001</v>
      </c>
      <c r="D141" s="15">
        <v>1882</v>
      </c>
      <c r="E141" s="15">
        <v>1882</v>
      </c>
      <c r="F141" s="15">
        <v>0.15970999999999999</v>
      </c>
      <c r="G141" s="15">
        <v>1840</v>
      </c>
      <c r="H141" s="15">
        <v>1840</v>
      </c>
      <c r="I141" s="15">
        <v>0.16027</v>
      </c>
      <c r="J141" s="15">
        <v>1000</v>
      </c>
      <c r="K141" s="15">
        <v>16160.53935193</v>
      </c>
      <c r="L141" s="15">
        <v>16456.359787279998</v>
      </c>
      <c r="M141" s="15">
        <v>0.15983433999999999</v>
      </c>
      <c r="N141" s="15">
        <v>0.15987508</v>
      </c>
      <c r="O141" s="15">
        <v>22</v>
      </c>
      <c r="P141" s="15">
        <v>23</v>
      </c>
      <c r="Q141" s="15">
        <v>0.15861</v>
      </c>
      <c r="R141" s="15">
        <v>0.15861</v>
      </c>
      <c r="S141" s="15">
        <v>0.16222</v>
      </c>
      <c r="T141" s="15">
        <v>0.16222</v>
      </c>
      <c r="U141" s="15">
        <v>0.16217000000000001</v>
      </c>
    </row>
    <row r="142" spans="2:21" x14ac:dyDescent="0.35">
      <c r="B142" s="15" t="s">
        <v>404</v>
      </c>
      <c r="C142" s="15">
        <v>0.20322000000000001</v>
      </c>
      <c r="D142" s="15">
        <v>2579</v>
      </c>
      <c r="E142" s="15">
        <v>2579</v>
      </c>
      <c r="F142" s="15">
        <v>0.20286999999999999</v>
      </c>
      <c r="G142" s="15">
        <v>2579</v>
      </c>
      <c r="H142" s="15">
        <v>2579</v>
      </c>
      <c r="I142" s="15">
        <v>0.20197000000000001</v>
      </c>
      <c r="J142" s="15">
        <v>35</v>
      </c>
      <c r="K142" s="15">
        <v>4070</v>
      </c>
      <c r="L142" s="15">
        <v>11768.102609420001</v>
      </c>
      <c r="M142" s="15">
        <v>0.20215132999999999</v>
      </c>
      <c r="N142" s="15">
        <v>0.20287087000000001</v>
      </c>
      <c r="O142" s="15">
        <v>5</v>
      </c>
      <c r="P142" s="15">
        <v>14</v>
      </c>
      <c r="Q142" s="15">
        <v>0.20197000000000001</v>
      </c>
      <c r="R142" s="15">
        <v>0.2006</v>
      </c>
      <c r="S142" s="15">
        <v>0.20374999999999999</v>
      </c>
      <c r="T142" s="15">
        <v>0.20435</v>
      </c>
      <c r="U142" s="15">
        <v>0.20374999999999999</v>
      </c>
    </row>
    <row r="143" spans="2:21" x14ac:dyDescent="0.35">
      <c r="B143" s="15" t="s">
        <v>406</v>
      </c>
      <c r="C143" s="15">
        <v>1.18376E-2</v>
      </c>
      <c r="D143" s="15">
        <v>61</v>
      </c>
      <c r="E143" s="15">
        <v>61</v>
      </c>
      <c r="F143" s="15">
        <v>1.1799499999999999E-2</v>
      </c>
      <c r="G143" s="15">
        <v>4572</v>
      </c>
      <c r="H143" s="15">
        <v>4572</v>
      </c>
      <c r="I143" s="15">
        <v>1.17561E-2</v>
      </c>
      <c r="J143" s="15">
        <v>0.33642896999999999</v>
      </c>
      <c r="K143" s="15">
        <v>19093.63731636</v>
      </c>
      <c r="L143" s="15">
        <v>21346.04048575</v>
      </c>
      <c r="M143" s="15">
        <v>1.1904369999999999E-2</v>
      </c>
      <c r="N143" s="15">
        <v>1.19139E-2</v>
      </c>
      <c r="O143" s="15">
        <v>153</v>
      </c>
      <c r="P143" s="15">
        <v>176</v>
      </c>
      <c r="Q143" s="15">
        <v>1.17561E-2</v>
      </c>
      <c r="R143" s="15">
        <v>1.17561E-2</v>
      </c>
      <c r="S143" s="15">
        <v>1.2095099999999999E-2</v>
      </c>
      <c r="T143" s="15">
        <v>1.2106499999999999E-2</v>
      </c>
      <c r="U143" s="15">
        <v>1.2076099999999999E-2</v>
      </c>
    </row>
    <row r="144" spans="2:21" x14ac:dyDescent="0.35">
      <c r="B144" s="15" t="s">
        <v>3</v>
      </c>
      <c r="C144" s="15">
        <v>2.5470000000000002</v>
      </c>
      <c r="D144" s="15">
        <v>771</v>
      </c>
      <c r="E144" s="15">
        <v>771</v>
      </c>
      <c r="F144" s="15">
        <v>2.5438000000000001</v>
      </c>
      <c r="G144" s="15">
        <v>295</v>
      </c>
      <c r="H144" s="15">
        <v>295</v>
      </c>
      <c r="I144" s="15">
        <v>2.5457000000000001</v>
      </c>
      <c r="J144" s="15">
        <v>20</v>
      </c>
      <c r="K144" s="15">
        <v>295597.30986588</v>
      </c>
      <c r="L144" s="15">
        <v>314335.91246167</v>
      </c>
      <c r="M144" s="15">
        <v>2.5489289999999998</v>
      </c>
      <c r="N144" s="15">
        <v>2.5491830000000002</v>
      </c>
      <c r="O144" s="15">
        <v>1517</v>
      </c>
      <c r="P144" s="15">
        <v>1621</v>
      </c>
      <c r="Q144" s="15">
        <v>2.5</v>
      </c>
      <c r="R144" s="15">
        <v>2.5</v>
      </c>
      <c r="S144" s="15">
        <v>2.601</v>
      </c>
      <c r="T144" s="15">
        <v>2.6044999999999998</v>
      </c>
      <c r="U144" s="15">
        <v>2.5941999999999998</v>
      </c>
    </row>
    <row r="145" spans="2:21" x14ac:dyDescent="0.35">
      <c r="B145" s="15" t="s">
        <v>409</v>
      </c>
      <c r="C145" s="15">
        <v>2.8744999999999998</v>
      </c>
      <c r="D145" s="15">
        <v>9992</v>
      </c>
      <c r="E145" s="15">
        <v>9992</v>
      </c>
      <c r="F145" s="15">
        <v>2.8715999999999999</v>
      </c>
      <c r="G145" s="15">
        <v>180</v>
      </c>
      <c r="H145" s="15">
        <v>180</v>
      </c>
      <c r="I145" s="15">
        <v>2.8734000000000002</v>
      </c>
      <c r="J145" s="15">
        <v>970.96314907999999</v>
      </c>
      <c r="K145" s="15">
        <v>302502.40570190002</v>
      </c>
      <c r="L145" s="15">
        <v>361832.07686569</v>
      </c>
      <c r="M145" s="15">
        <v>2.882161</v>
      </c>
      <c r="N145" s="15">
        <v>2.8848549999999999</v>
      </c>
      <c r="O145" s="15">
        <v>1137</v>
      </c>
      <c r="P145" s="15">
        <v>1321</v>
      </c>
      <c r="Q145" s="15">
        <v>2.8105000000000002</v>
      </c>
      <c r="R145" s="15">
        <v>2.8105000000000002</v>
      </c>
      <c r="S145" s="15">
        <v>2.9321999999999999</v>
      </c>
      <c r="T145" s="15">
        <v>2.9333</v>
      </c>
      <c r="U145" s="15">
        <v>2.9272</v>
      </c>
    </row>
    <row r="146" spans="2:21" x14ac:dyDescent="0.35">
      <c r="B146" s="15" t="s">
        <v>411</v>
      </c>
      <c r="C146" s="15">
        <v>2.9540000000000002E-4</v>
      </c>
      <c r="D146" s="15">
        <v>5612</v>
      </c>
      <c r="E146" s="15">
        <v>5612</v>
      </c>
      <c r="F146" s="15">
        <v>2.945E-4</v>
      </c>
      <c r="G146" s="15">
        <v>319</v>
      </c>
      <c r="H146" s="15">
        <v>319</v>
      </c>
      <c r="I146" s="15">
        <v>2.9520000000000002E-4</v>
      </c>
      <c r="J146" s="15">
        <v>1.16011197</v>
      </c>
      <c r="K146" s="15">
        <v>80765.569593170003</v>
      </c>
      <c r="L146" s="15">
        <v>84989.243245849997</v>
      </c>
      <c r="M146" s="15">
        <v>2.9617000000000001E-4</v>
      </c>
      <c r="N146" s="15">
        <v>2.5745E-4</v>
      </c>
      <c r="O146" s="15">
        <v>542</v>
      </c>
      <c r="P146" s="15">
        <v>576</v>
      </c>
      <c r="Q146" s="15">
        <v>2.9179999999999999E-4</v>
      </c>
      <c r="R146" s="15">
        <v>2.9179999999999999E-4</v>
      </c>
      <c r="S146" s="15">
        <v>3.032E-4</v>
      </c>
      <c r="T146" s="15">
        <v>3.032E-4</v>
      </c>
      <c r="U146" s="15">
        <v>3.0289999999999999E-4</v>
      </c>
    </row>
    <row r="147" spans="2:21" x14ac:dyDescent="0.35">
      <c r="B147" s="15" t="s">
        <v>413</v>
      </c>
      <c r="C147" s="15">
        <v>13140.1</v>
      </c>
      <c r="D147" s="15">
        <v>1</v>
      </c>
      <c r="E147" s="15">
        <v>1</v>
      </c>
      <c r="F147" s="15">
        <v>13103.2</v>
      </c>
      <c r="G147" s="15">
        <v>1</v>
      </c>
      <c r="H147" s="15">
        <v>1</v>
      </c>
      <c r="I147" s="15">
        <v>13140</v>
      </c>
      <c r="J147" s="15">
        <v>2.3258000000000001E-2</v>
      </c>
      <c r="K147" s="15">
        <v>37.923777950000002</v>
      </c>
      <c r="L147" s="15">
        <v>45.211147709999999</v>
      </c>
      <c r="M147" s="15">
        <v>12888.59972</v>
      </c>
      <c r="N147" s="15">
        <v>12914.32134</v>
      </c>
      <c r="O147" s="15">
        <v>633</v>
      </c>
      <c r="P147" s="15">
        <v>708</v>
      </c>
      <c r="Q147" s="15">
        <v>12675.8</v>
      </c>
      <c r="R147" s="15">
        <v>12675.8</v>
      </c>
      <c r="S147" s="15">
        <v>13199.8</v>
      </c>
      <c r="T147" s="15">
        <v>13199.8</v>
      </c>
      <c r="U147" s="15">
        <v>13067.5</v>
      </c>
    </row>
    <row r="148" spans="2:21" x14ac:dyDescent="0.35">
      <c r="B148" s="15" t="s">
        <v>0</v>
      </c>
      <c r="C148" s="15">
        <v>8626.1</v>
      </c>
      <c r="D148" s="15">
        <v>2</v>
      </c>
      <c r="E148" s="15">
        <v>2</v>
      </c>
      <c r="F148" s="15">
        <v>8626</v>
      </c>
      <c r="G148" s="15">
        <v>5</v>
      </c>
      <c r="H148" s="15">
        <v>5</v>
      </c>
      <c r="I148" s="15">
        <v>8622.2999999999993</v>
      </c>
      <c r="J148" s="15">
        <v>0.12793205999999999</v>
      </c>
      <c r="K148" s="15">
        <v>355.24369559000002</v>
      </c>
      <c r="L148" s="15">
        <v>4269.1841714399998</v>
      </c>
      <c r="M148" s="15">
        <v>8507.5566799999997</v>
      </c>
      <c r="N148" s="15">
        <v>8505.5975400000007</v>
      </c>
      <c r="O148" s="15">
        <v>2521</v>
      </c>
      <c r="P148" s="15">
        <v>21723</v>
      </c>
      <c r="Q148" s="15">
        <v>8376</v>
      </c>
      <c r="R148" s="15">
        <v>8350</v>
      </c>
      <c r="S148" s="15">
        <v>8666</v>
      </c>
      <c r="T148" s="15">
        <v>8666</v>
      </c>
      <c r="U148" s="15">
        <v>8570.1</v>
      </c>
    </row>
    <row r="149" spans="2:21" x14ac:dyDescent="0.35">
      <c r="B149" s="15" t="s">
        <v>420</v>
      </c>
      <c r="C149" s="15">
        <v>7703.4</v>
      </c>
      <c r="D149" s="15">
        <v>1</v>
      </c>
      <c r="E149" s="15">
        <v>1</v>
      </c>
      <c r="F149" s="15">
        <v>7690.3</v>
      </c>
      <c r="G149" s="15">
        <v>1</v>
      </c>
      <c r="H149" s="15">
        <v>1</v>
      </c>
      <c r="I149" s="15">
        <v>7705.6</v>
      </c>
      <c r="J149" s="15">
        <v>1.269151E-2</v>
      </c>
      <c r="K149" s="15">
        <v>84.598442989999995</v>
      </c>
      <c r="L149" s="15">
        <v>95.110260600000004</v>
      </c>
      <c r="M149" s="15">
        <v>7554.3868400000001</v>
      </c>
      <c r="N149" s="15">
        <v>7564.1624199999997</v>
      </c>
      <c r="O149" s="15">
        <v>581</v>
      </c>
      <c r="P149" s="15">
        <v>670</v>
      </c>
      <c r="Q149" s="15">
        <v>7445.7</v>
      </c>
      <c r="R149" s="15">
        <v>7445.7</v>
      </c>
      <c r="S149" s="15">
        <v>7747.3</v>
      </c>
      <c r="T149" s="15">
        <v>7747.3</v>
      </c>
      <c r="U149" s="15">
        <v>7667.2</v>
      </c>
    </row>
    <row r="150" spans="2:21" x14ac:dyDescent="0.35">
      <c r="B150" s="15" t="s">
        <v>425</v>
      </c>
      <c r="C150" s="15">
        <v>1073018</v>
      </c>
      <c r="D150" s="15">
        <v>1</v>
      </c>
      <c r="E150" s="15">
        <v>1</v>
      </c>
      <c r="F150" s="15">
        <v>1065104</v>
      </c>
      <c r="G150" s="15">
        <v>1</v>
      </c>
      <c r="H150" s="15">
        <v>1</v>
      </c>
      <c r="I150" s="15">
        <v>1072000</v>
      </c>
      <c r="J150" s="15">
        <v>0.4</v>
      </c>
      <c r="K150" s="15">
        <v>0.4</v>
      </c>
      <c r="L150" s="15">
        <v>0.4</v>
      </c>
      <c r="M150" s="15">
        <v>1072000</v>
      </c>
      <c r="N150" s="15">
        <v>1072000</v>
      </c>
      <c r="O150" s="15">
        <v>1</v>
      </c>
      <c r="P150" s="15">
        <v>1</v>
      </c>
      <c r="Q150" s="15">
        <v>1049000</v>
      </c>
      <c r="R150" s="15">
        <v>1072000</v>
      </c>
      <c r="S150" s="15">
        <v>1072000</v>
      </c>
      <c r="T150" s="15">
        <v>1072000</v>
      </c>
      <c r="U150" s="15">
        <v>1049000</v>
      </c>
    </row>
    <row r="151" spans="2:21" x14ac:dyDescent="0.35">
      <c r="B151" s="15" t="s">
        <v>430</v>
      </c>
      <c r="C151" s="15">
        <v>9741</v>
      </c>
      <c r="D151" s="15">
        <v>1</v>
      </c>
      <c r="E151" s="15">
        <v>1</v>
      </c>
      <c r="F151" s="15">
        <v>9740.9</v>
      </c>
      <c r="G151" s="15">
        <v>11</v>
      </c>
      <c r="H151" s="15">
        <v>11</v>
      </c>
      <c r="I151" s="15">
        <v>9739.2000000000007</v>
      </c>
      <c r="J151" s="15">
        <v>3.0000000000000001E-3</v>
      </c>
      <c r="K151" s="15">
        <v>4023.41400329</v>
      </c>
      <c r="L151" s="15">
        <v>4411.6249008900004</v>
      </c>
      <c r="M151" s="15">
        <v>9572.6344800000006</v>
      </c>
      <c r="N151" s="15">
        <v>9582.3530200000005</v>
      </c>
      <c r="O151" s="15">
        <v>13152</v>
      </c>
      <c r="P151" s="15">
        <v>15029</v>
      </c>
      <c r="Q151" s="15">
        <v>9386.6</v>
      </c>
      <c r="R151" s="15">
        <v>9386.6</v>
      </c>
      <c r="S151" s="15">
        <v>9812.4</v>
      </c>
      <c r="T151" s="15">
        <v>9812.4</v>
      </c>
      <c r="U151" s="15">
        <v>9672</v>
      </c>
    </row>
    <row r="152" spans="2:21" x14ac:dyDescent="0.35">
      <c r="B152" s="15" t="s">
        <v>435</v>
      </c>
      <c r="C152" s="15">
        <v>2.7000000000000001E-7</v>
      </c>
      <c r="D152" s="15">
        <v>18726240</v>
      </c>
      <c r="E152" s="15">
        <v>18726240</v>
      </c>
      <c r="F152" s="15">
        <v>2.6E-7</v>
      </c>
      <c r="G152" s="15">
        <v>40248630</v>
      </c>
      <c r="H152" s="15">
        <v>40248630</v>
      </c>
      <c r="I152" s="15">
        <v>2.7000000000000001E-7</v>
      </c>
      <c r="J152" s="15">
        <v>3272.9539148099998</v>
      </c>
      <c r="K152" s="15">
        <v>6737892.1555060996</v>
      </c>
      <c r="L152" s="15">
        <v>6786362.0097795902</v>
      </c>
      <c r="M152" s="15">
        <v>2.67E-7</v>
      </c>
      <c r="N152" s="15">
        <v>1.5699999999999999E-7</v>
      </c>
      <c r="O152" s="15">
        <v>102</v>
      </c>
      <c r="P152" s="15">
        <v>107</v>
      </c>
      <c r="Q152" s="15">
        <v>2.6E-7</v>
      </c>
      <c r="R152" s="15">
        <v>2.6E-7</v>
      </c>
      <c r="S152" s="15">
        <v>2.8000000000000002E-7</v>
      </c>
      <c r="T152" s="15">
        <v>2.8000000000000002E-7</v>
      </c>
      <c r="U152" s="15">
        <v>2.6E-7</v>
      </c>
    </row>
    <row r="153" spans="2:21" x14ac:dyDescent="0.35">
      <c r="B153" s="15" t="s">
        <v>438</v>
      </c>
      <c r="C153" s="15">
        <v>8.1300000000000001E-6</v>
      </c>
      <c r="D153" s="15">
        <v>12179</v>
      </c>
      <c r="E153" s="15">
        <v>12179</v>
      </c>
      <c r="F153" s="15">
        <v>8.1100000000000003E-6</v>
      </c>
      <c r="G153" s="15">
        <v>172268</v>
      </c>
      <c r="H153" s="15">
        <v>172268</v>
      </c>
      <c r="I153" s="15">
        <v>8.1100000000000003E-6</v>
      </c>
      <c r="J153" s="15">
        <v>240.70211696000001</v>
      </c>
      <c r="K153" s="15">
        <v>1275658.95362074</v>
      </c>
      <c r="L153" s="15">
        <v>1461538.51039141</v>
      </c>
      <c r="M153" s="15">
        <v>8.1319999999999994E-6</v>
      </c>
      <c r="N153" s="15">
        <v>7.5830000000000001E-6</v>
      </c>
      <c r="O153" s="15">
        <v>271</v>
      </c>
      <c r="P153" s="15">
        <v>327</v>
      </c>
      <c r="Q153" s="15">
        <v>8.0199999999999994E-6</v>
      </c>
      <c r="R153" s="15">
        <v>8.0199999999999994E-6</v>
      </c>
      <c r="S153" s="15">
        <v>8.3299999999999999E-6</v>
      </c>
      <c r="T153" s="15">
        <v>8.3599999999999996E-6</v>
      </c>
      <c r="U153" s="15">
        <v>8.2500000000000006E-6</v>
      </c>
    </row>
    <row r="154" spans="2:21" x14ac:dyDescent="0.35">
      <c r="B154" s="15" t="s">
        <v>441</v>
      </c>
      <c r="C154" s="15">
        <v>7.0177000000000003E-2</v>
      </c>
      <c r="D154" s="15">
        <v>8182</v>
      </c>
      <c r="E154" s="15">
        <v>8182</v>
      </c>
      <c r="F154" s="15">
        <v>7.0069000000000006E-2</v>
      </c>
      <c r="G154" s="15">
        <v>4101</v>
      </c>
      <c r="H154" s="15">
        <v>4101</v>
      </c>
      <c r="I154" s="15">
        <v>7.016E-2</v>
      </c>
      <c r="J154" s="15">
        <v>4100.76681869</v>
      </c>
      <c r="K154" s="15">
        <v>2343912.18782285</v>
      </c>
      <c r="L154" s="15">
        <v>2438047.75920005</v>
      </c>
      <c r="M154" s="15">
        <v>6.9195010000000001E-2</v>
      </c>
      <c r="N154" s="15">
        <v>6.9237720000000003E-2</v>
      </c>
      <c r="O154" s="15">
        <v>628</v>
      </c>
      <c r="P154" s="15">
        <v>668</v>
      </c>
      <c r="Q154" s="15">
        <v>6.7102999999999996E-2</v>
      </c>
      <c r="R154" s="15">
        <v>6.7102999999999996E-2</v>
      </c>
      <c r="S154" s="15">
        <v>7.1398000000000003E-2</v>
      </c>
      <c r="T154" s="15">
        <v>7.1697999999999998E-2</v>
      </c>
      <c r="U154" s="15">
        <v>7.0674000000000001E-2</v>
      </c>
    </row>
    <row r="155" spans="2:21" x14ac:dyDescent="0.35">
      <c r="B155" s="15" t="s">
        <v>444</v>
      </c>
      <c r="C155" s="15">
        <v>7.9251000000000002E-2</v>
      </c>
      <c r="D155" s="15">
        <v>93627</v>
      </c>
      <c r="E155" s="15">
        <v>93627</v>
      </c>
      <c r="F155" s="15">
        <v>7.9122999999999999E-2</v>
      </c>
      <c r="G155" s="15">
        <v>123688</v>
      </c>
      <c r="H155" s="15">
        <v>123688</v>
      </c>
      <c r="I155" s="15">
        <v>7.9250000000000001E-2</v>
      </c>
      <c r="J155" s="15">
        <v>8999</v>
      </c>
      <c r="K155" s="15">
        <v>6082926.7715347204</v>
      </c>
      <c r="L155" s="15">
        <v>6113589.6325351298</v>
      </c>
      <c r="M155" s="15">
        <v>7.8036439999999999E-2</v>
      </c>
      <c r="N155" s="15">
        <v>7.8033770000000002E-2</v>
      </c>
      <c r="O155" s="15">
        <v>1328</v>
      </c>
      <c r="P155" s="15">
        <v>1406</v>
      </c>
      <c r="Q155" s="15">
        <v>7.5473999999999999E-2</v>
      </c>
      <c r="R155" s="15">
        <v>7.5473999999999999E-2</v>
      </c>
      <c r="S155" s="15">
        <v>8.0635999999999999E-2</v>
      </c>
      <c r="T155" s="15">
        <v>8.0916000000000002E-2</v>
      </c>
      <c r="U155" s="15">
        <v>7.9682000000000003E-2</v>
      </c>
    </row>
    <row r="156" spans="2:21" x14ac:dyDescent="0.35">
      <c r="B156" s="15" t="s">
        <v>447</v>
      </c>
      <c r="C156" s="15">
        <v>6.8149999999999999E-3</v>
      </c>
      <c r="D156" s="15">
        <v>15</v>
      </c>
      <c r="E156" s="15">
        <v>15</v>
      </c>
      <c r="F156" s="15">
        <v>6.796E-3</v>
      </c>
      <c r="G156" s="15">
        <v>13</v>
      </c>
      <c r="H156" s="15">
        <v>13</v>
      </c>
      <c r="I156" s="15">
        <v>6.8149999999999999E-3</v>
      </c>
      <c r="J156" s="15">
        <v>1.28583859</v>
      </c>
      <c r="K156" s="15">
        <v>2844.4760718900002</v>
      </c>
      <c r="L156" s="15">
        <v>3359.1009917000001</v>
      </c>
      <c r="M156" s="15">
        <v>6.9562199999999999E-3</v>
      </c>
      <c r="N156" s="15">
        <v>6.95651E-3</v>
      </c>
      <c r="O156" s="15">
        <v>379</v>
      </c>
      <c r="P156" s="15">
        <v>443</v>
      </c>
      <c r="Q156" s="15">
        <v>6.7650000000000002E-3</v>
      </c>
      <c r="R156" s="15">
        <v>6.7650000000000002E-3</v>
      </c>
      <c r="S156" s="15">
        <v>7.058E-3</v>
      </c>
      <c r="T156" s="15">
        <v>7.058E-3</v>
      </c>
      <c r="U156" s="15">
        <v>7.0060000000000001E-3</v>
      </c>
    </row>
    <row r="157" spans="2:21" x14ac:dyDescent="0.35">
      <c r="B157" s="15" t="s">
        <v>450</v>
      </c>
      <c r="C157" s="15">
        <v>58.8</v>
      </c>
      <c r="D157" s="15">
        <v>8</v>
      </c>
      <c r="E157" s="15">
        <v>8</v>
      </c>
      <c r="F157" s="15">
        <v>58.71</v>
      </c>
      <c r="G157" s="15">
        <v>25</v>
      </c>
      <c r="H157" s="15">
        <v>25</v>
      </c>
      <c r="I157" s="15">
        <v>58.83</v>
      </c>
      <c r="J157" s="15">
        <v>4.0000000000000001E-8</v>
      </c>
      <c r="K157" s="15">
        <v>1809.1954744899999</v>
      </c>
      <c r="L157" s="15">
        <v>5886.5438655899998</v>
      </c>
      <c r="M157" s="15">
        <v>58.752190730000002</v>
      </c>
      <c r="N157" s="15">
        <v>58.988048370000001</v>
      </c>
      <c r="O157" s="15">
        <v>371</v>
      </c>
      <c r="P157" s="15">
        <v>1063</v>
      </c>
      <c r="Q157" s="15">
        <v>57.5</v>
      </c>
      <c r="R157" s="15">
        <v>57.5</v>
      </c>
      <c r="S157" s="15">
        <v>60.38</v>
      </c>
      <c r="T157" s="15">
        <v>60.45</v>
      </c>
      <c r="U157" s="15">
        <v>60.22</v>
      </c>
    </row>
    <row r="158" spans="2:21" x14ac:dyDescent="0.35">
      <c r="B158" s="15" t="s">
        <v>453</v>
      </c>
      <c r="C158" s="15">
        <v>66.36</v>
      </c>
      <c r="D158" s="15">
        <v>7</v>
      </c>
      <c r="E158" s="15">
        <v>7</v>
      </c>
      <c r="F158" s="15">
        <v>66.3</v>
      </c>
      <c r="G158" s="15">
        <v>13</v>
      </c>
      <c r="H158" s="15">
        <v>13</v>
      </c>
      <c r="I158" s="15">
        <v>66.3</v>
      </c>
      <c r="J158" s="15">
        <v>2.6295904499999998</v>
      </c>
      <c r="K158" s="15">
        <v>1893.5862553500001</v>
      </c>
      <c r="L158" s="15">
        <v>2147.28701675</v>
      </c>
      <c r="M158" s="15">
        <v>66.288736139999997</v>
      </c>
      <c r="N158" s="15">
        <v>66.345250399999998</v>
      </c>
      <c r="O158" s="15">
        <v>454</v>
      </c>
      <c r="P158" s="15">
        <v>525</v>
      </c>
      <c r="Q158" s="15">
        <v>64.790000000000006</v>
      </c>
      <c r="R158" s="15">
        <v>64.790000000000006</v>
      </c>
      <c r="S158" s="15">
        <v>68.180000000000007</v>
      </c>
      <c r="T158" s="15">
        <v>68.180000000000007</v>
      </c>
      <c r="U158" s="15">
        <v>67.73</v>
      </c>
    </row>
    <row r="159" spans="2:21" x14ac:dyDescent="0.35">
      <c r="B159" s="15" t="s">
        <v>456</v>
      </c>
      <c r="C159" s="15">
        <v>2.0869999999999998E-5</v>
      </c>
      <c r="D159" s="15">
        <v>14620</v>
      </c>
      <c r="E159" s="15">
        <v>14620</v>
      </c>
      <c r="F159" s="15">
        <v>2.086E-5</v>
      </c>
      <c r="G159" s="15">
        <v>440</v>
      </c>
      <c r="H159" s="15">
        <v>440</v>
      </c>
      <c r="I159" s="15">
        <v>2.084E-5</v>
      </c>
      <c r="J159" s="15">
        <v>2574.0663300900001</v>
      </c>
      <c r="K159" s="15">
        <v>369336.56664272002</v>
      </c>
      <c r="L159" s="15">
        <v>443688.00156906003</v>
      </c>
      <c r="M159" s="15">
        <v>2.0975000000000002E-5</v>
      </c>
      <c r="N159" s="15">
        <v>1.9936E-5</v>
      </c>
      <c r="O159" s="15">
        <v>302</v>
      </c>
      <c r="P159" s="15">
        <v>356</v>
      </c>
      <c r="Q159" s="15">
        <v>2.0769999999999999E-5</v>
      </c>
      <c r="R159" s="15">
        <v>2.0769999999999999E-5</v>
      </c>
      <c r="S159" s="15">
        <v>2.1229999999999998E-5</v>
      </c>
      <c r="T159" s="15">
        <v>2.1229999999999998E-5</v>
      </c>
      <c r="U159" s="15">
        <v>2.1060000000000002E-5</v>
      </c>
    </row>
    <row r="160" spans="2:21" x14ac:dyDescent="0.35">
      <c r="B160" s="15" t="s">
        <v>459</v>
      </c>
      <c r="C160" s="15">
        <v>0.27450000000000002</v>
      </c>
      <c r="D160" s="15">
        <v>1074</v>
      </c>
      <c r="E160" s="15">
        <v>1074</v>
      </c>
      <c r="F160" s="15">
        <v>0.27302999999999999</v>
      </c>
      <c r="G160" s="15">
        <v>1863</v>
      </c>
      <c r="H160" s="15">
        <v>1863</v>
      </c>
      <c r="I160" s="15">
        <v>0.27477000000000001</v>
      </c>
      <c r="J160" s="15">
        <v>304.96269606999999</v>
      </c>
      <c r="K160" s="15">
        <v>62653.234566530002</v>
      </c>
      <c r="L160" s="15">
        <v>75315.382500740001</v>
      </c>
      <c r="M160" s="15">
        <v>0.27281207000000002</v>
      </c>
      <c r="N160" s="15">
        <v>0.27320232</v>
      </c>
      <c r="O160" s="15">
        <v>65</v>
      </c>
      <c r="P160" s="15">
        <v>80</v>
      </c>
      <c r="Q160" s="15">
        <v>0.26926</v>
      </c>
      <c r="R160" s="15">
        <v>0.26926</v>
      </c>
      <c r="S160" s="15">
        <v>0.2772</v>
      </c>
      <c r="T160" s="15">
        <v>0.2772</v>
      </c>
      <c r="U160" s="15">
        <v>0.27500000000000002</v>
      </c>
    </row>
    <row r="161" spans="2:21" x14ac:dyDescent="0.35">
      <c r="B161" s="15" t="s">
        <v>2</v>
      </c>
      <c r="C161" s="15">
        <v>0.18</v>
      </c>
      <c r="D161" s="15">
        <v>3367</v>
      </c>
      <c r="E161" s="15">
        <v>3367</v>
      </c>
      <c r="F161" s="15">
        <v>0.17992</v>
      </c>
      <c r="G161" s="15">
        <v>12400</v>
      </c>
      <c r="H161" s="15">
        <v>12400</v>
      </c>
      <c r="I161" s="15">
        <v>0.17999000000000001</v>
      </c>
      <c r="J161" s="15">
        <v>1.8070000000000001E-5</v>
      </c>
      <c r="K161" s="15">
        <v>3917525.06934741</v>
      </c>
      <c r="L161" s="15">
        <v>4006828.2973216199</v>
      </c>
      <c r="M161" s="15">
        <v>0.17883029</v>
      </c>
      <c r="N161" s="15">
        <v>0.17883002000000001</v>
      </c>
      <c r="O161" s="15">
        <v>1500</v>
      </c>
      <c r="P161" s="15">
        <v>1592</v>
      </c>
      <c r="Q161" s="15">
        <v>0.17657</v>
      </c>
      <c r="R161" s="15">
        <v>0.17657</v>
      </c>
      <c r="S161" s="15">
        <v>0.18146999999999999</v>
      </c>
      <c r="T161" s="15">
        <v>0.18146999999999999</v>
      </c>
      <c r="U161" s="15">
        <v>0.18049000000000001</v>
      </c>
    </row>
    <row r="162" spans="2:21" x14ac:dyDescent="0.35">
      <c r="B162" s="15" t="s">
        <v>464</v>
      </c>
      <c r="C162" s="15">
        <v>22.334</v>
      </c>
      <c r="D162" s="15">
        <v>2441</v>
      </c>
      <c r="E162" s="15">
        <v>2441</v>
      </c>
      <c r="F162" s="15">
        <v>22.216999999999999</v>
      </c>
      <c r="G162" s="15">
        <v>3182</v>
      </c>
      <c r="H162" s="15">
        <v>3182</v>
      </c>
      <c r="I162" s="15">
        <v>22</v>
      </c>
      <c r="J162" s="15">
        <v>6.3636360000000003E-2</v>
      </c>
      <c r="K162" s="15">
        <v>88.428679090000003</v>
      </c>
      <c r="L162" s="15">
        <v>88.428679090000003</v>
      </c>
      <c r="M162" s="15">
        <v>22</v>
      </c>
      <c r="N162" s="15">
        <v>21.999999989999999</v>
      </c>
      <c r="O162" s="15">
        <v>3</v>
      </c>
      <c r="P162" s="15">
        <v>3</v>
      </c>
      <c r="Q162" s="15">
        <v>22</v>
      </c>
      <c r="R162" s="15">
        <v>22</v>
      </c>
      <c r="S162" s="15">
        <v>22.373000000000001</v>
      </c>
      <c r="T162" s="15">
        <v>22</v>
      </c>
      <c r="U162" s="15">
        <v>22.373000000000001</v>
      </c>
    </row>
    <row r="163" spans="2:21" x14ac:dyDescent="0.35">
      <c r="B163" s="15" t="s">
        <v>467</v>
      </c>
      <c r="C163" s="15">
        <v>0.20319000000000001</v>
      </c>
      <c r="D163" s="15">
        <v>5134</v>
      </c>
      <c r="E163" s="15">
        <v>5134</v>
      </c>
      <c r="F163" s="15">
        <v>0.20311999999999999</v>
      </c>
      <c r="G163" s="15">
        <v>3692</v>
      </c>
      <c r="H163" s="15">
        <v>3692</v>
      </c>
      <c r="I163" s="15">
        <v>0.20308999999999999</v>
      </c>
      <c r="J163" s="15">
        <v>2181.71</v>
      </c>
      <c r="K163" s="15">
        <v>2784076.9695027801</v>
      </c>
      <c r="L163" s="15">
        <v>7763559.9811897296</v>
      </c>
      <c r="M163" s="15">
        <v>0.20183123</v>
      </c>
      <c r="N163" s="15">
        <v>0.20196306</v>
      </c>
      <c r="O163" s="15">
        <v>664</v>
      </c>
      <c r="P163" s="15">
        <v>1570</v>
      </c>
      <c r="Q163" s="15">
        <v>0.19861000000000001</v>
      </c>
      <c r="R163" s="15">
        <v>0.19861000000000001</v>
      </c>
      <c r="S163" s="15">
        <v>0.20458999999999999</v>
      </c>
      <c r="T163" s="15">
        <v>0.20487</v>
      </c>
      <c r="U163" s="15">
        <v>0.20369999999999999</v>
      </c>
    </row>
    <row r="164" spans="2:21" x14ac:dyDescent="0.35">
      <c r="B164" s="15" t="s">
        <v>470</v>
      </c>
      <c r="C164" s="15">
        <v>5.3600000000000002E-3</v>
      </c>
      <c r="D164" s="15">
        <v>437</v>
      </c>
      <c r="E164" s="15">
        <v>437</v>
      </c>
      <c r="F164" s="15">
        <v>5.3400000000000001E-3</v>
      </c>
      <c r="G164" s="15">
        <v>31</v>
      </c>
      <c r="H164" s="15">
        <v>31</v>
      </c>
      <c r="I164" s="15">
        <v>5.3400000000000001E-3</v>
      </c>
      <c r="J164" s="15">
        <v>0.05</v>
      </c>
      <c r="K164" s="15">
        <v>1568.85643929</v>
      </c>
      <c r="L164" s="15">
        <v>1709.23980452</v>
      </c>
      <c r="M164" s="15">
        <v>5.3499999999999997E-3</v>
      </c>
      <c r="N164" s="15">
        <v>4.8960000000000002E-3</v>
      </c>
      <c r="O164" s="15">
        <v>189</v>
      </c>
      <c r="P164" s="15">
        <v>214</v>
      </c>
      <c r="Q164" s="15">
        <v>5.2900000000000004E-3</v>
      </c>
      <c r="R164" s="15">
        <v>5.2900000000000004E-3</v>
      </c>
      <c r="S164" s="15">
        <v>5.4799999999999996E-3</v>
      </c>
      <c r="T164" s="15">
        <v>5.4999999999999997E-3</v>
      </c>
      <c r="U164" s="15">
        <v>5.4799999999999996E-3</v>
      </c>
    </row>
    <row r="165" spans="2:21" x14ac:dyDescent="0.35">
      <c r="B165" s="15" t="s">
        <v>473</v>
      </c>
      <c r="C165" s="15">
        <v>46.177999999999997</v>
      </c>
      <c r="D165" s="15">
        <v>14</v>
      </c>
      <c r="E165" s="15">
        <v>14</v>
      </c>
      <c r="F165" s="15">
        <v>46.093000000000004</v>
      </c>
      <c r="G165" s="15">
        <v>11</v>
      </c>
      <c r="H165" s="15">
        <v>11</v>
      </c>
      <c r="I165" s="15">
        <v>45.872</v>
      </c>
      <c r="J165" s="15">
        <v>6.0907929899999997</v>
      </c>
      <c r="K165" s="15">
        <v>1313.25310244</v>
      </c>
      <c r="L165" s="15">
        <v>1324.92679748</v>
      </c>
      <c r="M165" s="15">
        <v>45.665050000000001</v>
      </c>
      <c r="N165" s="15">
        <v>45.661540000000002</v>
      </c>
      <c r="O165" s="15">
        <v>302</v>
      </c>
      <c r="P165" s="15">
        <v>318</v>
      </c>
      <c r="Q165" s="15">
        <v>45</v>
      </c>
      <c r="R165" s="15">
        <v>45</v>
      </c>
      <c r="S165" s="15">
        <v>46.878999999999998</v>
      </c>
      <c r="T165" s="15">
        <v>47.265999999999998</v>
      </c>
      <c r="U165" s="15">
        <v>46.848999999999997</v>
      </c>
    </row>
    <row r="166" spans="2:21" x14ac:dyDescent="0.35">
      <c r="B166" s="15" t="s">
        <v>476</v>
      </c>
      <c r="C166" s="15">
        <v>52.15</v>
      </c>
      <c r="D166" s="15">
        <v>11</v>
      </c>
      <c r="E166" s="15">
        <v>11</v>
      </c>
      <c r="F166" s="15">
        <v>52.03</v>
      </c>
      <c r="G166" s="15">
        <v>11</v>
      </c>
      <c r="H166" s="15">
        <v>11</v>
      </c>
      <c r="I166" s="15">
        <v>51.99</v>
      </c>
      <c r="J166" s="15">
        <v>3.75</v>
      </c>
      <c r="K166" s="15">
        <v>165.72426103999999</v>
      </c>
      <c r="L166" s="15">
        <v>323.50287266999999</v>
      </c>
      <c r="M166" s="15">
        <v>51.485280000000003</v>
      </c>
      <c r="N166" s="15">
        <v>52.082940000000001</v>
      </c>
      <c r="O166" s="15">
        <v>80</v>
      </c>
      <c r="P166" s="15">
        <v>98</v>
      </c>
      <c r="Q166" s="15">
        <v>50.67</v>
      </c>
      <c r="R166" s="15">
        <v>50.67</v>
      </c>
      <c r="S166" s="15">
        <v>52.96</v>
      </c>
      <c r="T166" s="15">
        <v>53.21</v>
      </c>
      <c r="U166" s="15">
        <v>52.79</v>
      </c>
    </row>
    <row r="167" spans="2:21" x14ac:dyDescent="0.35">
      <c r="B167" s="15" t="s">
        <v>479</v>
      </c>
      <c r="C167" s="15">
        <v>1.1294999999999999</v>
      </c>
      <c r="D167" s="15">
        <v>5959</v>
      </c>
      <c r="E167" s="15">
        <v>5959</v>
      </c>
      <c r="F167" s="15">
        <v>1.1282700000000001</v>
      </c>
      <c r="G167" s="15">
        <v>1675</v>
      </c>
      <c r="H167" s="15">
        <v>1675</v>
      </c>
      <c r="I167" s="15">
        <v>1.1287700000000001</v>
      </c>
      <c r="J167" s="15">
        <v>154.24700000000001</v>
      </c>
      <c r="K167" s="15">
        <v>850675.76340354001</v>
      </c>
      <c r="L167" s="15">
        <v>897906.57498853002</v>
      </c>
      <c r="M167" s="15">
        <v>1.1261399999999999</v>
      </c>
      <c r="N167" s="15">
        <v>1.10595</v>
      </c>
      <c r="O167" s="15">
        <v>1180</v>
      </c>
      <c r="P167" s="15">
        <v>1251</v>
      </c>
      <c r="Q167" s="15">
        <v>1.1233</v>
      </c>
      <c r="R167" s="15">
        <v>1.1233</v>
      </c>
      <c r="S167" s="15">
        <v>1.1306400000000001</v>
      </c>
      <c r="T167" s="15">
        <v>1.1306400000000001</v>
      </c>
      <c r="U167" s="15">
        <v>1.12747</v>
      </c>
    </row>
    <row r="168" spans="2:21" x14ac:dyDescent="0.35">
      <c r="B168" s="15" t="s">
        <v>482</v>
      </c>
      <c r="C168" s="15">
        <v>1.26736</v>
      </c>
      <c r="D168" s="15">
        <v>294</v>
      </c>
      <c r="E168" s="15">
        <v>294</v>
      </c>
      <c r="F168" s="15">
        <v>1.26403</v>
      </c>
      <c r="G168" s="15">
        <v>372</v>
      </c>
      <c r="H168" s="15">
        <v>372</v>
      </c>
      <c r="I168" s="15">
        <v>1.2633099999999999</v>
      </c>
      <c r="J168" s="15">
        <v>10</v>
      </c>
      <c r="K168" s="15">
        <v>2869.48389193</v>
      </c>
      <c r="L168" s="15">
        <v>5567.6238919300004</v>
      </c>
      <c r="M168" s="15">
        <v>1.2603500000000001</v>
      </c>
      <c r="N168" s="15">
        <v>1.24675</v>
      </c>
      <c r="O168" s="15">
        <v>24</v>
      </c>
      <c r="P168" s="15">
        <v>28</v>
      </c>
      <c r="Q168" s="15">
        <v>1.25895</v>
      </c>
      <c r="R168" s="15">
        <v>1.25895</v>
      </c>
      <c r="S168" s="15">
        <v>1.2668699999999999</v>
      </c>
      <c r="T168" s="15">
        <v>1.2668699999999999</v>
      </c>
      <c r="U168" s="15">
        <v>1.2603599999999999</v>
      </c>
    </row>
    <row r="169" spans="2:21" x14ac:dyDescent="0.35">
      <c r="B169" s="15" t="s">
        <v>485</v>
      </c>
      <c r="C169" s="15">
        <v>1.35042</v>
      </c>
      <c r="D169" s="15">
        <v>470</v>
      </c>
      <c r="E169" s="15">
        <v>470</v>
      </c>
      <c r="F169" s="15">
        <v>1.34501</v>
      </c>
      <c r="G169" s="15">
        <v>22</v>
      </c>
      <c r="H169" s="15">
        <v>22</v>
      </c>
      <c r="I169" s="15">
        <v>1.35093</v>
      </c>
      <c r="J169" s="15">
        <v>367.52977578000002</v>
      </c>
      <c r="K169" s="15">
        <v>3209.9327792200002</v>
      </c>
      <c r="L169" s="15">
        <v>4101.3650792199996</v>
      </c>
      <c r="M169" s="15">
        <v>1.34842</v>
      </c>
      <c r="N169" s="15">
        <v>1.33849</v>
      </c>
      <c r="O169" s="15">
        <v>13</v>
      </c>
      <c r="P169" s="15">
        <v>17</v>
      </c>
      <c r="Q169" s="15">
        <v>1.345</v>
      </c>
      <c r="R169" s="15">
        <v>1.345</v>
      </c>
      <c r="S169" s="15">
        <v>1.3515900000000001</v>
      </c>
      <c r="T169" s="15">
        <v>1.3515900000000001</v>
      </c>
      <c r="U169" s="15">
        <v>1.3451500000000001</v>
      </c>
    </row>
    <row r="170" spans="2:21" x14ac:dyDescent="0.35">
      <c r="B170" s="15" t="s">
        <v>488</v>
      </c>
      <c r="C170" s="15">
        <v>109.982</v>
      </c>
      <c r="D170" s="15">
        <v>470</v>
      </c>
      <c r="E170" s="15">
        <v>470</v>
      </c>
      <c r="F170" s="15">
        <v>109.396</v>
      </c>
      <c r="G170" s="15">
        <v>747</v>
      </c>
      <c r="H170" s="15">
        <v>747</v>
      </c>
      <c r="I170" s="15">
        <v>110.10299999999999</v>
      </c>
      <c r="J170" s="15">
        <v>79.020190189999994</v>
      </c>
      <c r="K170" s="15">
        <v>0</v>
      </c>
      <c r="L170" s="15">
        <v>0</v>
      </c>
      <c r="M170" s="15">
        <v>0</v>
      </c>
      <c r="N170" s="15">
        <v>0</v>
      </c>
      <c r="O170" s="15">
        <v>0</v>
      </c>
      <c r="P170" s="15">
        <v>0</v>
      </c>
      <c r="Q170" s="15">
        <v>110.10299999999999</v>
      </c>
      <c r="R170" s="15">
        <v>0</v>
      </c>
      <c r="S170" s="15">
        <v>110.10299999999999</v>
      </c>
      <c r="T170" s="15">
        <v>0</v>
      </c>
      <c r="U170" s="15">
        <v>110.10299999999999</v>
      </c>
    </row>
  </sheetData>
  <mergeCells count="8">
    <mergeCell ref="Q10:R10"/>
    <mergeCell ref="S10:T10"/>
    <mergeCell ref="C10:E10"/>
    <mergeCell ref="F10:H10"/>
    <mergeCell ref="I10:J10"/>
    <mergeCell ref="K10:L10"/>
    <mergeCell ref="M10:N10"/>
    <mergeCell ref="O10:P10"/>
  </mergeCells>
  <hyperlinks>
    <hyperlink ref="B8" location="'Kraken Ticker'!B8" display="Get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M735"/>
  <sheetViews>
    <sheetView topLeftCell="B4" workbookViewId="0">
      <selection activeCell="M10" sqref="M10"/>
    </sheetView>
  </sheetViews>
  <sheetFormatPr baseColWidth="10" defaultRowHeight="14.5" x14ac:dyDescent="0.35"/>
  <cols>
    <col min="12" max="13" width="17.54296875" bestFit="1" customWidth="1"/>
  </cols>
  <sheetData>
    <row r="2" spans="2:13" ht="17.5" x14ac:dyDescent="0.35">
      <c r="B2" s="13" t="s">
        <v>513</v>
      </c>
    </row>
    <row r="3" spans="2:13" x14ac:dyDescent="0.35">
      <c r="B3" t="s">
        <v>514</v>
      </c>
    </row>
    <row r="5" spans="2:13" x14ac:dyDescent="0.35">
      <c r="B5" t="s">
        <v>24</v>
      </c>
      <c r="C5" t="s">
        <v>515</v>
      </c>
    </row>
    <row r="6" spans="2:13" x14ac:dyDescent="0.35">
      <c r="C6" s="10" t="s">
        <v>0</v>
      </c>
      <c r="D6" t="s">
        <v>525</v>
      </c>
      <c r="H6" t="s">
        <v>0</v>
      </c>
    </row>
    <row r="7" spans="2:13" x14ac:dyDescent="0.35">
      <c r="C7" t="s">
        <v>516</v>
      </c>
    </row>
    <row r="8" spans="2:13" x14ac:dyDescent="0.35">
      <c r="C8" s="10">
        <v>1</v>
      </c>
      <c r="D8" t="s">
        <v>517</v>
      </c>
    </row>
    <row r="9" spans="2:13" x14ac:dyDescent="0.35">
      <c r="C9" t="s">
        <v>518</v>
      </c>
    </row>
    <row r="10" spans="2:13" x14ac:dyDescent="0.35">
      <c r="C10" s="10">
        <v>1591563900</v>
      </c>
      <c r="D10" t="s">
        <v>524</v>
      </c>
      <c r="K10" s="20" t="s">
        <v>526</v>
      </c>
      <c r="L10" s="19">
        <f>(((C10/60)/60)/24)+DATE(1970,1,1)</f>
        <v>43989.878472222219</v>
      </c>
      <c r="M10" s="19">
        <f>TimestampToExcel(C10)</f>
        <v>43989.878472222219</v>
      </c>
    </row>
    <row r="12" spans="2:13" x14ac:dyDescent="0.35">
      <c r="B12" s="18" t="s">
        <v>19</v>
      </c>
      <c r="D12" s="16"/>
      <c r="E12" t="s">
        <v>527</v>
      </c>
    </row>
    <row r="14" spans="2:13" ht="15" thickBot="1" x14ac:dyDescent="0.4"/>
    <row r="15" spans="2:13" ht="15.5" thickTop="1" thickBot="1" x14ac:dyDescent="0.4">
      <c r="B15" s="3" t="s">
        <v>491</v>
      </c>
      <c r="C15" s="3" t="s">
        <v>519</v>
      </c>
      <c r="D15" s="3" t="s">
        <v>520</v>
      </c>
      <c r="E15" s="3" t="s">
        <v>505</v>
      </c>
      <c r="F15" s="3" t="s">
        <v>504</v>
      </c>
      <c r="G15" s="3" t="s">
        <v>521</v>
      </c>
      <c r="H15" s="3" t="s">
        <v>522</v>
      </c>
      <c r="I15" s="3" t="s">
        <v>501</v>
      </c>
      <c r="J15" s="3" t="s">
        <v>523</v>
      </c>
    </row>
    <row r="16" spans="2:13" ht="15" thickTop="1" x14ac:dyDescent="0.35">
      <c r="B16" s="15" t="s">
        <v>0</v>
      </c>
      <c r="C16" s="15">
        <v>1591563540</v>
      </c>
      <c r="D16" s="15">
        <v>8599.7000000000007</v>
      </c>
      <c r="E16" s="15">
        <v>8619.5</v>
      </c>
      <c r="F16" s="15">
        <v>8597.7999999999993</v>
      </c>
      <c r="G16" s="15">
        <v>8619.1</v>
      </c>
      <c r="H16" s="15">
        <v>8608.2999999999993</v>
      </c>
      <c r="I16" s="15">
        <v>10.76684111</v>
      </c>
      <c r="J16" s="15">
        <v>30</v>
      </c>
    </row>
    <row r="17" spans="2:10" x14ac:dyDescent="0.35">
      <c r="B17" s="15" t="s">
        <v>0</v>
      </c>
      <c r="C17" s="15">
        <v>1591563600</v>
      </c>
      <c r="D17" s="15">
        <v>8619.1</v>
      </c>
      <c r="E17" s="15">
        <v>8620</v>
      </c>
      <c r="F17" s="15">
        <v>8616</v>
      </c>
      <c r="G17" s="15">
        <v>8616.2000000000007</v>
      </c>
      <c r="H17" s="15">
        <v>8618</v>
      </c>
      <c r="I17" s="15">
        <v>22.1084742</v>
      </c>
      <c r="J17" s="15">
        <v>60</v>
      </c>
    </row>
    <row r="18" spans="2:10" x14ac:dyDescent="0.35">
      <c r="B18" s="15" t="s">
        <v>0</v>
      </c>
      <c r="C18" s="15">
        <v>1591563660</v>
      </c>
      <c r="D18" s="15">
        <v>8616.2000000000007</v>
      </c>
      <c r="E18" s="15">
        <v>8616.2000000000007</v>
      </c>
      <c r="F18" s="15">
        <v>8609.9</v>
      </c>
      <c r="G18" s="15">
        <v>8610</v>
      </c>
      <c r="H18" s="15">
        <v>8611.9</v>
      </c>
      <c r="I18" s="15">
        <v>2.1848797599999998</v>
      </c>
      <c r="J18" s="15">
        <v>19</v>
      </c>
    </row>
    <row r="19" spans="2:10" x14ac:dyDescent="0.35">
      <c r="B19" s="15" t="s">
        <v>0</v>
      </c>
      <c r="C19" s="15">
        <v>1591563720</v>
      </c>
      <c r="D19" s="15">
        <v>8610</v>
      </c>
      <c r="E19" s="15">
        <v>8612</v>
      </c>
      <c r="F19" s="15">
        <v>8609.9</v>
      </c>
      <c r="G19" s="15">
        <v>8610</v>
      </c>
      <c r="H19" s="15">
        <v>8610.2000000000007</v>
      </c>
      <c r="I19" s="15">
        <v>7.7433569999999993E-2</v>
      </c>
      <c r="J19" s="15">
        <v>9</v>
      </c>
    </row>
    <row r="20" spans="2:10" x14ac:dyDescent="0.35">
      <c r="B20" s="15" t="s">
        <v>0</v>
      </c>
      <c r="C20" s="15">
        <v>1591563780</v>
      </c>
      <c r="D20" s="15">
        <v>8609.9</v>
      </c>
      <c r="E20" s="15">
        <v>8610.5</v>
      </c>
      <c r="F20" s="15">
        <v>8598.5</v>
      </c>
      <c r="G20" s="15">
        <v>8601.6</v>
      </c>
      <c r="H20" s="15">
        <v>8606.5</v>
      </c>
      <c r="I20" s="15">
        <v>9.3641146699999993</v>
      </c>
      <c r="J20" s="15">
        <v>43</v>
      </c>
    </row>
    <row r="21" spans="2:10" x14ac:dyDescent="0.35">
      <c r="B21" s="15" t="s">
        <v>0</v>
      </c>
      <c r="C21" s="15">
        <v>1591563840</v>
      </c>
      <c r="D21" s="15">
        <v>8598</v>
      </c>
      <c r="E21" s="15">
        <v>8600.1</v>
      </c>
      <c r="F21" s="15">
        <v>8595.7999999999993</v>
      </c>
      <c r="G21" s="15">
        <v>8599.9</v>
      </c>
      <c r="H21" s="15">
        <v>8599.2999999999993</v>
      </c>
      <c r="I21" s="15">
        <v>3.0021256300000001</v>
      </c>
      <c r="J21" s="15">
        <v>20</v>
      </c>
    </row>
    <row r="22" spans="2:10" x14ac:dyDescent="0.35">
      <c r="B22" s="15" t="s">
        <v>0</v>
      </c>
      <c r="C22" s="15">
        <v>1591563900</v>
      </c>
      <c r="D22" s="15">
        <v>8599.7999999999993</v>
      </c>
      <c r="E22" s="15">
        <v>8599.7999999999993</v>
      </c>
      <c r="F22" s="15">
        <v>8596</v>
      </c>
      <c r="G22" s="15">
        <v>8597.5</v>
      </c>
      <c r="H22" s="15">
        <v>8597.4</v>
      </c>
      <c r="I22" s="15">
        <v>0.58242497999999998</v>
      </c>
      <c r="J22" s="15">
        <v>10</v>
      </c>
    </row>
    <row r="23" spans="2:10" x14ac:dyDescent="0.35">
      <c r="B23" s="15" t="s">
        <v>0</v>
      </c>
      <c r="C23" s="15">
        <v>1591563960</v>
      </c>
      <c r="D23" s="15">
        <v>8597.5</v>
      </c>
      <c r="E23" s="15">
        <v>8600</v>
      </c>
      <c r="F23" s="15">
        <v>8597.5</v>
      </c>
      <c r="G23" s="15">
        <v>8600</v>
      </c>
      <c r="H23" s="15">
        <v>8599</v>
      </c>
      <c r="I23" s="15">
        <v>0.77300000000000002</v>
      </c>
      <c r="J23" s="15">
        <v>4</v>
      </c>
    </row>
    <row r="24" spans="2:10" x14ac:dyDescent="0.35">
      <c r="B24" s="15"/>
      <c r="C24" s="15"/>
      <c r="D24" s="15"/>
      <c r="E24" s="15"/>
      <c r="F24" s="15"/>
      <c r="G24" s="15"/>
      <c r="H24" s="15"/>
      <c r="I24" s="15"/>
      <c r="J24" s="15"/>
    </row>
    <row r="25" spans="2:10" x14ac:dyDescent="0.35">
      <c r="B25" s="15"/>
      <c r="C25" s="15"/>
      <c r="D25" s="15"/>
      <c r="E25" s="15"/>
      <c r="F25" s="15"/>
      <c r="G25" s="15"/>
      <c r="H25" s="15"/>
      <c r="I25" s="15"/>
      <c r="J25" s="15"/>
    </row>
    <row r="26" spans="2:10" x14ac:dyDescent="0.35">
      <c r="B26" s="15"/>
      <c r="C26" s="15"/>
      <c r="D26" s="15"/>
      <c r="E26" s="15"/>
      <c r="F26" s="15"/>
      <c r="G26" s="15"/>
      <c r="H26" s="15"/>
      <c r="I26" s="15"/>
      <c r="J26" s="15"/>
    </row>
    <row r="27" spans="2:10" x14ac:dyDescent="0.35">
      <c r="B27" s="15"/>
      <c r="C27" s="15"/>
      <c r="D27" s="15"/>
      <c r="E27" s="15"/>
      <c r="F27" s="15"/>
      <c r="G27" s="15"/>
      <c r="H27" s="15"/>
      <c r="I27" s="15"/>
      <c r="J27" s="15"/>
    </row>
    <row r="28" spans="2:10" x14ac:dyDescent="0.35">
      <c r="B28" s="15"/>
      <c r="C28" s="15"/>
      <c r="D28" s="15"/>
      <c r="E28" s="15"/>
      <c r="F28" s="15"/>
      <c r="G28" s="15"/>
      <c r="H28" s="15"/>
      <c r="I28" s="15"/>
      <c r="J28" s="15"/>
    </row>
    <row r="29" spans="2:10" x14ac:dyDescent="0.35">
      <c r="B29" s="15"/>
      <c r="C29" s="15"/>
      <c r="D29" s="15"/>
      <c r="E29" s="15"/>
      <c r="F29" s="15"/>
      <c r="G29" s="15"/>
      <c r="H29" s="15"/>
      <c r="I29" s="15"/>
      <c r="J29" s="15"/>
    </row>
    <row r="30" spans="2:10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0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0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  <row r="38" spans="2:10" x14ac:dyDescent="0.35">
      <c r="B38" s="15"/>
      <c r="C38" s="15"/>
      <c r="D38" s="15"/>
      <c r="E38" s="15"/>
      <c r="F38" s="15"/>
      <c r="G38" s="15"/>
      <c r="H38" s="15"/>
      <c r="I38" s="15"/>
      <c r="J38" s="15"/>
    </row>
    <row r="39" spans="2:10" x14ac:dyDescent="0.35">
      <c r="B39" s="15"/>
      <c r="C39" s="15"/>
      <c r="D39" s="15"/>
      <c r="E39" s="15"/>
      <c r="F39" s="15"/>
      <c r="G39" s="15"/>
      <c r="H39" s="15"/>
      <c r="I39" s="15"/>
      <c r="J39" s="15"/>
    </row>
    <row r="40" spans="2:10" x14ac:dyDescent="0.35">
      <c r="B40" s="15"/>
      <c r="C40" s="15"/>
      <c r="D40" s="15"/>
      <c r="E40" s="15"/>
      <c r="F40" s="15"/>
      <c r="G40" s="15"/>
      <c r="H40" s="15"/>
      <c r="I40" s="15"/>
      <c r="J40" s="15"/>
    </row>
    <row r="41" spans="2:10" x14ac:dyDescent="0.35">
      <c r="B41" s="15"/>
      <c r="C41" s="15"/>
      <c r="D41" s="15"/>
      <c r="E41" s="15"/>
      <c r="F41" s="15"/>
      <c r="G41" s="15"/>
      <c r="H41" s="15"/>
      <c r="I41" s="15"/>
      <c r="J41" s="15"/>
    </row>
    <row r="42" spans="2:10" x14ac:dyDescent="0.35">
      <c r="B42" s="15"/>
      <c r="C42" s="15"/>
      <c r="D42" s="15"/>
      <c r="E42" s="15"/>
      <c r="F42" s="15"/>
      <c r="G42" s="15"/>
      <c r="H42" s="15"/>
      <c r="I42" s="15"/>
      <c r="J42" s="15"/>
    </row>
    <row r="43" spans="2:10" x14ac:dyDescent="0.35">
      <c r="B43" s="15"/>
      <c r="C43" s="15"/>
      <c r="D43" s="15"/>
      <c r="E43" s="15"/>
      <c r="F43" s="15"/>
      <c r="G43" s="15"/>
      <c r="H43" s="15"/>
      <c r="I43" s="15"/>
      <c r="J43" s="15"/>
    </row>
    <row r="44" spans="2:10" x14ac:dyDescent="0.35">
      <c r="B44" s="15"/>
      <c r="C44" s="15"/>
      <c r="D44" s="15"/>
      <c r="E44" s="15"/>
      <c r="F44" s="15"/>
      <c r="G44" s="15"/>
      <c r="H44" s="15"/>
      <c r="I44" s="15"/>
      <c r="J44" s="15"/>
    </row>
    <row r="45" spans="2:10" x14ac:dyDescent="0.35">
      <c r="B45" s="15"/>
      <c r="C45" s="15"/>
      <c r="D45" s="15"/>
      <c r="E45" s="15"/>
      <c r="F45" s="15"/>
      <c r="G45" s="15"/>
      <c r="H45" s="15"/>
      <c r="I45" s="15"/>
      <c r="J45" s="15"/>
    </row>
    <row r="46" spans="2:10" x14ac:dyDescent="0.35">
      <c r="B46" s="15"/>
      <c r="C46" s="15"/>
      <c r="D46" s="15"/>
      <c r="E46" s="15"/>
      <c r="F46" s="15"/>
      <c r="G46" s="15"/>
      <c r="H46" s="15"/>
      <c r="I46" s="15"/>
      <c r="J46" s="15"/>
    </row>
    <row r="47" spans="2:10" x14ac:dyDescent="0.35">
      <c r="B47" s="15"/>
      <c r="C47" s="15"/>
      <c r="D47" s="15"/>
      <c r="E47" s="15"/>
      <c r="F47" s="15"/>
      <c r="G47" s="15"/>
      <c r="H47" s="15"/>
      <c r="I47" s="15"/>
      <c r="J47" s="15"/>
    </row>
    <row r="48" spans="2:10" x14ac:dyDescent="0.35">
      <c r="B48" s="15"/>
      <c r="C48" s="15"/>
      <c r="D48" s="15"/>
      <c r="E48" s="15"/>
      <c r="F48" s="15"/>
      <c r="G48" s="15"/>
      <c r="H48" s="15"/>
      <c r="I48" s="15"/>
      <c r="J48" s="15"/>
    </row>
    <row r="49" spans="2:10" x14ac:dyDescent="0.35">
      <c r="B49" s="15"/>
      <c r="C49" s="15"/>
      <c r="D49" s="15"/>
      <c r="E49" s="15"/>
      <c r="F49" s="15"/>
      <c r="G49" s="15"/>
      <c r="H49" s="15"/>
      <c r="I49" s="15"/>
      <c r="J49" s="15"/>
    </row>
    <row r="50" spans="2:10" x14ac:dyDescent="0.35">
      <c r="B50" s="15"/>
      <c r="C50" s="15"/>
      <c r="D50" s="15"/>
      <c r="E50" s="15"/>
      <c r="F50" s="15"/>
      <c r="G50" s="15"/>
      <c r="H50" s="15"/>
      <c r="I50" s="15"/>
      <c r="J50" s="15"/>
    </row>
    <row r="51" spans="2:10" x14ac:dyDescent="0.35">
      <c r="B51" s="15"/>
      <c r="C51" s="15"/>
      <c r="D51" s="15"/>
      <c r="E51" s="15"/>
      <c r="F51" s="15"/>
      <c r="G51" s="15"/>
      <c r="H51" s="15"/>
      <c r="I51" s="15"/>
      <c r="J51" s="15"/>
    </row>
    <row r="52" spans="2:10" x14ac:dyDescent="0.35">
      <c r="B52" s="15"/>
      <c r="C52" s="15"/>
      <c r="D52" s="15"/>
      <c r="E52" s="15"/>
      <c r="F52" s="15"/>
      <c r="G52" s="15"/>
      <c r="H52" s="15"/>
      <c r="I52" s="15"/>
      <c r="J52" s="15"/>
    </row>
    <row r="53" spans="2:10" x14ac:dyDescent="0.35">
      <c r="B53" s="15"/>
      <c r="C53" s="15"/>
      <c r="D53" s="15"/>
      <c r="E53" s="15"/>
      <c r="F53" s="15"/>
      <c r="G53" s="15"/>
      <c r="H53" s="15"/>
      <c r="I53" s="15"/>
      <c r="J53" s="15"/>
    </row>
    <row r="54" spans="2:10" x14ac:dyDescent="0.35">
      <c r="B54" s="15"/>
      <c r="C54" s="15"/>
      <c r="D54" s="15"/>
      <c r="E54" s="15"/>
      <c r="F54" s="15"/>
      <c r="G54" s="15"/>
      <c r="H54" s="15"/>
      <c r="I54" s="15"/>
      <c r="J54" s="15"/>
    </row>
    <row r="55" spans="2:10" x14ac:dyDescent="0.35">
      <c r="B55" s="15"/>
      <c r="C55" s="15"/>
      <c r="D55" s="15"/>
      <c r="E55" s="15"/>
      <c r="F55" s="15"/>
      <c r="G55" s="15"/>
      <c r="H55" s="15"/>
      <c r="I55" s="15"/>
      <c r="J55" s="15"/>
    </row>
    <row r="56" spans="2:10" x14ac:dyDescent="0.35">
      <c r="B56" s="15"/>
      <c r="C56" s="15"/>
      <c r="D56" s="15"/>
      <c r="E56" s="15"/>
      <c r="F56" s="15"/>
      <c r="G56" s="15"/>
      <c r="H56" s="15"/>
      <c r="I56" s="15"/>
      <c r="J56" s="15"/>
    </row>
    <row r="57" spans="2:10" x14ac:dyDescent="0.35">
      <c r="B57" s="15"/>
      <c r="C57" s="15"/>
      <c r="D57" s="15"/>
      <c r="E57" s="15"/>
      <c r="F57" s="15"/>
      <c r="G57" s="15"/>
      <c r="H57" s="15"/>
      <c r="I57" s="15"/>
      <c r="J57" s="15"/>
    </row>
    <row r="58" spans="2:10" x14ac:dyDescent="0.35">
      <c r="B58" s="15"/>
      <c r="C58" s="15"/>
      <c r="D58" s="15"/>
      <c r="E58" s="15"/>
      <c r="F58" s="15"/>
      <c r="G58" s="15"/>
      <c r="H58" s="15"/>
      <c r="I58" s="15"/>
      <c r="J58" s="15"/>
    </row>
    <row r="59" spans="2:10" x14ac:dyDescent="0.35">
      <c r="B59" s="15"/>
      <c r="C59" s="15"/>
      <c r="D59" s="15"/>
      <c r="E59" s="15"/>
      <c r="F59" s="15"/>
      <c r="G59" s="15"/>
      <c r="H59" s="15"/>
      <c r="I59" s="15"/>
      <c r="J59" s="15"/>
    </row>
    <row r="60" spans="2:10" x14ac:dyDescent="0.35">
      <c r="B60" s="15"/>
      <c r="C60" s="15"/>
      <c r="D60" s="15"/>
      <c r="E60" s="15"/>
      <c r="F60" s="15"/>
      <c r="G60" s="15"/>
      <c r="H60" s="15"/>
      <c r="I60" s="15"/>
      <c r="J60" s="15"/>
    </row>
    <row r="61" spans="2:10" x14ac:dyDescent="0.35">
      <c r="B61" s="15"/>
      <c r="C61" s="15"/>
      <c r="D61" s="15"/>
      <c r="E61" s="15"/>
      <c r="F61" s="15"/>
      <c r="G61" s="15"/>
      <c r="H61" s="15"/>
      <c r="I61" s="15"/>
      <c r="J61" s="15"/>
    </row>
    <row r="62" spans="2:10" x14ac:dyDescent="0.35">
      <c r="B62" s="15"/>
      <c r="C62" s="15"/>
      <c r="D62" s="15"/>
      <c r="E62" s="15"/>
      <c r="F62" s="15"/>
      <c r="G62" s="15"/>
      <c r="H62" s="15"/>
      <c r="I62" s="15"/>
      <c r="J62" s="15"/>
    </row>
    <row r="63" spans="2:10" x14ac:dyDescent="0.35">
      <c r="B63" s="15"/>
      <c r="C63" s="15"/>
      <c r="D63" s="15"/>
      <c r="E63" s="15"/>
      <c r="F63" s="15"/>
      <c r="G63" s="15"/>
      <c r="H63" s="15"/>
      <c r="I63" s="15"/>
      <c r="J63" s="15"/>
    </row>
    <row r="64" spans="2:10" x14ac:dyDescent="0.35">
      <c r="B64" s="15"/>
      <c r="C64" s="15"/>
      <c r="D64" s="15"/>
      <c r="E64" s="15"/>
      <c r="F64" s="15"/>
      <c r="G64" s="15"/>
      <c r="H64" s="15"/>
      <c r="I64" s="15"/>
      <c r="J64" s="15"/>
    </row>
    <row r="65" spans="2:10" x14ac:dyDescent="0.35">
      <c r="B65" s="15"/>
      <c r="C65" s="15"/>
      <c r="D65" s="15"/>
      <c r="E65" s="15"/>
      <c r="F65" s="15"/>
      <c r="G65" s="15"/>
      <c r="H65" s="15"/>
      <c r="I65" s="15"/>
      <c r="J65" s="15"/>
    </row>
    <row r="66" spans="2:10" x14ac:dyDescent="0.35">
      <c r="B66" s="15"/>
      <c r="C66" s="15"/>
      <c r="D66" s="15"/>
      <c r="E66" s="15"/>
      <c r="F66" s="15"/>
      <c r="G66" s="15"/>
      <c r="H66" s="15"/>
      <c r="I66" s="15"/>
      <c r="J66" s="15"/>
    </row>
    <row r="67" spans="2:10" x14ac:dyDescent="0.35">
      <c r="B67" s="15"/>
      <c r="C67" s="15"/>
      <c r="D67" s="15"/>
      <c r="E67" s="15"/>
      <c r="F67" s="15"/>
      <c r="G67" s="15"/>
      <c r="H67" s="15"/>
      <c r="I67" s="15"/>
      <c r="J67" s="15"/>
    </row>
    <row r="68" spans="2:10" x14ac:dyDescent="0.35">
      <c r="B68" s="15"/>
      <c r="C68" s="15"/>
      <c r="D68" s="15"/>
      <c r="E68" s="15"/>
      <c r="F68" s="15"/>
      <c r="G68" s="15"/>
      <c r="H68" s="15"/>
      <c r="I68" s="15"/>
      <c r="J68" s="15"/>
    </row>
    <row r="69" spans="2:10" x14ac:dyDescent="0.35">
      <c r="B69" s="15"/>
      <c r="C69" s="15"/>
      <c r="D69" s="15"/>
      <c r="E69" s="15"/>
      <c r="F69" s="15"/>
      <c r="G69" s="15"/>
      <c r="H69" s="15"/>
      <c r="I69" s="15"/>
      <c r="J69" s="15"/>
    </row>
    <row r="70" spans="2:10" x14ac:dyDescent="0.35">
      <c r="B70" s="15"/>
      <c r="C70" s="15"/>
      <c r="D70" s="15"/>
      <c r="E70" s="15"/>
      <c r="F70" s="15"/>
      <c r="G70" s="15"/>
      <c r="H70" s="15"/>
      <c r="I70" s="15"/>
      <c r="J70" s="15"/>
    </row>
    <row r="71" spans="2:10" x14ac:dyDescent="0.35">
      <c r="B71" s="15"/>
      <c r="C71" s="15"/>
      <c r="D71" s="15"/>
      <c r="E71" s="15"/>
      <c r="F71" s="15"/>
      <c r="G71" s="15"/>
      <c r="H71" s="15"/>
      <c r="I71" s="15"/>
      <c r="J71" s="15"/>
    </row>
    <row r="72" spans="2:10" x14ac:dyDescent="0.35">
      <c r="B72" s="15"/>
      <c r="C72" s="15"/>
      <c r="D72" s="15"/>
      <c r="E72" s="15"/>
      <c r="F72" s="15"/>
      <c r="G72" s="15"/>
      <c r="H72" s="15"/>
      <c r="I72" s="15"/>
      <c r="J72" s="15"/>
    </row>
    <row r="73" spans="2:10" x14ac:dyDescent="0.35">
      <c r="B73" s="15"/>
      <c r="C73" s="15"/>
      <c r="D73" s="15"/>
      <c r="E73" s="15"/>
      <c r="F73" s="15"/>
      <c r="G73" s="15"/>
      <c r="H73" s="15"/>
      <c r="I73" s="15"/>
      <c r="J73" s="15"/>
    </row>
    <row r="74" spans="2:10" x14ac:dyDescent="0.35">
      <c r="B74" s="15"/>
      <c r="C74" s="15"/>
      <c r="D74" s="15"/>
      <c r="E74" s="15"/>
      <c r="F74" s="15"/>
      <c r="G74" s="15"/>
      <c r="H74" s="15"/>
      <c r="I74" s="15"/>
      <c r="J74" s="15"/>
    </row>
    <row r="75" spans="2:10" x14ac:dyDescent="0.35">
      <c r="B75" s="15"/>
      <c r="C75" s="15"/>
      <c r="D75" s="15"/>
      <c r="E75" s="15"/>
      <c r="F75" s="15"/>
      <c r="G75" s="15"/>
      <c r="H75" s="15"/>
      <c r="I75" s="15"/>
      <c r="J75" s="15"/>
    </row>
    <row r="76" spans="2:10" x14ac:dyDescent="0.35">
      <c r="B76" s="15"/>
      <c r="C76" s="15"/>
      <c r="D76" s="15"/>
      <c r="E76" s="15"/>
      <c r="F76" s="15"/>
      <c r="G76" s="15"/>
      <c r="H76" s="15"/>
      <c r="I76" s="15"/>
      <c r="J76" s="15"/>
    </row>
    <row r="77" spans="2:10" x14ac:dyDescent="0.35">
      <c r="B77" s="15"/>
      <c r="C77" s="15"/>
      <c r="D77" s="15"/>
      <c r="E77" s="15"/>
      <c r="F77" s="15"/>
      <c r="G77" s="15"/>
      <c r="H77" s="15"/>
      <c r="I77" s="15"/>
      <c r="J77" s="15"/>
    </row>
    <row r="78" spans="2:10" x14ac:dyDescent="0.35">
      <c r="B78" s="15"/>
      <c r="C78" s="15"/>
      <c r="D78" s="15"/>
      <c r="E78" s="15"/>
      <c r="F78" s="15"/>
      <c r="G78" s="15"/>
      <c r="H78" s="15"/>
      <c r="I78" s="15"/>
      <c r="J78" s="15"/>
    </row>
    <row r="79" spans="2:10" x14ac:dyDescent="0.35">
      <c r="B79" s="15"/>
      <c r="C79" s="15"/>
      <c r="D79" s="15"/>
      <c r="E79" s="15"/>
      <c r="F79" s="15"/>
      <c r="G79" s="15"/>
      <c r="H79" s="15"/>
      <c r="I79" s="15"/>
      <c r="J79" s="15"/>
    </row>
    <row r="80" spans="2:10" x14ac:dyDescent="0.35">
      <c r="B80" s="15"/>
      <c r="C80" s="15"/>
      <c r="D80" s="15"/>
      <c r="E80" s="15"/>
      <c r="F80" s="15"/>
      <c r="G80" s="15"/>
      <c r="H80" s="15"/>
      <c r="I80" s="15"/>
      <c r="J80" s="15"/>
    </row>
    <row r="81" spans="2:10" x14ac:dyDescent="0.35">
      <c r="B81" s="15"/>
      <c r="C81" s="15"/>
      <c r="D81" s="15"/>
      <c r="E81" s="15"/>
      <c r="F81" s="15"/>
      <c r="G81" s="15"/>
      <c r="H81" s="15"/>
      <c r="I81" s="15"/>
      <c r="J81" s="15"/>
    </row>
    <row r="82" spans="2:10" x14ac:dyDescent="0.35">
      <c r="B82" s="15"/>
      <c r="C82" s="15"/>
      <c r="D82" s="15"/>
      <c r="E82" s="15"/>
      <c r="F82" s="15"/>
      <c r="G82" s="15"/>
      <c r="H82" s="15"/>
      <c r="I82" s="15"/>
      <c r="J82" s="15"/>
    </row>
    <row r="83" spans="2:10" x14ac:dyDescent="0.35">
      <c r="B83" s="15"/>
      <c r="C83" s="15"/>
      <c r="D83" s="15"/>
      <c r="E83" s="15"/>
      <c r="F83" s="15"/>
      <c r="G83" s="15"/>
      <c r="H83" s="15"/>
      <c r="I83" s="15"/>
      <c r="J83" s="15"/>
    </row>
    <row r="84" spans="2:10" x14ac:dyDescent="0.35">
      <c r="B84" s="15"/>
      <c r="C84" s="15"/>
      <c r="D84" s="15"/>
      <c r="E84" s="15"/>
      <c r="F84" s="15"/>
      <c r="G84" s="15"/>
      <c r="H84" s="15"/>
      <c r="I84" s="15"/>
      <c r="J84" s="15"/>
    </row>
    <row r="85" spans="2:10" x14ac:dyDescent="0.35">
      <c r="B85" s="15"/>
      <c r="C85" s="15"/>
      <c r="D85" s="15"/>
      <c r="E85" s="15"/>
      <c r="F85" s="15"/>
      <c r="G85" s="15"/>
      <c r="H85" s="15"/>
      <c r="I85" s="15"/>
      <c r="J85" s="15"/>
    </row>
    <row r="86" spans="2:10" x14ac:dyDescent="0.35">
      <c r="B86" s="15"/>
      <c r="C86" s="15"/>
      <c r="D86" s="15"/>
      <c r="E86" s="15"/>
      <c r="F86" s="15"/>
      <c r="G86" s="15"/>
      <c r="H86" s="15"/>
      <c r="I86" s="15"/>
      <c r="J86" s="15"/>
    </row>
    <row r="87" spans="2:10" x14ac:dyDescent="0.35">
      <c r="B87" s="15"/>
      <c r="C87" s="15"/>
      <c r="D87" s="15"/>
      <c r="E87" s="15"/>
      <c r="F87" s="15"/>
      <c r="G87" s="15"/>
      <c r="H87" s="15"/>
      <c r="I87" s="15"/>
      <c r="J87" s="15"/>
    </row>
    <row r="88" spans="2:10" x14ac:dyDescent="0.35">
      <c r="B88" s="15"/>
      <c r="C88" s="15"/>
      <c r="D88" s="15"/>
      <c r="E88" s="15"/>
      <c r="F88" s="15"/>
      <c r="G88" s="15"/>
      <c r="H88" s="15"/>
      <c r="I88" s="15"/>
      <c r="J88" s="15"/>
    </row>
    <row r="89" spans="2:10" x14ac:dyDescent="0.35">
      <c r="B89" s="15"/>
      <c r="C89" s="15"/>
      <c r="D89" s="15"/>
      <c r="E89" s="15"/>
      <c r="F89" s="15"/>
      <c r="G89" s="15"/>
      <c r="H89" s="15"/>
      <c r="I89" s="15"/>
      <c r="J89" s="15"/>
    </row>
    <row r="90" spans="2:10" x14ac:dyDescent="0.35">
      <c r="B90" s="15"/>
      <c r="C90" s="15"/>
      <c r="D90" s="15"/>
      <c r="E90" s="15"/>
      <c r="F90" s="15"/>
      <c r="G90" s="15"/>
      <c r="H90" s="15"/>
      <c r="I90" s="15"/>
      <c r="J90" s="15"/>
    </row>
    <row r="91" spans="2:10" x14ac:dyDescent="0.35">
      <c r="B91" s="15"/>
      <c r="C91" s="15"/>
      <c r="D91" s="15"/>
      <c r="E91" s="15"/>
      <c r="F91" s="15"/>
      <c r="G91" s="15"/>
      <c r="H91" s="15"/>
      <c r="I91" s="15"/>
      <c r="J91" s="15"/>
    </row>
    <row r="92" spans="2:10" x14ac:dyDescent="0.35">
      <c r="B92" s="15"/>
      <c r="C92" s="15"/>
      <c r="D92" s="15"/>
      <c r="E92" s="15"/>
      <c r="F92" s="15"/>
      <c r="G92" s="15"/>
      <c r="H92" s="15"/>
      <c r="I92" s="15"/>
      <c r="J92" s="15"/>
    </row>
    <row r="93" spans="2:10" x14ac:dyDescent="0.35">
      <c r="B93" s="15"/>
      <c r="C93" s="15"/>
      <c r="D93" s="15"/>
      <c r="E93" s="15"/>
      <c r="F93" s="15"/>
      <c r="G93" s="15"/>
      <c r="H93" s="15"/>
      <c r="I93" s="15"/>
      <c r="J93" s="15"/>
    </row>
    <row r="94" spans="2:10" x14ac:dyDescent="0.35">
      <c r="B94" s="15"/>
      <c r="C94" s="15"/>
      <c r="D94" s="15"/>
      <c r="E94" s="15"/>
      <c r="F94" s="15"/>
      <c r="G94" s="15"/>
      <c r="H94" s="15"/>
      <c r="I94" s="15"/>
      <c r="J94" s="15"/>
    </row>
    <row r="95" spans="2:10" x14ac:dyDescent="0.35">
      <c r="B95" s="15"/>
      <c r="C95" s="15"/>
      <c r="D95" s="15"/>
      <c r="E95" s="15"/>
      <c r="F95" s="15"/>
      <c r="G95" s="15"/>
      <c r="H95" s="15"/>
      <c r="I95" s="15"/>
      <c r="J95" s="15"/>
    </row>
    <row r="96" spans="2:10" x14ac:dyDescent="0.35">
      <c r="B96" s="15"/>
      <c r="C96" s="15"/>
      <c r="D96" s="15"/>
      <c r="E96" s="15"/>
      <c r="F96" s="15"/>
      <c r="G96" s="15"/>
      <c r="H96" s="15"/>
      <c r="I96" s="15"/>
      <c r="J96" s="15"/>
    </row>
    <row r="97" spans="2:10" x14ac:dyDescent="0.35">
      <c r="B97" s="15"/>
      <c r="C97" s="15"/>
      <c r="D97" s="15"/>
      <c r="E97" s="15"/>
      <c r="F97" s="15"/>
      <c r="G97" s="15"/>
      <c r="H97" s="15"/>
      <c r="I97" s="15"/>
      <c r="J97" s="15"/>
    </row>
    <row r="98" spans="2:10" x14ac:dyDescent="0.35">
      <c r="B98" s="15"/>
      <c r="C98" s="15"/>
      <c r="D98" s="15"/>
      <c r="E98" s="15"/>
      <c r="F98" s="15"/>
      <c r="G98" s="15"/>
      <c r="H98" s="15"/>
      <c r="I98" s="15"/>
      <c r="J98" s="15"/>
    </row>
    <row r="99" spans="2:10" x14ac:dyDescent="0.35">
      <c r="B99" s="15"/>
      <c r="C99" s="15"/>
      <c r="D99" s="15"/>
      <c r="E99" s="15"/>
      <c r="F99" s="15"/>
      <c r="G99" s="15"/>
      <c r="H99" s="15"/>
      <c r="I99" s="15"/>
      <c r="J99" s="15"/>
    </row>
    <row r="100" spans="2:10" x14ac:dyDescent="0.35"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2:10" x14ac:dyDescent="0.35"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2:10" x14ac:dyDescent="0.35"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2:10" x14ac:dyDescent="0.35"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2:10" x14ac:dyDescent="0.35"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2:10" x14ac:dyDescent="0.35"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2:10" x14ac:dyDescent="0.35"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2:10" x14ac:dyDescent="0.35"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2:10" x14ac:dyDescent="0.35">
      <c r="B108" s="15"/>
      <c r="C108" s="15"/>
      <c r="D108" s="15"/>
      <c r="E108" s="15"/>
      <c r="F108" s="15"/>
      <c r="G108" s="15"/>
      <c r="H108" s="15"/>
      <c r="I108" s="15"/>
      <c r="J108" s="15"/>
    </row>
    <row r="109" spans="2:10" x14ac:dyDescent="0.35">
      <c r="B109" s="15"/>
      <c r="C109" s="15"/>
      <c r="D109" s="15"/>
      <c r="E109" s="15"/>
      <c r="F109" s="15"/>
      <c r="G109" s="15"/>
      <c r="H109" s="15"/>
      <c r="I109" s="15"/>
      <c r="J109" s="15"/>
    </row>
    <row r="110" spans="2:10" x14ac:dyDescent="0.35">
      <c r="B110" s="15"/>
      <c r="C110" s="15"/>
      <c r="D110" s="15"/>
      <c r="E110" s="15"/>
      <c r="F110" s="15"/>
      <c r="G110" s="15"/>
      <c r="H110" s="15"/>
      <c r="I110" s="15"/>
      <c r="J110" s="15"/>
    </row>
    <row r="111" spans="2:10" x14ac:dyDescent="0.35">
      <c r="B111" s="15"/>
      <c r="C111" s="15"/>
      <c r="D111" s="15"/>
      <c r="E111" s="15"/>
      <c r="F111" s="15"/>
      <c r="G111" s="15"/>
      <c r="H111" s="15"/>
      <c r="I111" s="15"/>
      <c r="J111" s="15"/>
    </row>
    <row r="112" spans="2:10" x14ac:dyDescent="0.35"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2:10" x14ac:dyDescent="0.35"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2:10" x14ac:dyDescent="0.35"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2:10" x14ac:dyDescent="0.35"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2:10" x14ac:dyDescent="0.35"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2:10" x14ac:dyDescent="0.35"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2:10" x14ac:dyDescent="0.35"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2:10" x14ac:dyDescent="0.35"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2:10" x14ac:dyDescent="0.35"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2:10" x14ac:dyDescent="0.35"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2:10" x14ac:dyDescent="0.35"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2:10" x14ac:dyDescent="0.35">
      <c r="B123" s="15"/>
      <c r="C123" s="15"/>
      <c r="D123" s="15"/>
      <c r="E123" s="15"/>
      <c r="F123" s="15"/>
      <c r="G123" s="15"/>
      <c r="H123" s="15"/>
      <c r="I123" s="15"/>
      <c r="J123" s="15"/>
    </row>
    <row r="124" spans="2:10" x14ac:dyDescent="0.35"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2:10" x14ac:dyDescent="0.35"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2:10" x14ac:dyDescent="0.35"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2:10" x14ac:dyDescent="0.35"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2:10" x14ac:dyDescent="0.35"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2:10" x14ac:dyDescent="0.35"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2:10" x14ac:dyDescent="0.35"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2:10" x14ac:dyDescent="0.35"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2:10" x14ac:dyDescent="0.35"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2:10" x14ac:dyDescent="0.35"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2:10" x14ac:dyDescent="0.35"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2:10" x14ac:dyDescent="0.35"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2:10" x14ac:dyDescent="0.35"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2:10" x14ac:dyDescent="0.35"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2:10" x14ac:dyDescent="0.35"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2:10" x14ac:dyDescent="0.35"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2:10" x14ac:dyDescent="0.35"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2:10" x14ac:dyDescent="0.35"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2:10" x14ac:dyDescent="0.35">
      <c r="B142" s="15"/>
      <c r="C142" s="15"/>
      <c r="D142" s="15"/>
      <c r="E142" s="15"/>
      <c r="F142" s="15"/>
      <c r="G142" s="15"/>
      <c r="H142" s="15"/>
      <c r="I142" s="15"/>
      <c r="J142" s="15"/>
    </row>
    <row r="143" spans="2:10" x14ac:dyDescent="0.35">
      <c r="B143" s="15"/>
      <c r="C143" s="15"/>
      <c r="D143" s="15"/>
      <c r="E143" s="15"/>
      <c r="F143" s="15"/>
      <c r="G143" s="15"/>
      <c r="H143" s="15"/>
      <c r="I143" s="15"/>
      <c r="J143" s="15"/>
    </row>
    <row r="144" spans="2:10" x14ac:dyDescent="0.35">
      <c r="B144" s="15"/>
      <c r="C144" s="15"/>
      <c r="D144" s="15"/>
      <c r="E144" s="15"/>
      <c r="F144" s="15"/>
      <c r="G144" s="15"/>
      <c r="H144" s="15"/>
      <c r="I144" s="15"/>
      <c r="J144" s="15"/>
    </row>
    <row r="145" spans="2:10" x14ac:dyDescent="0.35">
      <c r="B145" s="15"/>
      <c r="C145" s="15"/>
      <c r="D145" s="15"/>
      <c r="E145" s="15"/>
      <c r="F145" s="15"/>
      <c r="G145" s="15"/>
      <c r="H145" s="15"/>
      <c r="I145" s="15"/>
      <c r="J145" s="15"/>
    </row>
    <row r="146" spans="2:10" x14ac:dyDescent="0.35">
      <c r="B146" s="15"/>
      <c r="C146" s="15"/>
      <c r="D146" s="15"/>
      <c r="E146" s="15"/>
      <c r="F146" s="15"/>
      <c r="G146" s="15"/>
      <c r="H146" s="15"/>
      <c r="I146" s="15"/>
      <c r="J146" s="15"/>
    </row>
    <row r="147" spans="2:10" x14ac:dyDescent="0.35">
      <c r="B147" s="15"/>
      <c r="C147" s="15"/>
      <c r="D147" s="15"/>
      <c r="E147" s="15"/>
      <c r="F147" s="15"/>
      <c r="G147" s="15"/>
      <c r="H147" s="15"/>
      <c r="I147" s="15"/>
      <c r="J147" s="15"/>
    </row>
    <row r="148" spans="2:10" x14ac:dyDescent="0.35">
      <c r="B148" s="15"/>
      <c r="C148" s="15"/>
      <c r="D148" s="15"/>
      <c r="E148" s="15"/>
      <c r="F148" s="15"/>
      <c r="G148" s="15"/>
      <c r="H148" s="15"/>
      <c r="I148" s="15"/>
      <c r="J148" s="15"/>
    </row>
    <row r="149" spans="2:10" x14ac:dyDescent="0.35">
      <c r="B149" s="15"/>
      <c r="C149" s="15"/>
      <c r="D149" s="15"/>
      <c r="E149" s="15"/>
      <c r="F149" s="15"/>
      <c r="G149" s="15"/>
      <c r="H149" s="15"/>
      <c r="I149" s="15"/>
      <c r="J149" s="15"/>
    </row>
    <row r="150" spans="2:10" x14ac:dyDescent="0.35">
      <c r="B150" s="15"/>
      <c r="C150" s="15"/>
      <c r="D150" s="15"/>
      <c r="E150" s="15"/>
      <c r="F150" s="15"/>
      <c r="G150" s="15"/>
      <c r="H150" s="15"/>
      <c r="I150" s="15"/>
      <c r="J150" s="15"/>
    </row>
    <row r="151" spans="2:10" x14ac:dyDescent="0.35">
      <c r="B151" s="15"/>
      <c r="C151" s="15"/>
      <c r="D151" s="15"/>
      <c r="E151" s="15"/>
      <c r="F151" s="15"/>
      <c r="G151" s="15"/>
      <c r="H151" s="15"/>
      <c r="I151" s="15"/>
      <c r="J151" s="15"/>
    </row>
    <row r="152" spans="2:10" x14ac:dyDescent="0.35">
      <c r="B152" s="15"/>
      <c r="C152" s="15"/>
      <c r="D152" s="15"/>
      <c r="E152" s="15"/>
      <c r="F152" s="15"/>
      <c r="G152" s="15"/>
      <c r="H152" s="15"/>
      <c r="I152" s="15"/>
      <c r="J152" s="15"/>
    </row>
    <row r="153" spans="2:10" x14ac:dyDescent="0.35">
      <c r="B153" s="15"/>
      <c r="C153" s="15"/>
      <c r="D153" s="15"/>
      <c r="E153" s="15"/>
      <c r="F153" s="15"/>
      <c r="G153" s="15"/>
      <c r="H153" s="15"/>
      <c r="I153" s="15"/>
      <c r="J153" s="15"/>
    </row>
    <row r="154" spans="2:10" x14ac:dyDescent="0.35">
      <c r="B154" s="15"/>
      <c r="C154" s="15"/>
      <c r="D154" s="15"/>
      <c r="E154" s="15"/>
      <c r="F154" s="15"/>
      <c r="G154" s="15"/>
      <c r="H154" s="15"/>
      <c r="I154" s="15"/>
      <c r="J154" s="15"/>
    </row>
    <row r="155" spans="2:10" x14ac:dyDescent="0.35">
      <c r="B155" s="15"/>
      <c r="C155" s="15"/>
      <c r="D155" s="15"/>
      <c r="E155" s="15"/>
      <c r="F155" s="15"/>
      <c r="G155" s="15"/>
      <c r="H155" s="15"/>
      <c r="I155" s="15"/>
      <c r="J155" s="15"/>
    </row>
    <row r="156" spans="2:10" x14ac:dyDescent="0.35">
      <c r="B156" s="15"/>
      <c r="C156" s="15"/>
      <c r="D156" s="15"/>
      <c r="E156" s="15"/>
      <c r="F156" s="15"/>
      <c r="G156" s="15"/>
      <c r="H156" s="15"/>
      <c r="I156" s="15"/>
      <c r="J156" s="15"/>
    </row>
    <row r="157" spans="2:10" x14ac:dyDescent="0.35">
      <c r="B157" s="15"/>
      <c r="C157" s="15"/>
      <c r="D157" s="15"/>
      <c r="E157" s="15"/>
      <c r="F157" s="15"/>
      <c r="G157" s="15"/>
      <c r="H157" s="15"/>
      <c r="I157" s="15"/>
      <c r="J157" s="15"/>
    </row>
    <row r="158" spans="2:10" x14ac:dyDescent="0.35">
      <c r="B158" s="15"/>
      <c r="C158" s="15"/>
      <c r="D158" s="15"/>
      <c r="E158" s="15"/>
      <c r="F158" s="15"/>
      <c r="G158" s="15"/>
      <c r="H158" s="15"/>
      <c r="I158" s="15"/>
      <c r="J158" s="15"/>
    </row>
    <row r="159" spans="2:10" x14ac:dyDescent="0.35">
      <c r="B159" s="15"/>
      <c r="C159" s="15"/>
      <c r="D159" s="15"/>
      <c r="E159" s="15"/>
      <c r="F159" s="15"/>
      <c r="G159" s="15"/>
      <c r="H159" s="15"/>
      <c r="I159" s="15"/>
      <c r="J159" s="15"/>
    </row>
    <row r="160" spans="2:10" x14ac:dyDescent="0.35">
      <c r="B160" s="15"/>
      <c r="C160" s="15"/>
      <c r="D160" s="15"/>
      <c r="E160" s="15"/>
      <c r="F160" s="15"/>
      <c r="G160" s="15"/>
      <c r="H160" s="15"/>
      <c r="I160" s="15"/>
      <c r="J160" s="15"/>
    </row>
    <row r="161" spans="2:10" x14ac:dyDescent="0.35">
      <c r="B161" s="15"/>
      <c r="C161" s="15"/>
      <c r="D161" s="15"/>
      <c r="E161" s="15"/>
      <c r="F161" s="15"/>
      <c r="G161" s="15"/>
      <c r="H161" s="15"/>
      <c r="I161" s="15"/>
      <c r="J161" s="15"/>
    </row>
    <row r="162" spans="2:10" x14ac:dyDescent="0.35">
      <c r="B162" s="15"/>
      <c r="C162" s="15"/>
      <c r="D162" s="15"/>
      <c r="E162" s="15"/>
      <c r="F162" s="15"/>
      <c r="G162" s="15"/>
      <c r="H162" s="15"/>
      <c r="I162" s="15"/>
      <c r="J162" s="15"/>
    </row>
    <row r="163" spans="2:10" x14ac:dyDescent="0.35">
      <c r="B163" s="15"/>
      <c r="C163" s="15"/>
      <c r="D163" s="15"/>
      <c r="E163" s="15"/>
      <c r="F163" s="15"/>
      <c r="G163" s="15"/>
      <c r="H163" s="15"/>
      <c r="I163" s="15"/>
      <c r="J163" s="15"/>
    </row>
    <row r="164" spans="2:10" x14ac:dyDescent="0.35">
      <c r="B164" s="15"/>
      <c r="C164" s="15"/>
      <c r="D164" s="15"/>
      <c r="E164" s="15"/>
      <c r="F164" s="15"/>
      <c r="G164" s="15"/>
      <c r="H164" s="15"/>
      <c r="I164" s="15"/>
      <c r="J164" s="15"/>
    </row>
    <row r="165" spans="2:10" x14ac:dyDescent="0.35">
      <c r="B165" s="15"/>
      <c r="C165" s="15"/>
      <c r="D165" s="15"/>
      <c r="E165" s="15"/>
      <c r="F165" s="15"/>
      <c r="G165" s="15"/>
      <c r="H165" s="15"/>
      <c r="I165" s="15"/>
      <c r="J165" s="15"/>
    </row>
    <row r="166" spans="2:10" x14ac:dyDescent="0.35">
      <c r="B166" s="15"/>
      <c r="C166" s="15"/>
      <c r="D166" s="15"/>
      <c r="E166" s="15"/>
      <c r="F166" s="15"/>
      <c r="G166" s="15"/>
      <c r="H166" s="15"/>
      <c r="I166" s="15"/>
      <c r="J166" s="15"/>
    </row>
    <row r="167" spans="2:10" x14ac:dyDescent="0.35">
      <c r="B167" s="15"/>
      <c r="C167" s="15"/>
      <c r="D167" s="15"/>
      <c r="E167" s="15"/>
      <c r="F167" s="15"/>
      <c r="G167" s="15"/>
      <c r="H167" s="15"/>
      <c r="I167" s="15"/>
      <c r="J167" s="15"/>
    </row>
    <row r="168" spans="2:10" x14ac:dyDescent="0.35">
      <c r="B168" s="15"/>
      <c r="C168" s="15"/>
      <c r="D168" s="15"/>
      <c r="E168" s="15"/>
      <c r="F168" s="15"/>
      <c r="G168" s="15"/>
      <c r="H168" s="15"/>
      <c r="I168" s="15"/>
      <c r="J168" s="15"/>
    </row>
    <row r="169" spans="2:10" x14ac:dyDescent="0.35">
      <c r="B169" s="15"/>
      <c r="C169" s="15"/>
      <c r="D169" s="15"/>
      <c r="E169" s="15"/>
      <c r="F169" s="15"/>
      <c r="G169" s="15"/>
      <c r="H169" s="15"/>
      <c r="I169" s="15"/>
      <c r="J169" s="15"/>
    </row>
    <row r="170" spans="2:10" x14ac:dyDescent="0.35">
      <c r="B170" s="15"/>
      <c r="C170" s="15"/>
      <c r="D170" s="15"/>
      <c r="E170" s="15"/>
      <c r="F170" s="15"/>
      <c r="G170" s="15"/>
      <c r="H170" s="15"/>
      <c r="I170" s="15"/>
      <c r="J170" s="15"/>
    </row>
    <row r="171" spans="2:10" x14ac:dyDescent="0.35">
      <c r="B171" s="15"/>
      <c r="C171" s="15"/>
      <c r="D171" s="15"/>
      <c r="E171" s="15"/>
      <c r="F171" s="15"/>
      <c r="G171" s="15"/>
      <c r="H171" s="15"/>
      <c r="I171" s="15"/>
      <c r="J171" s="15"/>
    </row>
    <row r="172" spans="2:10" x14ac:dyDescent="0.35">
      <c r="B172" s="15"/>
      <c r="C172" s="15"/>
      <c r="D172" s="15"/>
      <c r="E172" s="15"/>
      <c r="F172" s="15"/>
      <c r="G172" s="15"/>
      <c r="H172" s="15"/>
      <c r="I172" s="15"/>
      <c r="J172" s="15"/>
    </row>
    <row r="173" spans="2:10" x14ac:dyDescent="0.35">
      <c r="B173" s="15"/>
      <c r="C173" s="15"/>
      <c r="D173" s="15"/>
      <c r="E173" s="15"/>
      <c r="F173" s="15"/>
      <c r="G173" s="15"/>
      <c r="H173" s="15"/>
      <c r="I173" s="15"/>
      <c r="J173" s="15"/>
    </row>
    <row r="174" spans="2:10" x14ac:dyDescent="0.35">
      <c r="B174" s="15"/>
      <c r="C174" s="15"/>
      <c r="D174" s="15"/>
      <c r="E174" s="15"/>
      <c r="F174" s="15"/>
      <c r="G174" s="15"/>
      <c r="H174" s="15"/>
      <c r="I174" s="15"/>
      <c r="J174" s="15"/>
    </row>
    <row r="175" spans="2:10" x14ac:dyDescent="0.35">
      <c r="B175" s="15"/>
      <c r="C175" s="15"/>
      <c r="D175" s="15"/>
      <c r="E175" s="15"/>
      <c r="F175" s="15"/>
      <c r="G175" s="15"/>
      <c r="H175" s="15"/>
      <c r="I175" s="15"/>
      <c r="J175" s="15"/>
    </row>
    <row r="176" spans="2:10" x14ac:dyDescent="0.35">
      <c r="B176" s="15"/>
      <c r="C176" s="15"/>
      <c r="D176" s="15"/>
      <c r="E176" s="15"/>
      <c r="F176" s="15"/>
      <c r="G176" s="15"/>
      <c r="H176" s="15"/>
      <c r="I176" s="15"/>
      <c r="J176" s="15"/>
    </row>
    <row r="177" spans="2:10" x14ac:dyDescent="0.35">
      <c r="B177" s="15"/>
      <c r="C177" s="15"/>
      <c r="D177" s="15"/>
      <c r="E177" s="15"/>
      <c r="F177" s="15"/>
      <c r="G177" s="15"/>
      <c r="H177" s="15"/>
      <c r="I177" s="15"/>
      <c r="J177" s="15"/>
    </row>
    <row r="178" spans="2:10" x14ac:dyDescent="0.35">
      <c r="B178" s="15"/>
      <c r="C178" s="15"/>
      <c r="D178" s="15"/>
      <c r="E178" s="15"/>
      <c r="F178" s="15"/>
      <c r="G178" s="15"/>
      <c r="H178" s="15"/>
      <c r="I178" s="15"/>
      <c r="J178" s="15"/>
    </row>
    <row r="179" spans="2:10" x14ac:dyDescent="0.35">
      <c r="B179" s="15"/>
      <c r="C179" s="15"/>
      <c r="D179" s="15"/>
      <c r="E179" s="15"/>
      <c r="F179" s="15"/>
      <c r="G179" s="15"/>
      <c r="H179" s="15"/>
      <c r="I179" s="15"/>
      <c r="J179" s="15"/>
    </row>
    <row r="180" spans="2:10" x14ac:dyDescent="0.35">
      <c r="B180" s="15"/>
      <c r="C180" s="15"/>
      <c r="D180" s="15"/>
      <c r="E180" s="15"/>
      <c r="F180" s="15"/>
      <c r="G180" s="15"/>
      <c r="H180" s="15"/>
      <c r="I180" s="15"/>
      <c r="J180" s="15"/>
    </row>
    <row r="181" spans="2:10" x14ac:dyDescent="0.35">
      <c r="B181" s="15"/>
      <c r="C181" s="15"/>
      <c r="D181" s="15"/>
      <c r="E181" s="15"/>
      <c r="F181" s="15"/>
      <c r="G181" s="15"/>
      <c r="H181" s="15"/>
      <c r="I181" s="15"/>
      <c r="J181" s="15"/>
    </row>
    <row r="182" spans="2:10" x14ac:dyDescent="0.35">
      <c r="B182" s="15"/>
      <c r="C182" s="15"/>
      <c r="D182" s="15"/>
      <c r="E182" s="15"/>
      <c r="F182" s="15"/>
      <c r="G182" s="15"/>
      <c r="H182" s="15"/>
      <c r="I182" s="15"/>
      <c r="J182" s="15"/>
    </row>
    <row r="183" spans="2:10" x14ac:dyDescent="0.35">
      <c r="B183" s="15"/>
      <c r="C183" s="15"/>
      <c r="D183" s="15"/>
      <c r="E183" s="15"/>
      <c r="F183" s="15"/>
      <c r="G183" s="15"/>
      <c r="H183" s="15"/>
      <c r="I183" s="15"/>
      <c r="J183" s="15"/>
    </row>
    <row r="184" spans="2:10" x14ac:dyDescent="0.35">
      <c r="B184" s="15"/>
      <c r="C184" s="15"/>
      <c r="D184" s="15"/>
      <c r="E184" s="15"/>
      <c r="F184" s="15"/>
      <c r="G184" s="15"/>
      <c r="H184" s="15"/>
      <c r="I184" s="15"/>
      <c r="J184" s="15"/>
    </row>
    <row r="185" spans="2:10" x14ac:dyDescent="0.35">
      <c r="B185" s="15"/>
      <c r="C185" s="15"/>
      <c r="D185" s="15"/>
      <c r="E185" s="15"/>
      <c r="F185" s="15"/>
      <c r="G185" s="15"/>
      <c r="H185" s="15"/>
      <c r="I185" s="15"/>
      <c r="J185" s="15"/>
    </row>
    <row r="186" spans="2:10" x14ac:dyDescent="0.35">
      <c r="B186" s="15"/>
      <c r="C186" s="15"/>
      <c r="D186" s="15"/>
      <c r="E186" s="15"/>
      <c r="F186" s="15"/>
      <c r="G186" s="15"/>
      <c r="H186" s="15"/>
      <c r="I186" s="15"/>
      <c r="J186" s="15"/>
    </row>
    <row r="187" spans="2:10" x14ac:dyDescent="0.35">
      <c r="B187" s="15"/>
      <c r="C187" s="15"/>
      <c r="D187" s="15"/>
      <c r="E187" s="15"/>
      <c r="F187" s="15"/>
      <c r="G187" s="15"/>
      <c r="H187" s="15"/>
      <c r="I187" s="15"/>
      <c r="J187" s="15"/>
    </row>
    <row r="188" spans="2:10" x14ac:dyDescent="0.35">
      <c r="B188" s="15"/>
      <c r="C188" s="15"/>
      <c r="D188" s="15"/>
      <c r="E188" s="15"/>
      <c r="F188" s="15"/>
      <c r="G188" s="15"/>
      <c r="H188" s="15"/>
      <c r="I188" s="15"/>
      <c r="J188" s="15"/>
    </row>
    <row r="189" spans="2:10" x14ac:dyDescent="0.35">
      <c r="B189" s="15"/>
      <c r="C189" s="15"/>
      <c r="D189" s="15"/>
      <c r="E189" s="15"/>
      <c r="F189" s="15"/>
      <c r="G189" s="15"/>
      <c r="H189" s="15"/>
      <c r="I189" s="15"/>
      <c r="J189" s="15"/>
    </row>
    <row r="190" spans="2:10" x14ac:dyDescent="0.35">
      <c r="B190" s="15"/>
      <c r="C190" s="15"/>
      <c r="D190" s="15"/>
      <c r="E190" s="15"/>
      <c r="F190" s="15"/>
      <c r="G190" s="15"/>
      <c r="H190" s="15"/>
      <c r="I190" s="15"/>
      <c r="J190" s="15"/>
    </row>
    <row r="191" spans="2:10" x14ac:dyDescent="0.35">
      <c r="B191" s="15"/>
      <c r="C191" s="15"/>
      <c r="D191" s="15"/>
      <c r="E191" s="15"/>
      <c r="F191" s="15"/>
      <c r="G191" s="15"/>
      <c r="H191" s="15"/>
      <c r="I191" s="15"/>
      <c r="J191" s="15"/>
    </row>
    <row r="192" spans="2:10" x14ac:dyDescent="0.35">
      <c r="B192" s="15"/>
      <c r="C192" s="15"/>
      <c r="D192" s="15"/>
      <c r="E192" s="15"/>
      <c r="F192" s="15"/>
      <c r="G192" s="15"/>
      <c r="H192" s="15"/>
      <c r="I192" s="15"/>
      <c r="J192" s="15"/>
    </row>
    <row r="193" spans="2:10" x14ac:dyDescent="0.35">
      <c r="B193" s="15"/>
      <c r="C193" s="15"/>
      <c r="D193" s="15"/>
      <c r="E193" s="15"/>
      <c r="F193" s="15"/>
      <c r="G193" s="15"/>
      <c r="H193" s="15"/>
      <c r="I193" s="15"/>
      <c r="J193" s="15"/>
    </row>
    <row r="194" spans="2:10" x14ac:dyDescent="0.35">
      <c r="B194" s="15"/>
      <c r="C194" s="15"/>
      <c r="D194" s="15"/>
      <c r="E194" s="15"/>
      <c r="F194" s="15"/>
      <c r="G194" s="15"/>
      <c r="H194" s="15"/>
      <c r="I194" s="15"/>
      <c r="J194" s="15"/>
    </row>
    <row r="195" spans="2:10" x14ac:dyDescent="0.35">
      <c r="B195" s="15"/>
      <c r="C195" s="15"/>
      <c r="D195" s="15"/>
      <c r="E195" s="15"/>
      <c r="F195" s="15"/>
      <c r="G195" s="15"/>
      <c r="H195" s="15"/>
      <c r="I195" s="15"/>
      <c r="J195" s="15"/>
    </row>
    <row r="196" spans="2:10" x14ac:dyDescent="0.35">
      <c r="B196" s="15"/>
      <c r="C196" s="15"/>
      <c r="D196" s="15"/>
      <c r="E196" s="15"/>
      <c r="F196" s="15"/>
      <c r="G196" s="15"/>
      <c r="H196" s="15"/>
      <c r="I196" s="15"/>
      <c r="J196" s="15"/>
    </row>
    <row r="197" spans="2:10" x14ac:dyDescent="0.35">
      <c r="B197" s="15"/>
      <c r="C197" s="15"/>
      <c r="D197" s="15"/>
      <c r="E197" s="15"/>
      <c r="F197" s="15"/>
      <c r="G197" s="15"/>
      <c r="H197" s="15"/>
      <c r="I197" s="15"/>
      <c r="J197" s="15"/>
    </row>
    <row r="198" spans="2:10" x14ac:dyDescent="0.35"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2:10" x14ac:dyDescent="0.35"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2:10" x14ac:dyDescent="0.35"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2:10" x14ac:dyDescent="0.35"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2:10" x14ac:dyDescent="0.35"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2:10" x14ac:dyDescent="0.35"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2:10" x14ac:dyDescent="0.35"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2:10" x14ac:dyDescent="0.35"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2:10" x14ac:dyDescent="0.35"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2:10" x14ac:dyDescent="0.35"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2:10" x14ac:dyDescent="0.35"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2:10" x14ac:dyDescent="0.35"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2:10" x14ac:dyDescent="0.35"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2:10" x14ac:dyDescent="0.35"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2:10" x14ac:dyDescent="0.35">
      <c r="B212" s="15"/>
      <c r="C212" s="15"/>
      <c r="D212" s="15"/>
      <c r="E212" s="15"/>
      <c r="F212" s="15"/>
      <c r="G212" s="15"/>
      <c r="H212" s="15"/>
      <c r="I212" s="15"/>
      <c r="J212" s="15"/>
    </row>
    <row r="213" spans="2:10" x14ac:dyDescent="0.35">
      <c r="B213" s="15"/>
      <c r="C213" s="15"/>
      <c r="D213" s="15"/>
      <c r="E213" s="15"/>
      <c r="F213" s="15"/>
      <c r="G213" s="15"/>
      <c r="H213" s="15"/>
      <c r="I213" s="15"/>
      <c r="J213" s="15"/>
    </row>
    <row r="214" spans="2:10" x14ac:dyDescent="0.35">
      <c r="B214" s="15"/>
      <c r="C214" s="15"/>
      <c r="D214" s="15"/>
      <c r="E214" s="15"/>
      <c r="F214" s="15"/>
      <c r="G214" s="15"/>
      <c r="H214" s="15"/>
      <c r="I214" s="15"/>
      <c r="J214" s="15"/>
    </row>
    <row r="215" spans="2:10" x14ac:dyDescent="0.35">
      <c r="B215" s="15"/>
      <c r="C215" s="15"/>
      <c r="D215" s="15"/>
      <c r="E215" s="15"/>
      <c r="F215" s="15"/>
      <c r="G215" s="15"/>
      <c r="H215" s="15"/>
      <c r="I215" s="15"/>
      <c r="J215" s="15"/>
    </row>
    <row r="216" spans="2:10" x14ac:dyDescent="0.35">
      <c r="B216" s="15"/>
      <c r="C216" s="15"/>
      <c r="D216" s="15"/>
      <c r="E216" s="15"/>
      <c r="F216" s="15"/>
      <c r="G216" s="15"/>
      <c r="H216" s="15"/>
      <c r="I216" s="15"/>
      <c r="J216" s="15"/>
    </row>
    <row r="217" spans="2:10" x14ac:dyDescent="0.35">
      <c r="B217" s="15"/>
      <c r="C217" s="15"/>
      <c r="D217" s="15"/>
      <c r="E217" s="15"/>
      <c r="F217" s="15"/>
      <c r="G217" s="15"/>
      <c r="H217" s="15"/>
      <c r="I217" s="15"/>
      <c r="J217" s="15"/>
    </row>
    <row r="218" spans="2:10" x14ac:dyDescent="0.35">
      <c r="B218" s="15"/>
      <c r="C218" s="15"/>
      <c r="D218" s="15"/>
      <c r="E218" s="15"/>
      <c r="F218" s="15"/>
      <c r="G218" s="15"/>
      <c r="H218" s="15"/>
      <c r="I218" s="15"/>
      <c r="J218" s="15"/>
    </row>
    <row r="219" spans="2:10" x14ac:dyDescent="0.35">
      <c r="B219" s="15"/>
      <c r="C219" s="15"/>
      <c r="D219" s="15"/>
      <c r="E219" s="15"/>
      <c r="F219" s="15"/>
      <c r="G219" s="15"/>
      <c r="H219" s="15"/>
      <c r="I219" s="15"/>
      <c r="J219" s="15"/>
    </row>
    <row r="220" spans="2:10" x14ac:dyDescent="0.35">
      <c r="B220" s="15"/>
      <c r="C220" s="15"/>
      <c r="D220" s="15"/>
      <c r="E220" s="15"/>
      <c r="F220" s="15"/>
      <c r="G220" s="15"/>
      <c r="H220" s="15"/>
      <c r="I220" s="15"/>
      <c r="J220" s="15"/>
    </row>
    <row r="221" spans="2:10" x14ac:dyDescent="0.35">
      <c r="B221" s="15"/>
      <c r="C221" s="15"/>
      <c r="D221" s="15"/>
      <c r="E221" s="15"/>
      <c r="F221" s="15"/>
      <c r="G221" s="15"/>
      <c r="H221" s="15"/>
      <c r="I221" s="15"/>
      <c r="J221" s="15"/>
    </row>
    <row r="222" spans="2:10" x14ac:dyDescent="0.35">
      <c r="B222" s="15"/>
      <c r="C222" s="15"/>
      <c r="D222" s="15"/>
      <c r="E222" s="15"/>
      <c r="F222" s="15"/>
      <c r="G222" s="15"/>
      <c r="H222" s="15"/>
      <c r="I222" s="15"/>
      <c r="J222" s="15"/>
    </row>
    <row r="223" spans="2:10" x14ac:dyDescent="0.35">
      <c r="B223" s="15"/>
      <c r="C223" s="15"/>
      <c r="D223" s="15"/>
      <c r="E223" s="15"/>
      <c r="F223" s="15"/>
      <c r="G223" s="15"/>
      <c r="H223" s="15"/>
      <c r="I223" s="15"/>
      <c r="J223" s="15"/>
    </row>
    <row r="224" spans="2:10" x14ac:dyDescent="0.35">
      <c r="B224" s="15"/>
      <c r="C224" s="15"/>
      <c r="D224" s="15"/>
      <c r="E224" s="15"/>
      <c r="F224" s="15"/>
      <c r="G224" s="15"/>
      <c r="H224" s="15"/>
      <c r="I224" s="15"/>
      <c r="J224" s="15"/>
    </row>
    <row r="225" spans="2:10" x14ac:dyDescent="0.35">
      <c r="B225" s="15"/>
      <c r="C225" s="15"/>
      <c r="D225" s="15"/>
      <c r="E225" s="15"/>
      <c r="F225" s="15"/>
      <c r="G225" s="15"/>
      <c r="H225" s="15"/>
      <c r="I225" s="15"/>
      <c r="J225" s="15"/>
    </row>
    <row r="226" spans="2:10" x14ac:dyDescent="0.35">
      <c r="B226" s="15"/>
      <c r="C226" s="15"/>
      <c r="D226" s="15"/>
      <c r="E226" s="15"/>
      <c r="F226" s="15"/>
      <c r="G226" s="15"/>
      <c r="H226" s="15"/>
      <c r="I226" s="15"/>
      <c r="J226" s="15"/>
    </row>
    <row r="227" spans="2:10" x14ac:dyDescent="0.35">
      <c r="B227" s="15"/>
      <c r="C227" s="15"/>
      <c r="D227" s="15"/>
      <c r="E227" s="15"/>
      <c r="F227" s="15"/>
      <c r="G227" s="15"/>
      <c r="H227" s="15"/>
      <c r="I227" s="15"/>
      <c r="J227" s="15"/>
    </row>
    <row r="228" spans="2:10" x14ac:dyDescent="0.35">
      <c r="B228" s="15"/>
      <c r="C228" s="15"/>
      <c r="D228" s="15"/>
      <c r="E228" s="15"/>
      <c r="F228" s="15"/>
      <c r="G228" s="15"/>
      <c r="H228" s="15"/>
      <c r="I228" s="15"/>
      <c r="J228" s="15"/>
    </row>
    <row r="229" spans="2:10" x14ac:dyDescent="0.35">
      <c r="B229" s="15"/>
      <c r="C229" s="15"/>
      <c r="D229" s="15"/>
      <c r="E229" s="15"/>
      <c r="F229" s="15"/>
      <c r="G229" s="15"/>
      <c r="H229" s="15"/>
      <c r="I229" s="15"/>
      <c r="J229" s="15"/>
    </row>
    <row r="230" spans="2:10" x14ac:dyDescent="0.35">
      <c r="B230" s="15"/>
      <c r="C230" s="15"/>
      <c r="D230" s="15"/>
      <c r="E230" s="15"/>
      <c r="F230" s="15"/>
      <c r="G230" s="15"/>
      <c r="H230" s="15"/>
      <c r="I230" s="15"/>
      <c r="J230" s="15"/>
    </row>
    <row r="231" spans="2:10" x14ac:dyDescent="0.35">
      <c r="B231" s="15"/>
      <c r="C231" s="15"/>
      <c r="D231" s="15"/>
      <c r="E231" s="15"/>
      <c r="F231" s="15"/>
      <c r="G231" s="15"/>
      <c r="H231" s="15"/>
      <c r="I231" s="15"/>
      <c r="J231" s="15"/>
    </row>
    <row r="232" spans="2:10" x14ac:dyDescent="0.35">
      <c r="B232" s="15"/>
      <c r="C232" s="15"/>
      <c r="D232" s="15"/>
      <c r="E232" s="15"/>
      <c r="F232" s="15"/>
      <c r="G232" s="15"/>
      <c r="H232" s="15"/>
      <c r="I232" s="15"/>
      <c r="J232" s="15"/>
    </row>
    <row r="233" spans="2:10" x14ac:dyDescent="0.35">
      <c r="B233" s="15"/>
      <c r="C233" s="15"/>
      <c r="D233" s="15"/>
      <c r="E233" s="15"/>
      <c r="F233" s="15"/>
      <c r="G233" s="15"/>
      <c r="H233" s="15"/>
      <c r="I233" s="15"/>
      <c r="J233" s="15"/>
    </row>
    <row r="234" spans="2:10" x14ac:dyDescent="0.35">
      <c r="B234" s="15"/>
      <c r="C234" s="15"/>
      <c r="D234" s="15"/>
      <c r="E234" s="15"/>
      <c r="F234" s="15"/>
      <c r="G234" s="15"/>
      <c r="H234" s="15"/>
      <c r="I234" s="15"/>
      <c r="J234" s="15"/>
    </row>
    <row r="235" spans="2:10" x14ac:dyDescent="0.35">
      <c r="B235" s="15"/>
      <c r="C235" s="15"/>
      <c r="D235" s="15"/>
      <c r="E235" s="15"/>
      <c r="F235" s="15"/>
      <c r="G235" s="15"/>
      <c r="H235" s="15"/>
      <c r="I235" s="15"/>
      <c r="J235" s="15"/>
    </row>
    <row r="236" spans="2:10" x14ac:dyDescent="0.35">
      <c r="B236" s="15"/>
      <c r="C236" s="15"/>
      <c r="D236" s="15"/>
      <c r="E236" s="15"/>
      <c r="F236" s="15"/>
      <c r="G236" s="15"/>
      <c r="H236" s="15"/>
      <c r="I236" s="15"/>
      <c r="J236" s="15"/>
    </row>
    <row r="237" spans="2:10" x14ac:dyDescent="0.35">
      <c r="B237" s="15"/>
      <c r="C237" s="15"/>
      <c r="D237" s="15"/>
      <c r="E237" s="15"/>
      <c r="F237" s="15"/>
      <c r="G237" s="15"/>
      <c r="H237" s="15"/>
      <c r="I237" s="15"/>
      <c r="J237" s="15"/>
    </row>
    <row r="238" spans="2:10" x14ac:dyDescent="0.35">
      <c r="B238" s="15"/>
      <c r="C238" s="15"/>
      <c r="D238" s="15"/>
      <c r="E238" s="15"/>
      <c r="F238" s="15"/>
      <c r="G238" s="15"/>
      <c r="H238" s="15"/>
      <c r="I238" s="15"/>
      <c r="J238" s="15"/>
    </row>
    <row r="239" spans="2:10" x14ac:dyDescent="0.35">
      <c r="B239" s="15"/>
      <c r="C239" s="15"/>
      <c r="D239" s="15"/>
      <c r="E239" s="15"/>
      <c r="F239" s="15"/>
      <c r="G239" s="15"/>
      <c r="H239" s="15"/>
      <c r="I239" s="15"/>
      <c r="J239" s="15"/>
    </row>
    <row r="240" spans="2:10" x14ac:dyDescent="0.35">
      <c r="B240" s="15"/>
      <c r="C240" s="15"/>
      <c r="D240" s="15"/>
      <c r="E240" s="15"/>
      <c r="F240" s="15"/>
      <c r="G240" s="15"/>
      <c r="H240" s="15"/>
      <c r="I240" s="15"/>
      <c r="J240" s="15"/>
    </row>
    <row r="241" spans="2:10" x14ac:dyDescent="0.35">
      <c r="B241" s="15"/>
      <c r="C241" s="15"/>
      <c r="D241" s="15"/>
      <c r="E241" s="15"/>
      <c r="F241" s="15"/>
      <c r="G241" s="15"/>
      <c r="H241" s="15"/>
      <c r="I241" s="15"/>
      <c r="J241" s="15"/>
    </row>
    <row r="242" spans="2:10" x14ac:dyDescent="0.35">
      <c r="B242" s="15"/>
      <c r="C242" s="15"/>
      <c r="D242" s="15"/>
      <c r="E242" s="15"/>
      <c r="F242" s="15"/>
      <c r="G242" s="15"/>
      <c r="H242" s="15"/>
      <c r="I242" s="15"/>
      <c r="J242" s="15"/>
    </row>
    <row r="243" spans="2:10" x14ac:dyDescent="0.35">
      <c r="B243" s="15"/>
      <c r="C243" s="15"/>
      <c r="D243" s="15"/>
      <c r="E243" s="15"/>
      <c r="F243" s="15"/>
      <c r="G243" s="15"/>
      <c r="H243" s="15"/>
      <c r="I243" s="15"/>
      <c r="J243" s="15"/>
    </row>
    <row r="244" spans="2:10" x14ac:dyDescent="0.35">
      <c r="B244" s="15"/>
      <c r="C244" s="15"/>
      <c r="D244" s="15"/>
      <c r="E244" s="15"/>
      <c r="F244" s="15"/>
      <c r="G244" s="15"/>
      <c r="H244" s="15"/>
      <c r="I244" s="15"/>
      <c r="J244" s="15"/>
    </row>
    <row r="245" spans="2:10" x14ac:dyDescent="0.35"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2:10" x14ac:dyDescent="0.35">
      <c r="B246" s="15"/>
      <c r="C246" s="15"/>
      <c r="D246" s="15"/>
      <c r="E246" s="15"/>
      <c r="F246" s="15"/>
      <c r="G246" s="15"/>
      <c r="H246" s="15"/>
      <c r="I246" s="15"/>
      <c r="J246" s="15"/>
    </row>
    <row r="247" spans="2:10" x14ac:dyDescent="0.35">
      <c r="B247" s="15"/>
      <c r="C247" s="15"/>
      <c r="D247" s="15"/>
      <c r="E247" s="15"/>
      <c r="F247" s="15"/>
      <c r="G247" s="15"/>
      <c r="H247" s="15"/>
      <c r="I247" s="15"/>
      <c r="J247" s="15"/>
    </row>
    <row r="248" spans="2:10" x14ac:dyDescent="0.35">
      <c r="B248" s="15"/>
      <c r="C248" s="15"/>
      <c r="D248" s="15"/>
      <c r="E248" s="15"/>
      <c r="F248" s="15"/>
      <c r="G248" s="15"/>
      <c r="H248" s="15"/>
      <c r="I248" s="15"/>
      <c r="J248" s="15"/>
    </row>
    <row r="249" spans="2:10" x14ac:dyDescent="0.35">
      <c r="B249" s="15"/>
      <c r="C249" s="15"/>
      <c r="D249" s="15"/>
      <c r="E249" s="15"/>
      <c r="F249" s="15"/>
      <c r="G249" s="15"/>
      <c r="H249" s="15"/>
      <c r="I249" s="15"/>
      <c r="J249" s="15"/>
    </row>
    <row r="250" spans="2:10" x14ac:dyDescent="0.35">
      <c r="B250" s="15"/>
      <c r="C250" s="15"/>
      <c r="D250" s="15"/>
      <c r="E250" s="15"/>
      <c r="F250" s="15"/>
      <c r="G250" s="15"/>
      <c r="H250" s="15"/>
      <c r="I250" s="15"/>
      <c r="J250" s="15"/>
    </row>
    <row r="251" spans="2:10" x14ac:dyDescent="0.35">
      <c r="B251" s="15"/>
      <c r="C251" s="15"/>
      <c r="D251" s="15"/>
      <c r="E251" s="15"/>
      <c r="F251" s="15"/>
      <c r="G251" s="15"/>
      <c r="H251" s="15"/>
      <c r="I251" s="15"/>
      <c r="J251" s="15"/>
    </row>
    <row r="252" spans="2:10" x14ac:dyDescent="0.35">
      <c r="B252" s="15"/>
      <c r="C252" s="15"/>
      <c r="D252" s="15"/>
      <c r="E252" s="15"/>
      <c r="F252" s="15"/>
      <c r="G252" s="15"/>
      <c r="H252" s="15"/>
      <c r="I252" s="15"/>
      <c r="J252" s="15"/>
    </row>
    <row r="253" spans="2:10" x14ac:dyDescent="0.35">
      <c r="B253" s="15"/>
      <c r="C253" s="15"/>
      <c r="D253" s="15"/>
      <c r="E253" s="15"/>
      <c r="F253" s="15"/>
      <c r="G253" s="15"/>
      <c r="H253" s="15"/>
      <c r="I253" s="15"/>
      <c r="J253" s="15"/>
    </row>
    <row r="254" spans="2:10" x14ac:dyDescent="0.35">
      <c r="B254" s="15"/>
      <c r="C254" s="15"/>
      <c r="D254" s="15"/>
      <c r="E254" s="15"/>
      <c r="F254" s="15"/>
      <c r="G254" s="15"/>
      <c r="H254" s="15"/>
      <c r="I254" s="15"/>
      <c r="J254" s="15"/>
    </row>
    <row r="255" spans="2:10" x14ac:dyDescent="0.35">
      <c r="B255" s="15"/>
      <c r="C255" s="15"/>
      <c r="D255" s="15"/>
      <c r="E255" s="15"/>
      <c r="F255" s="15"/>
      <c r="G255" s="15"/>
      <c r="H255" s="15"/>
      <c r="I255" s="15"/>
      <c r="J255" s="15"/>
    </row>
    <row r="256" spans="2:10" x14ac:dyDescent="0.35">
      <c r="B256" s="15"/>
      <c r="C256" s="15"/>
      <c r="D256" s="15"/>
      <c r="E256" s="15"/>
      <c r="F256" s="15"/>
      <c r="G256" s="15"/>
      <c r="H256" s="15"/>
      <c r="I256" s="15"/>
      <c r="J256" s="15"/>
    </row>
    <row r="257" spans="2:10" x14ac:dyDescent="0.35">
      <c r="B257" s="15"/>
      <c r="C257" s="15"/>
      <c r="D257" s="15"/>
      <c r="E257" s="15"/>
      <c r="F257" s="15"/>
      <c r="G257" s="15"/>
      <c r="H257" s="15"/>
      <c r="I257" s="15"/>
      <c r="J257" s="15"/>
    </row>
    <row r="258" spans="2:10" x14ac:dyDescent="0.35">
      <c r="B258" s="15"/>
      <c r="C258" s="15"/>
      <c r="D258" s="15"/>
      <c r="E258" s="15"/>
      <c r="F258" s="15"/>
      <c r="G258" s="15"/>
      <c r="H258" s="15"/>
      <c r="I258" s="15"/>
      <c r="J258" s="15"/>
    </row>
    <row r="259" spans="2:10" x14ac:dyDescent="0.35">
      <c r="B259" s="15"/>
      <c r="C259" s="15"/>
      <c r="D259" s="15"/>
      <c r="E259" s="15"/>
      <c r="F259" s="15"/>
      <c r="G259" s="15"/>
      <c r="H259" s="15"/>
      <c r="I259" s="15"/>
      <c r="J259" s="15"/>
    </row>
    <row r="260" spans="2:10" x14ac:dyDescent="0.35">
      <c r="B260" s="15"/>
      <c r="C260" s="15"/>
      <c r="D260" s="15"/>
      <c r="E260" s="15"/>
      <c r="F260" s="15"/>
      <c r="G260" s="15"/>
      <c r="H260" s="15"/>
      <c r="I260" s="15"/>
      <c r="J260" s="15"/>
    </row>
    <row r="261" spans="2:10" x14ac:dyDescent="0.35">
      <c r="B261" s="15"/>
      <c r="C261" s="15"/>
      <c r="D261" s="15"/>
      <c r="E261" s="15"/>
      <c r="F261" s="15"/>
      <c r="G261" s="15"/>
      <c r="H261" s="15"/>
      <c r="I261" s="15"/>
      <c r="J261" s="15"/>
    </row>
    <row r="262" spans="2:10" x14ac:dyDescent="0.35">
      <c r="B262" s="15"/>
      <c r="C262" s="15"/>
      <c r="D262" s="15"/>
      <c r="E262" s="15"/>
      <c r="F262" s="15"/>
      <c r="G262" s="15"/>
      <c r="H262" s="15"/>
      <c r="I262" s="15"/>
      <c r="J262" s="15"/>
    </row>
    <row r="263" spans="2:10" x14ac:dyDescent="0.35">
      <c r="B263" s="15"/>
      <c r="C263" s="15"/>
      <c r="D263" s="15"/>
      <c r="E263" s="15"/>
      <c r="F263" s="15"/>
      <c r="G263" s="15"/>
      <c r="H263" s="15"/>
      <c r="I263" s="15"/>
      <c r="J263" s="15"/>
    </row>
    <row r="264" spans="2:10" x14ac:dyDescent="0.35">
      <c r="B264" s="15"/>
      <c r="C264" s="15"/>
      <c r="D264" s="15"/>
      <c r="E264" s="15"/>
      <c r="F264" s="15"/>
      <c r="G264" s="15"/>
      <c r="H264" s="15"/>
      <c r="I264" s="15"/>
      <c r="J264" s="15"/>
    </row>
    <row r="265" spans="2:10" x14ac:dyDescent="0.35">
      <c r="B265" s="15"/>
      <c r="C265" s="15"/>
      <c r="D265" s="15"/>
      <c r="E265" s="15"/>
      <c r="F265" s="15"/>
      <c r="G265" s="15"/>
      <c r="H265" s="15"/>
      <c r="I265" s="15"/>
      <c r="J265" s="15"/>
    </row>
    <row r="266" spans="2:10" x14ac:dyDescent="0.35">
      <c r="B266" s="15"/>
      <c r="C266" s="15"/>
      <c r="D266" s="15"/>
      <c r="E266" s="15"/>
      <c r="F266" s="15"/>
      <c r="G266" s="15"/>
      <c r="H266" s="15"/>
      <c r="I266" s="15"/>
      <c r="J266" s="15"/>
    </row>
    <row r="267" spans="2:10" x14ac:dyDescent="0.35">
      <c r="B267" s="15"/>
      <c r="C267" s="15"/>
      <c r="D267" s="15"/>
      <c r="E267" s="15"/>
      <c r="F267" s="15"/>
      <c r="G267" s="15"/>
      <c r="H267" s="15"/>
      <c r="I267" s="15"/>
      <c r="J267" s="15"/>
    </row>
    <row r="268" spans="2:10" x14ac:dyDescent="0.35">
      <c r="B268" s="15"/>
      <c r="C268" s="15"/>
      <c r="D268" s="15"/>
      <c r="E268" s="15"/>
      <c r="F268" s="15"/>
      <c r="G268" s="15"/>
      <c r="H268" s="15"/>
      <c r="I268" s="15"/>
      <c r="J268" s="15"/>
    </row>
    <row r="269" spans="2:10" x14ac:dyDescent="0.35">
      <c r="B269" s="15"/>
      <c r="C269" s="15"/>
      <c r="D269" s="15"/>
      <c r="E269" s="15"/>
      <c r="F269" s="15"/>
      <c r="G269" s="15"/>
      <c r="H269" s="15"/>
      <c r="I269" s="15"/>
      <c r="J269" s="15"/>
    </row>
    <row r="270" spans="2:10" x14ac:dyDescent="0.35">
      <c r="B270" s="15"/>
      <c r="C270" s="15"/>
      <c r="D270" s="15"/>
      <c r="E270" s="15"/>
      <c r="F270" s="15"/>
      <c r="G270" s="15"/>
      <c r="H270" s="15"/>
      <c r="I270" s="15"/>
      <c r="J270" s="15"/>
    </row>
    <row r="271" spans="2:10" x14ac:dyDescent="0.35">
      <c r="B271" s="15"/>
      <c r="C271" s="15"/>
      <c r="D271" s="15"/>
      <c r="E271" s="15"/>
      <c r="F271" s="15"/>
      <c r="G271" s="15"/>
      <c r="H271" s="15"/>
      <c r="I271" s="15"/>
      <c r="J271" s="15"/>
    </row>
    <row r="272" spans="2:10" x14ac:dyDescent="0.35">
      <c r="B272" s="15"/>
      <c r="C272" s="15"/>
      <c r="D272" s="15"/>
      <c r="E272" s="15"/>
      <c r="F272" s="15"/>
      <c r="G272" s="15"/>
      <c r="H272" s="15"/>
      <c r="I272" s="15"/>
      <c r="J272" s="15"/>
    </row>
    <row r="273" spans="2:10" x14ac:dyDescent="0.35">
      <c r="B273" s="15"/>
      <c r="C273" s="15"/>
      <c r="D273" s="15"/>
      <c r="E273" s="15"/>
      <c r="F273" s="15"/>
      <c r="G273" s="15"/>
      <c r="H273" s="15"/>
      <c r="I273" s="15"/>
      <c r="J273" s="15"/>
    </row>
    <row r="274" spans="2:10" x14ac:dyDescent="0.35">
      <c r="B274" s="15"/>
      <c r="C274" s="15"/>
      <c r="D274" s="15"/>
      <c r="E274" s="15"/>
      <c r="F274" s="15"/>
      <c r="G274" s="15"/>
      <c r="H274" s="15"/>
      <c r="I274" s="15"/>
      <c r="J274" s="15"/>
    </row>
    <row r="275" spans="2:10" x14ac:dyDescent="0.35">
      <c r="B275" s="15"/>
      <c r="C275" s="15"/>
      <c r="D275" s="15"/>
      <c r="E275" s="15"/>
      <c r="F275" s="15"/>
      <c r="G275" s="15"/>
      <c r="H275" s="15"/>
      <c r="I275" s="15"/>
      <c r="J275" s="15"/>
    </row>
    <row r="276" spans="2:10" x14ac:dyDescent="0.35">
      <c r="B276" s="15"/>
      <c r="C276" s="15"/>
      <c r="D276" s="15"/>
      <c r="E276" s="15"/>
      <c r="F276" s="15"/>
      <c r="G276" s="15"/>
      <c r="H276" s="15"/>
      <c r="I276" s="15"/>
      <c r="J276" s="15"/>
    </row>
    <row r="277" spans="2:10" x14ac:dyDescent="0.35">
      <c r="B277" s="15"/>
      <c r="C277" s="15"/>
      <c r="D277" s="15"/>
      <c r="E277" s="15"/>
      <c r="F277" s="15"/>
      <c r="G277" s="15"/>
      <c r="H277" s="15"/>
      <c r="I277" s="15"/>
      <c r="J277" s="15"/>
    </row>
    <row r="278" spans="2:10" x14ac:dyDescent="0.35">
      <c r="B278" s="15"/>
      <c r="C278" s="15"/>
      <c r="D278" s="15"/>
      <c r="E278" s="15"/>
      <c r="F278" s="15"/>
      <c r="G278" s="15"/>
      <c r="H278" s="15"/>
      <c r="I278" s="15"/>
      <c r="J278" s="15"/>
    </row>
    <row r="279" spans="2:10" x14ac:dyDescent="0.35">
      <c r="B279" s="15"/>
      <c r="C279" s="15"/>
      <c r="D279" s="15"/>
      <c r="E279" s="15"/>
      <c r="F279" s="15"/>
      <c r="G279" s="15"/>
      <c r="H279" s="15"/>
      <c r="I279" s="15"/>
      <c r="J279" s="15"/>
    </row>
    <row r="280" spans="2:10" x14ac:dyDescent="0.35">
      <c r="B280" s="15"/>
      <c r="C280" s="15"/>
      <c r="D280" s="15"/>
      <c r="E280" s="15"/>
      <c r="F280" s="15"/>
      <c r="G280" s="15"/>
      <c r="H280" s="15"/>
      <c r="I280" s="15"/>
      <c r="J280" s="15"/>
    </row>
    <row r="281" spans="2:10" x14ac:dyDescent="0.35">
      <c r="B281" s="15"/>
      <c r="C281" s="15"/>
      <c r="D281" s="15"/>
      <c r="E281" s="15"/>
      <c r="F281" s="15"/>
      <c r="G281" s="15"/>
      <c r="H281" s="15"/>
      <c r="I281" s="15"/>
      <c r="J281" s="15"/>
    </row>
    <row r="282" spans="2:10" x14ac:dyDescent="0.35">
      <c r="B282" s="15"/>
      <c r="C282" s="15"/>
      <c r="D282" s="15"/>
      <c r="E282" s="15"/>
      <c r="F282" s="15"/>
      <c r="G282" s="15"/>
      <c r="H282" s="15"/>
      <c r="I282" s="15"/>
      <c r="J282" s="15"/>
    </row>
    <row r="283" spans="2:10" x14ac:dyDescent="0.35">
      <c r="B283" s="15"/>
      <c r="C283" s="15"/>
      <c r="D283" s="15"/>
      <c r="E283" s="15"/>
      <c r="F283" s="15"/>
      <c r="G283" s="15"/>
      <c r="H283" s="15"/>
      <c r="I283" s="15"/>
      <c r="J283" s="15"/>
    </row>
    <row r="284" spans="2:10" x14ac:dyDescent="0.35">
      <c r="B284" s="15"/>
      <c r="C284" s="15"/>
      <c r="D284" s="15"/>
      <c r="E284" s="15"/>
      <c r="F284" s="15"/>
      <c r="G284" s="15"/>
      <c r="H284" s="15"/>
      <c r="I284" s="15"/>
      <c r="J284" s="15"/>
    </row>
    <row r="285" spans="2:10" x14ac:dyDescent="0.35">
      <c r="B285" s="15"/>
      <c r="C285" s="15"/>
      <c r="D285" s="15"/>
      <c r="E285" s="15"/>
      <c r="F285" s="15"/>
      <c r="G285" s="15"/>
      <c r="H285" s="15"/>
      <c r="I285" s="15"/>
      <c r="J285" s="15"/>
    </row>
    <row r="286" spans="2:10" x14ac:dyDescent="0.35">
      <c r="B286" s="15"/>
      <c r="C286" s="15"/>
      <c r="D286" s="15"/>
      <c r="E286" s="15"/>
      <c r="F286" s="15"/>
      <c r="G286" s="15"/>
      <c r="H286" s="15"/>
      <c r="I286" s="15"/>
      <c r="J286" s="15"/>
    </row>
    <row r="287" spans="2:10" x14ac:dyDescent="0.35">
      <c r="B287" s="15"/>
      <c r="C287" s="15"/>
      <c r="D287" s="15"/>
      <c r="E287" s="15"/>
      <c r="F287" s="15"/>
      <c r="G287" s="15"/>
      <c r="H287" s="15"/>
      <c r="I287" s="15"/>
      <c r="J287" s="15"/>
    </row>
    <row r="288" spans="2:10" x14ac:dyDescent="0.35">
      <c r="B288" s="15"/>
      <c r="C288" s="15"/>
      <c r="D288" s="15"/>
      <c r="E288" s="15"/>
      <c r="F288" s="15"/>
      <c r="G288" s="15"/>
      <c r="H288" s="15"/>
      <c r="I288" s="15"/>
      <c r="J288" s="15"/>
    </row>
    <row r="289" spans="2:10" x14ac:dyDescent="0.35">
      <c r="B289" s="15"/>
      <c r="C289" s="15"/>
      <c r="D289" s="15"/>
      <c r="E289" s="15"/>
      <c r="F289" s="15"/>
      <c r="G289" s="15"/>
      <c r="H289" s="15"/>
      <c r="I289" s="15"/>
      <c r="J289" s="15"/>
    </row>
    <row r="290" spans="2:10" x14ac:dyDescent="0.35">
      <c r="B290" s="15"/>
      <c r="C290" s="15"/>
      <c r="D290" s="15"/>
      <c r="E290" s="15"/>
      <c r="F290" s="15"/>
      <c r="G290" s="15"/>
      <c r="H290" s="15"/>
      <c r="I290" s="15"/>
      <c r="J290" s="15"/>
    </row>
    <row r="291" spans="2:10" x14ac:dyDescent="0.35">
      <c r="B291" s="15"/>
      <c r="C291" s="15"/>
      <c r="D291" s="15"/>
      <c r="E291" s="15"/>
      <c r="F291" s="15"/>
      <c r="G291" s="15"/>
      <c r="H291" s="15"/>
      <c r="I291" s="15"/>
      <c r="J291" s="15"/>
    </row>
    <row r="292" spans="2:10" x14ac:dyDescent="0.35">
      <c r="B292" s="15"/>
      <c r="C292" s="15"/>
      <c r="D292" s="15"/>
      <c r="E292" s="15"/>
      <c r="F292" s="15"/>
      <c r="G292" s="15"/>
      <c r="H292" s="15"/>
      <c r="I292" s="15"/>
      <c r="J292" s="15"/>
    </row>
    <row r="293" spans="2:10" x14ac:dyDescent="0.35">
      <c r="B293" s="15"/>
      <c r="C293" s="15"/>
      <c r="D293" s="15"/>
      <c r="E293" s="15"/>
      <c r="F293" s="15"/>
      <c r="G293" s="15"/>
      <c r="H293" s="15"/>
      <c r="I293" s="15"/>
      <c r="J293" s="15"/>
    </row>
    <row r="294" spans="2:10" x14ac:dyDescent="0.35">
      <c r="B294" s="15"/>
      <c r="C294" s="15"/>
      <c r="D294" s="15"/>
      <c r="E294" s="15"/>
      <c r="F294" s="15"/>
      <c r="G294" s="15"/>
      <c r="H294" s="15"/>
      <c r="I294" s="15"/>
      <c r="J294" s="15"/>
    </row>
    <row r="295" spans="2:10" x14ac:dyDescent="0.35">
      <c r="B295" s="15"/>
      <c r="C295" s="15"/>
      <c r="D295" s="15"/>
      <c r="E295" s="15"/>
      <c r="F295" s="15"/>
      <c r="G295" s="15"/>
      <c r="H295" s="15"/>
      <c r="I295" s="15"/>
      <c r="J295" s="15"/>
    </row>
    <row r="296" spans="2:10" x14ac:dyDescent="0.35">
      <c r="B296" s="15"/>
      <c r="C296" s="15"/>
      <c r="D296" s="15"/>
      <c r="E296" s="15"/>
      <c r="F296" s="15"/>
      <c r="G296" s="15"/>
      <c r="H296" s="15"/>
      <c r="I296" s="15"/>
      <c r="J296" s="15"/>
    </row>
    <row r="297" spans="2:10" x14ac:dyDescent="0.35">
      <c r="B297" s="15"/>
      <c r="C297" s="15"/>
      <c r="D297" s="15"/>
      <c r="E297" s="15"/>
      <c r="F297" s="15"/>
      <c r="G297" s="15"/>
      <c r="H297" s="15"/>
      <c r="I297" s="15"/>
      <c r="J297" s="15"/>
    </row>
    <row r="298" spans="2:10" x14ac:dyDescent="0.35">
      <c r="B298" s="15"/>
      <c r="C298" s="15"/>
      <c r="D298" s="15"/>
      <c r="E298" s="15"/>
      <c r="F298" s="15"/>
      <c r="G298" s="15"/>
      <c r="H298" s="15"/>
      <c r="I298" s="15"/>
      <c r="J298" s="15"/>
    </row>
    <row r="299" spans="2:10" x14ac:dyDescent="0.35">
      <c r="B299" s="15"/>
      <c r="C299" s="15"/>
      <c r="D299" s="15"/>
      <c r="E299" s="15"/>
      <c r="F299" s="15"/>
      <c r="G299" s="15"/>
      <c r="H299" s="15"/>
      <c r="I299" s="15"/>
      <c r="J299" s="15"/>
    </row>
    <row r="300" spans="2:10" x14ac:dyDescent="0.35">
      <c r="B300" s="15"/>
      <c r="C300" s="15"/>
      <c r="D300" s="15"/>
      <c r="E300" s="15"/>
      <c r="F300" s="15"/>
      <c r="G300" s="15"/>
      <c r="H300" s="15"/>
      <c r="I300" s="15"/>
      <c r="J300" s="15"/>
    </row>
    <row r="301" spans="2:10" x14ac:dyDescent="0.35">
      <c r="B301" s="15"/>
      <c r="C301" s="15"/>
      <c r="D301" s="15"/>
      <c r="E301" s="15"/>
      <c r="F301" s="15"/>
      <c r="G301" s="15"/>
      <c r="H301" s="15"/>
      <c r="I301" s="15"/>
      <c r="J301" s="15"/>
    </row>
    <row r="302" spans="2:10" x14ac:dyDescent="0.35">
      <c r="B302" s="15"/>
      <c r="C302" s="15"/>
      <c r="D302" s="15"/>
      <c r="E302" s="15"/>
      <c r="F302" s="15"/>
      <c r="G302" s="15"/>
      <c r="H302" s="15"/>
      <c r="I302" s="15"/>
      <c r="J302" s="15"/>
    </row>
    <row r="303" spans="2:10" x14ac:dyDescent="0.35">
      <c r="B303" s="15"/>
      <c r="C303" s="15"/>
      <c r="D303" s="15"/>
      <c r="E303" s="15"/>
      <c r="F303" s="15"/>
      <c r="G303" s="15"/>
      <c r="H303" s="15"/>
      <c r="I303" s="15"/>
      <c r="J303" s="15"/>
    </row>
    <row r="304" spans="2:10" x14ac:dyDescent="0.35">
      <c r="B304" s="15"/>
      <c r="C304" s="15"/>
      <c r="D304" s="15"/>
      <c r="E304" s="15"/>
      <c r="F304" s="15"/>
      <c r="G304" s="15"/>
      <c r="H304" s="15"/>
      <c r="I304" s="15"/>
      <c r="J304" s="15"/>
    </row>
    <row r="305" spans="2:10" x14ac:dyDescent="0.35">
      <c r="B305" s="15"/>
      <c r="C305" s="15"/>
      <c r="D305" s="15"/>
      <c r="E305" s="15"/>
      <c r="F305" s="15"/>
      <c r="G305" s="15"/>
      <c r="H305" s="15"/>
      <c r="I305" s="15"/>
      <c r="J305" s="15"/>
    </row>
    <row r="306" spans="2:10" x14ac:dyDescent="0.35">
      <c r="B306" s="15"/>
      <c r="C306" s="15"/>
      <c r="D306" s="15"/>
      <c r="E306" s="15"/>
      <c r="F306" s="15"/>
      <c r="G306" s="15"/>
      <c r="H306" s="15"/>
      <c r="I306" s="15"/>
      <c r="J306" s="15"/>
    </row>
    <row r="307" spans="2:10" x14ac:dyDescent="0.35">
      <c r="B307" s="15"/>
      <c r="C307" s="15"/>
      <c r="D307" s="15"/>
      <c r="E307" s="15"/>
      <c r="F307" s="15"/>
      <c r="G307" s="15"/>
      <c r="H307" s="15"/>
      <c r="I307" s="15"/>
      <c r="J307" s="15"/>
    </row>
    <row r="308" spans="2:10" x14ac:dyDescent="0.35">
      <c r="B308" s="15"/>
      <c r="C308" s="15"/>
      <c r="D308" s="15"/>
      <c r="E308" s="15"/>
      <c r="F308" s="15"/>
      <c r="G308" s="15"/>
      <c r="H308" s="15"/>
      <c r="I308" s="15"/>
      <c r="J308" s="15"/>
    </row>
    <row r="309" spans="2:10" x14ac:dyDescent="0.35">
      <c r="B309" s="15"/>
      <c r="C309" s="15"/>
      <c r="D309" s="15"/>
      <c r="E309" s="15"/>
      <c r="F309" s="15"/>
      <c r="G309" s="15"/>
      <c r="H309" s="15"/>
      <c r="I309" s="15"/>
      <c r="J309" s="15"/>
    </row>
    <row r="310" spans="2:10" x14ac:dyDescent="0.35">
      <c r="B310" s="15"/>
      <c r="C310" s="15"/>
      <c r="D310" s="15"/>
      <c r="E310" s="15"/>
      <c r="F310" s="15"/>
      <c r="G310" s="15"/>
      <c r="H310" s="15"/>
      <c r="I310" s="15"/>
      <c r="J310" s="15"/>
    </row>
    <row r="311" spans="2:10" x14ac:dyDescent="0.35">
      <c r="B311" s="15"/>
      <c r="C311" s="15"/>
      <c r="D311" s="15"/>
      <c r="E311" s="15"/>
      <c r="F311" s="15"/>
      <c r="G311" s="15"/>
      <c r="H311" s="15"/>
      <c r="I311" s="15"/>
      <c r="J311" s="15"/>
    </row>
    <row r="312" spans="2:10" x14ac:dyDescent="0.35">
      <c r="B312" s="15"/>
      <c r="C312" s="15"/>
      <c r="D312" s="15"/>
      <c r="E312" s="15"/>
      <c r="F312" s="15"/>
      <c r="G312" s="15"/>
      <c r="H312" s="15"/>
      <c r="I312" s="15"/>
      <c r="J312" s="15"/>
    </row>
    <row r="313" spans="2:10" x14ac:dyDescent="0.35">
      <c r="B313" s="15"/>
      <c r="C313" s="15"/>
      <c r="D313" s="15"/>
      <c r="E313" s="15"/>
      <c r="F313" s="15"/>
      <c r="G313" s="15"/>
      <c r="H313" s="15"/>
      <c r="I313" s="15"/>
      <c r="J313" s="15"/>
    </row>
    <row r="314" spans="2:10" x14ac:dyDescent="0.35">
      <c r="B314" s="15"/>
      <c r="C314" s="15"/>
      <c r="D314" s="15"/>
      <c r="E314" s="15"/>
      <c r="F314" s="15"/>
      <c r="G314" s="15"/>
      <c r="H314" s="15"/>
      <c r="I314" s="15"/>
      <c r="J314" s="15"/>
    </row>
    <row r="315" spans="2:10" x14ac:dyDescent="0.35">
      <c r="B315" s="15"/>
      <c r="C315" s="15"/>
      <c r="D315" s="15"/>
      <c r="E315" s="15"/>
      <c r="F315" s="15"/>
      <c r="G315" s="15"/>
      <c r="H315" s="15"/>
      <c r="I315" s="15"/>
      <c r="J315" s="15"/>
    </row>
    <row r="316" spans="2:10" x14ac:dyDescent="0.35">
      <c r="B316" s="15"/>
      <c r="C316" s="15"/>
      <c r="D316" s="15"/>
      <c r="E316" s="15"/>
      <c r="F316" s="15"/>
      <c r="G316" s="15"/>
      <c r="H316" s="15"/>
      <c r="I316" s="15"/>
      <c r="J316" s="15"/>
    </row>
    <row r="317" spans="2:10" x14ac:dyDescent="0.35">
      <c r="B317" s="15"/>
      <c r="C317" s="15"/>
      <c r="D317" s="15"/>
      <c r="E317" s="15"/>
      <c r="F317" s="15"/>
      <c r="G317" s="15"/>
      <c r="H317" s="15"/>
      <c r="I317" s="15"/>
      <c r="J317" s="15"/>
    </row>
    <row r="318" spans="2:10" x14ac:dyDescent="0.35">
      <c r="B318" s="15"/>
      <c r="C318" s="15"/>
      <c r="D318" s="15"/>
      <c r="E318" s="15"/>
      <c r="F318" s="15"/>
      <c r="G318" s="15"/>
      <c r="H318" s="15"/>
      <c r="I318" s="15"/>
      <c r="J318" s="15"/>
    </row>
    <row r="319" spans="2:10" x14ac:dyDescent="0.35">
      <c r="B319" s="15"/>
      <c r="C319" s="15"/>
      <c r="D319" s="15"/>
      <c r="E319" s="15"/>
      <c r="F319" s="15"/>
      <c r="G319" s="15"/>
      <c r="H319" s="15"/>
      <c r="I319" s="15"/>
      <c r="J319" s="15"/>
    </row>
    <row r="320" spans="2:10" x14ac:dyDescent="0.35">
      <c r="B320" s="15"/>
      <c r="C320" s="15"/>
      <c r="D320" s="15"/>
      <c r="E320" s="15"/>
      <c r="F320" s="15"/>
      <c r="G320" s="15"/>
      <c r="H320" s="15"/>
      <c r="I320" s="15"/>
      <c r="J320" s="15"/>
    </row>
    <row r="321" spans="2:10" x14ac:dyDescent="0.35">
      <c r="B321" s="15"/>
      <c r="C321" s="15"/>
      <c r="D321" s="15"/>
      <c r="E321" s="15"/>
      <c r="F321" s="15"/>
      <c r="G321" s="15"/>
      <c r="H321" s="15"/>
      <c r="I321" s="15"/>
      <c r="J321" s="15"/>
    </row>
    <row r="322" spans="2:10" x14ac:dyDescent="0.35">
      <c r="B322" s="15"/>
      <c r="C322" s="15"/>
      <c r="D322" s="15"/>
      <c r="E322" s="15"/>
      <c r="F322" s="15"/>
      <c r="G322" s="15"/>
      <c r="H322" s="15"/>
      <c r="I322" s="15"/>
      <c r="J322" s="15"/>
    </row>
    <row r="323" spans="2:10" x14ac:dyDescent="0.35">
      <c r="B323" s="15"/>
      <c r="C323" s="15"/>
      <c r="D323" s="15"/>
      <c r="E323" s="15"/>
      <c r="F323" s="15"/>
      <c r="G323" s="15"/>
      <c r="H323" s="15"/>
      <c r="I323" s="15"/>
      <c r="J323" s="15"/>
    </row>
    <row r="324" spans="2:10" x14ac:dyDescent="0.35">
      <c r="B324" s="15"/>
      <c r="C324" s="15"/>
      <c r="D324" s="15"/>
      <c r="E324" s="15"/>
      <c r="F324" s="15"/>
      <c r="G324" s="15"/>
      <c r="H324" s="15"/>
      <c r="I324" s="15"/>
      <c r="J324" s="15"/>
    </row>
    <row r="325" spans="2:10" x14ac:dyDescent="0.35">
      <c r="B325" s="15"/>
      <c r="C325" s="15"/>
      <c r="D325" s="15"/>
      <c r="E325" s="15"/>
      <c r="F325" s="15"/>
      <c r="G325" s="15"/>
      <c r="H325" s="15"/>
      <c r="I325" s="15"/>
      <c r="J325" s="15"/>
    </row>
    <row r="326" spans="2:10" x14ac:dyDescent="0.35">
      <c r="B326" s="15"/>
      <c r="C326" s="15"/>
      <c r="D326" s="15"/>
      <c r="E326" s="15"/>
      <c r="F326" s="15"/>
      <c r="G326" s="15"/>
      <c r="H326" s="15"/>
      <c r="I326" s="15"/>
      <c r="J326" s="15"/>
    </row>
    <row r="327" spans="2:10" x14ac:dyDescent="0.35">
      <c r="B327" s="15"/>
      <c r="C327" s="15"/>
      <c r="D327" s="15"/>
      <c r="E327" s="15"/>
      <c r="F327" s="15"/>
      <c r="G327" s="15"/>
      <c r="H327" s="15"/>
      <c r="I327" s="15"/>
      <c r="J327" s="15"/>
    </row>
    <row r="328" spans="2:10" x14ac:dyDescent="0.35">
      <c r="B328" s="15"/>
      <c r="C328" s="15"/>
      <c r="D328" s="15"/>
      <c r="E328" s="15"/>
      <c r="F328" s="15"/>
      <c r="G328" s="15"/>
      <c r="H328" s="15"/>
      <c r="I328" s="15"/>
      <c r="J328" s="15"/>
    </row>
    <row r="329" spans="2:10" x14ac:dyDescent="0.35">
      <c r="B329" s="15"/>
      <c r="C329" s="15"/>
      <c r="D329" s="15"/>
      <c r="E329" s="15"/>
      <c r="F329" s="15"/>
      <c r="G329" s="15"/>
      <c r="H329" s="15"/>
      <c r="I329" s="15"/>
      <c r="J329" s="15"/>
    </row>
    <row r="330" spans="2:10" x14ac:dyDescent="0.35">
      <c r="B330" s="15"/>
      <c r="C330" s="15"/>
      <c r="D330" s="15"/>
      <c r="E330" s="15"/>
      <c r="F330" s="15"/>
      <c r="G330" s="15"/>
      <c r="H330" s="15"/>
      <c r="I330" s="15"/>
      <c r="J330" s="15"/>
    </row>
    <row r="331" spans="2:10" x14ac:dyDescent="0.35">
      <c r="B331" s="15"/>
      <c r="C331" s="15"/>
      <c r="D331" s="15"/>
      <c r="E331" s="15"/>
      <c r="F331" s="15"/>
      <c r="G331" s="15"/>
      <c r="H331" s="15"/>
      <c r="I331" s="15"/>
      <c r="J331" s="15"/>
    </row>
    <row r="332" spans="2:10" x14ac:dyDescent="0.35">
      <c r="B332" s="15"/>
      <c r="C332" s="15"/>
      <c r="D332" s="15"/>
      <c r="E332" s="15"/>
      <c r="F332" s="15"/>
      <c r="G332" s="15"/>
      <c r="H332" s="15"/>
      <c r="I332" s="15"/>
      <c r="J332" s="15"/>
    </row>
    <row r="333" spans="2:10" x14ac:dyDescent="0.35">
      <c r="B333" s="15"/>
      <c r="C333" s="15"/>
      <c r="D333" s="15"/>
      <c r="E333" s="15"/>
      <c r="F333" s="15"/>
      <c r="G333" s="15"/>
      <c r="H333" s="15"/>
      <c r="I333" s="15"/>
      <c r="J333" s="15"/>
    </row>
    <row r="334" spans="2:10" x14ac:dyDescent="0.35">
      <c r="B334" s="15"/>
      <c r="C334" s="15"/>
      <c r="D334" s="15"/>
      <c r="E334" s="15"/>
      <c r="F334" s="15"/>
      <c r="G334" s="15"/>
      <c r="H334" s="15"/>
      <c r="I334" s="15"/>
      <c r="J334" s="15"/>
    </row>
    <row r="335" spans="2:10" x14ac:dyDescent="0.35">
      <c r="B335" s="15"/>
      <c r="C335" s="15"/>
      <c r="D335" s="15"/>
      <c r="E335" s="15"/>
      <c r="F335" s="15"/>
      <c r="G335" s="15"/>
      <c r="H335" s="15"/>
      <c r="I335" s="15"/>
      <c r="J335" s="15"/>
    </row>
    <row r="336" spans="2:10" x14ac:dyDescent="0.35">
      <c r="B336" s="15"/>
      <c r="C336" s="15"/>
      <c r="D336" s="15"/>
      <c r="E336" s="15"/>
      <c r="F336" s="15"/>
      <c r="G336" s="15"/>
      <c r="H336" s="15"/>
      <c r="I336" s="15"/>
      <c r="J336" s="15"/>
    </row>
    <row r="337" spans="2:10" x14ac:dyDescent="0.35">
      <c r="B337" s="15"/>
      <c r="C337" s="15"/>
      <c r="D337" s="15"/>
      <c r="E337" s="15"/>
      <c r="F337" s="15"/>
      <c r="G337" s="15"/>
      <c r="H337" s="15"/>
      <c r="I337" s="15"/>
      <c r="J337" s="15"/>
    </row>
    <row r="338" spans="2:10" x14ac:dyDescent="0.35">
      <c r="B338" s="15"/>
      <c r="C338" s="15"/>
      <c r="D338" s="15"/>
      <c r="E338" s="15"/>
      <c r="F338" s="15"/>
      <c r="G338" s="15"/>
      <c r="H338" s="15"/>
      <c r="I338" s="15"/>
      <c r="J338" s="15"/>
    </row>
    <row r="339" spans="2:10" x14ac:dyDescent="0.35">
      <c r="B339" s="15"/>
      <c r="C339" s="15"/>
      <c r="D339" s="15"/>
      <c r="E339" s="15"/>
      <c r="F339" s="15"/>
      <c r="G339" s="15"/>
      <c r="H339" s="15"/>
      <c r="I339" s="15"/>
      <c r="J339" s="15"/>
    </row>
    <row r="340" spans="2:10" x14ac:dyDescent="0.35">
      <c r="B340" s="15"/>
      <c r="C340" s="15"/>
      <c r="D340" s="15"/>
      <c r="E340" s="15"/>
      <c r="F340" s="15"/>
      <c r="G340" s="15"/>
      <c r="H340" s="15"/>
      <c r="I340" s="15"/>
      <c r="J340" s="15"/>
    </row>
    <row r="341" spans="2:10" x14ac:dyDescent="0.35">
      <c r="B341" s="15"/>
      <c r="C341" s="15"/>
      <c r="D341" s="15"/>
      <c r="E341" s="15"/>
      <c r="F341" s="15"/>
      <c r="G341" s="15"/>
      <c r="H341" s="15"/>
      <c r="I341" s="15"/>
      <c r="J341" s="15"/>
    </row>
    <row r="342" spans="2:10" x14ac:dyDescent="0.35">
      <c r="B342" s="15"/>
      <c r="C342" s="15"/>
      <c r="D342" s="15"/>
      <c r="E342" s="15"/>
      <c r="F342" s="15"/>
      <c r="G342" s="15"/>
      <c r="H342" s="15"/>
      <c r="I342" s="15"/>
      <c r="J342" s="15"/>
    </row>
    <row r="343" spans="2:10" x14ac:dyDescent="0.35">
      <c r="B343" s="15"/>
      <c r="C343" s="15"/>
      <c r="D343" s="15"/>
      <c r="E343" s="15"/>
      <c r="F343" s="15"/>
      <c r="G343" s="15"/>
      <c r="H343" s="15"/>
      <c r="I343" s="15"/>
      <c r="J343" s="15"/>
    </row>
    <row r="344" spans="2:10" x14ac:dyDescent="0.35">
      <c r="B344" s="15"/>
      <c r="C344" s="15"/>
      <c r="D344" s="15"/>
      <c r="E344" s="15"/>
      <c r="F344" s="15"/>
      <c r="G344" s="15"/>
      <c r="H344" s="15"/>
      <c r="I344" s="15"/>
      <c r="J344" s="15"/>
    </row>
    <row r="345" spans="2:10" x14ac:dyDescent="0.35">
      <c r="B345" s="15"/>
      <c r="C345" s="15"/>
      <c r="D345" s="15"/>
      <c r="E345" s="15"/>
      <c r="F345" s="15"/>
      <c r="G345" s="15"/>
      <c r="H345" s="15"/>
      <c r="I345" s="15"/>
      <c r="J345" s="15"/>
    </row>
    <row r="346" spans="2:10" x14ac:dyDescent="0.35">
      <c r="B346" s="15"/>
      <c r="C346" s="15"/>
      <c r="D346" s="15"/>
      <c r="E346" s="15"/>
      <c r="F346" s="15"/>
      <c r="G346" s="15"/>
      <c r="H346" s="15"/>
      <c r="I346" s="15"/>
      <c r="J346" s="15"/>
    </row>
    <row r="347" spans="2:10" x14ac:dyDescent="0.35">
      <c r="B347" s="15"/>
      <c r="C347" s="15"/>
      <c r="D347" s="15"/>
      <c r="E347" s="15"/>
      <c r="F347" s="15"/>
      <c r="G347" s="15"/>
      <c r="H347" s="15"/>
      <c r="I347" s="15"/>
      <c r="J347" s="15"/>
    </row>
    <row r="348" spans="2:10" x14ac:dyDescent="0.35">
      <c r="B348" s="15"/>
      <c r="C348" s="15"/>
      <c r="D348" s="15"/>
      <c r="E348" s="15"/>
      <c r="F348" s="15"/>
      <c r="G348" s="15"/>
      <c r="H348" s="15"/>
      <c r="I348" s="15"/>
      <c r="J348" s="15"/>
    </row>
    <row r="349" spans="2:10" x14ac:dyDescent="0.35">
      <c r="B349" s="15"/>
      <c r="C349" s="15"/>
      <c r="D349" s="15"/>
      <c r="E349" s="15"/>
      <c r="F349" s="15"/>
      <c r="G349" s="15"/>
      <c r="H349" s="15"/>
      <c r="I349" s="15"/>
      <c r="J349" s="15"/>
    </row>
    <row r="350" spans="2:10" x14ac:dyDescent="0.35">
      <c r="B350" s="15"/>
      <c r="C350" s="15"/>
      <c r="D350" s="15"/>
      <c r="E350" s="15"/>
      <c r="F350" s="15"/>
      <c r="G350" s="15"/>
      <c r="H350" s="15"/>
      <c r="I350" s="15"/>
      <c r="J350" s="15"/>
    </row>
    <row r="351" spans="2:10" x14ac:dyDescent="0.35">
      <c r="B351" s="15"/>
      <c r="C351" s="15"/>
      <c r="D351" s="15"/>
      <c r="E351" s="15"/>
      <c r="F351" s="15"/>
      <c r="G351" s="15"/>
      <c r="H351" s="15"/>
      <c r="I351" s="15"/>
      <c r="J351" s="15"/>
    </row>
    <row r="352" spans="2:10" x14ac:dyDescent="0.35">
      <c r="B352" s="15"/>
      <c r="C352" s="15"/>
      <c r="D352" s="15"/>
      <c r="E352" s="15"/>
      <c r="F352" s="15"/>
      <c r="G352" s="15"/>
      <c r="H352" s="15"/>
      <c r="I352" s="15"/>
      <c r="J352" s="15"/>
    </row>
    <row r="353" spans="2:10" x14ac:dyDescent="0.35">
      <c r="B353" s="15"/>
      <c r="C353" s="15"/>
      <c r="D353" s="15"/>
      <c r="E353" s="15"/>
      <c r="F353" s="15"/>
      <c r="G353" s="15"/>
      <c r="H353" s="15"/>
      <c r="I353" s="15"/>
      <c r="J353" s="15"/>
    </row>
    <row r="354" spans="2:10" x14ac:dyDescent="0.35">
      <c r="B354" s="15"/>
      <c r="C354" s="15"/>
      <c r="D354" s="15"/>
      <c r="E354" s="15"/>
      <c r="F354" s="15"/>
      <c r="G354" s="15"/>
      <c r="H354" s="15"/>
      <c r="I354" s="15"/>
      <c r="J354" s="15"/>
    </row>
    <row r="355" spans="2:10" x14ac:dyDescent="0.35">
      <c r="B355" s="15"/>
      <c r="C355" s="15"/>
      <c r="D355" s="15"/>
      <c r="E355" s="15"/>
      <c r="F355" s="15"/>
      <c r="G355" s="15"/>
      <c r="H355" s="15"/>
      <c r="I355" s="15"/>
      <c r="J355" s="15"/>
    </row>
    <row r="356" spans="2:10" x14ac:dyDescent="0.35">
      <c r="B356" s="15"/>
      <c r="C356" s="15"/>
      <c r="D356" s="15"/>
      <c r="E356" s="15"/>
      <c r="F356" s="15"/>
      <c r="G356" s="15"/>
      <c r="H356" s="15"/>
      <c r="I356" s="15"/>
      <c r="J356" s="15"/>
    </row>
    <row r="357" spans="2:10" x14ac:dyDescent="0.35">
      <c r="B357" s="15"/>
      <c r="C357" s="15"/>
      <c r="D357" s="15"/>
      <c r="E357" s="15"/>
      <c r="F357" s="15"/>
      <c r="G357" s="15"/>
      <c r="H357" s="15"/>
      <c r="I357" s="15"/>
      <c r="J357" s="15"/>
    </row>
    <row r="358" spans="2:10" x14ac:dyDescent="0.35">
      <c r="B358" s="15"/>
      <c r="C358" s="15"/>
      <c r="D358" s="15"/>
      <c r="E358" s="15"/>
      <c r="F358" s="15"/>
      <c r="G358" s="15"/>
      <c r="H358" s="15"/>
      <c r="I358" s="15"/>
      <c r="J358" s="15"/>
    </row>
    <row r="359" spans="2:10" x14ac:dyDescent="0.35">
      <c r="B359" s="15"/>
      <c r="C359" s="15"/>
      <c r="D359" s="15"/>
      <c r="E359" s="15"/>
      <c r="F359" s="15"/>
      <c r="G359" s="15"/>
      <c r="H359" s="15"/>
      <c r="I359" s="15"/>
      <c r="J359" s="15"/>
    </row>
    <row r="360" spans="2:10" x14ac:dyDescent="0.35">
      <c r="B360" s="15"/>
      <c r="C360" s="15"/>
      <c r="D360" s="15"/>
      <c r="E360" s="15"/>
      <c r="F360" s="15"/>
      <c r="G360" s="15"/>
      <c r="H360" s="15"/>
      <c r="I360" s="15"/>
      <c r="J360" s="15"/>
    </row>
    <row r="361" spans="2:10" x14ac:dyDescent="0.35">
      <c r="B361" s="15"/>
      <c r="C361" s="15"/>
      <c r="D361" s="15"/>
      <c r="E361" s="15"/>
      <c r="F361" s="15"/>
      <c r="G361" s="15"/>
      <c r="H361" s="15"/>
      <c r="I361" s="15"/>
      <c r="J361" s="15"/>
    </row>
    <row r="362" spans="2:10" x14ac:dyDescent="0.35">
      <c r="B362" s="15"/>
      <c r="C362" s="15"/>
      <c r="D362" s="15"/>
      <c r="E362" s="15"/>
      <c r="F362" s="15"/>
      <c r="G362" s="15"/>
      <c r="H362" s="15"/>
      <c r="I362" s="15"/>
      <c r="J362" s="15"/>
    </row>
    <row r="363" spans="2:10" x14ac:dyDescent="0.35">
      <c r="B363" s="15"/>
      <c r="C363" s="15"/>
      <c r="D363" s="15"/>
      <c r="E363" s="15"/>
      <c r="F363" s="15"/>
      <c r="G363" s="15"/>
      <c r="H363" s="15"/>
      <c r="I363" s="15"/>
      <c r="J363" s="15"/>
    </row>
    <row r="364" spans="2:10" x14ac:dyDescent="0.35">
      <c r="B364" s="15"/>
      <c r="C364" s="15"/>
      <c r="D364" s="15"/>
      <c r="E364" s="15"/>
      <c r="F364" s="15"/>
      <c r="G364" s="15"/>
      <c r="H364" s="15"/>
      <c r="I364" s="15"/>
      <c r="J364" s="15"/>
    </row>
    <row r="365" spans="2:10" x14ac:dyDescent="0.35">
      <c r="B365" s="15"/>
      <c r="C365" s="15"/>
      <c r="D365" s="15"/>
      <c r="E365" s="15"/>
      <c r="F365" s="15"/>
      <c r="G365" s="15"/>
      <c r="H365" s="15"/>
      <c r="I365" s="15"/>
      <c r="J365" s="15"/>
    </row>
    <row r="366" spans="2:10" x14ac:dyDescent="0.35">
      <c r="B366" s="15"/>
      <c r="C366" s="15"/>
      <c r="D366" s="15"/>
      <c r="E366" s="15"/>
      <c r="F366" s="15"/>
      <c r="G366" s="15"/>
      <c r="H366" s="15"/>
      <c r="I366" s="15"/>
      <c r="J366" s="15"/>
    </row>
    <row r="367" spans="2:10" x14ac:dyDescent="0.35">
      <c r="B367" s="15"/>
      <c r="C367" s="15"/>
      <c r="D367" s="15"/>
      <c r="E367" s="15"/>
      <c r="F367" s="15"/>
      <c r="G367" s="15"/>
      <c r="H367" s="15"/>
      <c r="I367" s="15"/>
      <c r="J367" s="15"/>
    </row>
    <row r="368" spans="2:10" x14ac:dyDescent="0.35">
      <c r="B368" s="15"/>
      <c r="C368" s="15"/>
      <c r="D368" s="15"/>
      <c r="E368" s="15"/>
      <c r="F368" s="15"/>
      <c r="G368" s="15"/>
      <c r="H368" s="15"/>
      <c r="I368" s="15"/>
      <c r="J368" s="15"/>
    </row>
    <row r="369" spans="2:10" x14ac:dyDescent="0.35">
      <c r="B369" s="15"/>
      <c r="C369" s="15"/>
      <c r="D369" s="15"/>
      <c r="E369" s="15"/>
      <c r="F369" s="15"/>
      <c r="G369" s="15"/>
      <c r="H369" s="15"/>
      <c r="I369" s="15"/>
      <c r="J369" s="15"/>
    </row>
    <row r="370" spans="2:10" x14ac:dyDescent="0.35">
      <c r="B370" s="15"/>
      <c r="C370" s="15"/>
      <c r="D370" s="15"/>
      <c r="E370" s="15"/>
      <c r="F370" s="15"/>
      <c r="G370" s="15"/>
      <c r="H370" s="15"/>
      <c r="I370" s="15"/>
      <c r="J370" s="15"/>
    </row>
    <row r="371" spans="2:10" x14ac:dyDescent="0.35">
      <c r="B371" s="15"/>
      <c r="C371" s="15"/>
      <c r="D371" s="15"/>
      <c r="E371" s="15"/>
      <c r="F371" s="15"/>
      <c r="G371" s="15"/>
      <c r="H371" s="15"/>
      <c r="I371" s="15"/>
      <c r="J371" s="15"/>
    </row>
    <row r="372" spans="2:10" x14ac:dyDescent="0.35">
      <c r="B372" s="15"/>
      <c r="C372" s="15"/>
      <c r="D372" s="15"/>
      <c r="E372" s="15"/>
      <c r="F372" s="15"/>
      <c r="G372" s="15"/>
      <c r="H372" s="15"/>
      <c r="I372" s="15"/>
      <c r="J372" s="15"/>
    </row>
    <row r="373" spans="2:10" x14ac:dyDescent="0.35">
      <c r="B373" s="15"/>
      <c r="C373" s="15"/>
      <c r="D373" s="15"/>
      <c r="E373" s="15"/>
      <c r="F373" s="15"/>
      <c r="G373" s="15"/>
      <c r="H373" s="15"/>
      <c r="I373" s="15"/>
      <c r="J373" s="15"/>
    </row>
    <row r="374" spans="2:10" x14ac:dyDescent="0.35">
      <c r="B374" s="15"/>
      <c r="C374" s="15"/>
      <c r="D374" s="15"/>
      <c r="E374" s="15"/>
      <c r="F374" s="15"/>
      <c r="G374" s="15"/>
      <c r="H374" s="15"/>
      <c r="I374" s="15"/>
      <c r="J374" s="15"/>
    </row>
    <row r="375" spans="2:10" x14ac:dyDescent="0.35">
      <c r="B375" s="15"/>
      <c r="C375" s="15"/>
      <c r="D375" s="15"/>
      <c r="E375" s="15"/>
      <c r="F375" s="15"/>
      <c r="G375" s="15"/>
      <c r="H375" s="15"/>
      <c r="I375" s="15"/>
      <c r="J375" s="15"/>
    </row>
    <row r="376" spans="2:10" x14ac:dyDescent="0.35">
      <c r="B376" s="15"/>
      <c r="C376" s="15"/>
      <c r="D376" s="15"/>
      <c r="E376" s="15"/>
      <c r="F376" s="15"/>
      <c r="G376" s="15"/>
      <c r="H376" s="15"/>
      <c r="I376" s="15"/>
      <c r="J376" s="15"/>
    </row>
    <row r="377" spans="2:10" x14ac:dyDescent="0.35">
      <c r="B377" s="15"/>
      <c r="C377" s="15"/>
      <c r="D377" s="15"/>
      <c r="E377" s="15"/>
      <c r="F377" s="15"/>
      <c r="G377" s="15"/>
      <c r="H377" s="15"/>
      <c r="I377" s="15"/>
      <c r="J377" s="15"/>
    </row>
    <row r="378" spans="2:10" x14ac:dyDescent="0.35">
      <c r="B378" s="15"/>
      <c r="C378" s="15"/>
      <c r="D378" s="15"/>
      <c r="E378" s="15"/>
      <c r="F378" s="15"/>
      <c r="G378" s="15"/>
      <c r="H378" s="15"/>
      <c r="I378" s="15"/>
      <c r="J378" s="15"/>
    </row>
    <row r="379" spans="2:10" x14ac:dyDescent="0.35">
      <c r="B379" s="15"/>
      <c r="C379" s="15"/>
      <c r="D379" s="15"/>
      <c r="E379" s="15"/>
      <c r="F379" s="15"/>
      <c r="G379" s="15"/>
      <c r="H379" s="15"/>
      <c r="I379" s="15"/>
      <c r="J379" s="15"/>
    </row>
    <row r="380" spans="2:10" x14ac:dyDescent="0.35">
      <c r="B380" s="15"/>
      <c r="C380" s="15"/>
      <c r="D380" s="15"/>
      <c r="E380" s="15"/>
      <c r="F380" s="15"/>
      <c r="G380" s="15"/>
      <c r="H380" s="15"/>
      <c r="I380" s="15"/>
      <c r="J380" s="15"/>
    </row>
    <row r="381" spans="2:10" x14ac:dyDescent="0.35">
      <c r="B381" s="15"/>
      <c r="C381" s="15"/>
      <c r="D381" s="15"/>
      <c r="E381" s="15"/>
      <c r="F381" s="15"/>
      <c r="G381" s="15"/>
      <c r="H381" s="15"/>
      <c r="I381" s="15"/>
      <c r="J381" s="15"/>
    </row>
    <row r="382" spans="2:10" x14ac:dyDescent="0.35">
      <c r="B382" s="15"/>
      <c r="C382" s="15"/>
      <c r="D382" s="15"/>
      <c r="E382" s="15"/>
      <c r="F382" s="15"/>
      <c r="G382" s="15"/>
      <c r="H382" s="15"/>
      <c r="I382" s="15"/>
      <c r="J382" s="15"/>
    </row>
    <row r="383" spans="2:10" x14ac:dyDescent="0.35">
      <c r="B383" s="15"/>
      <c r="C383" s="15"/>
      <c r="D383" s="15"/>
      <c r="E383" s="15"/>
      <c r="F383" s="15"/>
      <c r="G383" s="15"/>
      <c r="H383" s="15"/>
      <c r="I383" s="15"/>
      <c r="J383" s="15"/>
    </row>
    <row r="384" spans="2:10" x14ac:dyDescent="0.35">
      <c r="B384" s="15"/>
      <c r="C384" s="15"/>
      <c r="D384" s="15"/>
      <c r="E384" s="15"/>
      <c r="F384" s="15"/>
      <c r="G384" s="15"/>
      <c r="H384" s="15"/>
      <c r="I384" s="15"/>
      <c r="J384" s="15"/>
    </row>
    <row r="385" spans="2:10" x14ac:dyDescent="0.35">
      <c r="B385" s="15"/>
      <c r="C385" s="15"/>
      <c r="D385" s="15"/>
      <c r="E385" s="15"/>
      <c r="F385" s="15"/>
      <c r="G385" s="15"/>
      <c r="H385" s="15"/>
      <c r="I385" s="15"/>
      <c r="J385" s="15"/>
    </row>
    <row r="386" spans="2:10" x14ac:dyDescent="0.35">
      <c r="B386" s="15"/>
      <c r="C386" s="15"/>
      <c r="D386" s="15"/>
      <c r="E386" s="15"/>
      <c r="F386" s="15"/>
      <c r="G386" s="15"/>
      <c r="H386" s="15"/>
      <c r="I386" s="15"/>
      <c r="J386" s="15"/>
    </row>
    <row r="387" spans="2:10" x14ac:dyDescent="0.35">
      <c r="B387" s="15"/>
      <c r="C387" s="15"/>
      <c r="D387" s="15"/>
      <c r="E387" s="15"/>
      <c r="F387" s="15"/>
      <c r="G387" s="15"/>
      <c r="H387" s="15"/>
      <c r="I387" s="15"/>
      <c r="J387" s="15"/>
    </row>
    <row r="388" spans="2:10" x14ac:dyDescent="0.35">
      <c r="B388" s="15"/>
      <c r="C388" s="15"/>
      <c r="D388" s="15"/>
      <c r="E388" s="15"/>
      <c r="F388" s="15"/>
      <c r="G388" s="15"/>
      <c r="H388" s="15"/>
      <c r="I388" s="15"/>
      <c r="J388" s="15"/>
    </row>
    <row r="389" spans="2:10" x14ac:dyDescent="0.35">
      <c r="B389" s="15"/>
      <c r="C389" s="15"/>
      <c r="D389" s="15"/>
      <c r="E389" s="15"/>
      <c r="F389" s="15"/>
      <c r="G389" s="15"/>
      <c r="H389" s="15"/>
      <c r="I389" s="15"/>
      <c r="J389" s="15"/>
    </row>
    <row r="390" spans="2:10" x14ac:dyDescent="0.35">
      <c r="B390" s="15"/>
      <c r="C390" s="15"/>
      <c r="D390" s="15"/>
      <c r="E390" s="15"/>
      <c r="F390" s="15"/>
      <c r="G390" s="15"/>
      <c r="H390" s="15"/>
      <c r="I390" s="15"/>
      <c r="J390" s="15"/>
    </row>
    <row r="391" spans="2:10" x14ac:dyDescent="0.35">
      <c r="B391" s="15"/>
      <c r="C391" s="15"/>
      <c r="D391" s="15"/>
      <c r="E391" s="15"/>
      <c r="F391" s="15"/>
      <c r="G391" s="15"/>
      <c r="H391" s="15"/>
      <c r="I391" s="15"/>
      <c r="J391" s="15"/>
    </row>
    <row r="392" spans="2:10" x14ac:dyDescent="0.35">
      <c r="B392" s="15"/>
      <c r="C392" s="15"/>
      <c r="D392" s="15"/>
      <c r="E392" s="15"/>
      <c r="F392" s="15"/>
      <c r="G392" s="15"/>
      <c r="H392" s="15"/>
      <c r="I392" s="15"/>
      <c r="J392" s="15"/>
    </row>
    <row r="393" spans="2:10" x14ac:dyDescent="0.35">
      <c r="B393" s="15"/>
      <c r="C393" s="15"/>
      <c r="D393" s="15"/>
      <c r="E393" s="15"/>
      <c r="F393" s="15"/>
      <c r="G393" s="15"/>
      <c r="H393" s="15"/>
      <c r="I393" s="15"/>
      <c r="J393" s="15"/>
    </row>
    <row r="394" spans="2:10" x14ac:dyDescent="0.35">
      <c r="B394" s="15"/>
      <c r="C394" s="15"/>
      <c r="D394" s="15"/>
      <c r="E394" s="15"/>
      <c r="F394" s="15"/>
      <c r="G394" s="15"/>
      <c r="H394" s="15"/>
      <c r="I394" s="15"/>
      <c r="J394" s="15"/>
    </row>
    <row r="395" spans="2:10" x14ac:dyDescent="0.35">
      <c r="B395" s="15"/>
      <c r="C395" s="15"/>
      <c r="D395" s="15"/>
      <c r="E395" s="15"/>
      <c r="F395" s="15"/>
      <c r="G395" s="15"/>
      <c r="H395" s="15"/>
      <c r="I395" s="15"/>
      <c r="J395" s="15"/>
    </row>
    <row r="396" spans="2:10" x14ac:dyDescent="0.35">
      <c r="B396" s="15"/>
      <c r="C396" s="15"/>
      <c r="D396" s="15"/>
      <c r="E396" s="15"/>
      <c r="F396" s="15"/>
      <c r="G396" s="15"/>
      <c r="H396" s="15"/>
      <c r="I396" s="15"/>
      <c r="J396" s="15"/>
    </row>
    <row r="397" spans="2:10" x14ac:dyDescent="0.35">
      <c r="B397" s="15"/>
      <c r="C397" s="15"/>
      <c r="D397" s="15"/>
      <c r="E397" s="15"/>
      <c r="F397" s="15"/>
      <c r="G397" s="15"/>
      <c r="H397" s="15"/>
      <c r="I397" s="15"/>
      <c r="J397" s="15"/>
    </row>
    <row r="398" spans="2:10" x14ac:dyDescent="0.35">
      <c r="B398" s="15"/>
      <c r="C398" s="15"/>
      <c r="D398" s="15"/>
      <c r="E398" s="15"/>
      <c r="F398" s="15"/>
      <c r="G398" s="15"/>
      <c r="H398" s="15"/>
      <c r="I398" s="15"/>
      <c r="J398" s="15"/>
    </row>
    <row r="399" spans="2:10" x14ac:dyDescent="0.35">
      <c r="B399" s="15"/>
      <c r="C399" s="15"/>
      <c r="D399" s="15"/>
      <c r="E399" s="15"/>
      <c r="F399" s="15"/>
      <c r="G399" s="15"/>
      <c r="H399" s="15"/>
      <c r="I399" s="15"/>
      <c r="J399" s="15"/>
    </row>
    <row r="400" spans="2:10" x14ac:dyDescent="0.35">
      <c r="B400" s="15"/>
      <c r="C400" s="15"/>
      <c r="D400" s="15"/>
      <c r="E400" s="15"/>
      <c r="F400" s="15"/>
      <c r="G400" s="15"/>
      <c r="H400" s="15"/>
      <c r="I400" s="15"/>
      <c r="J400" s="15"/>
    </row>
    <row r="401" spans="2:10" x14ac:dyDescent="0.35">
      <c r="B401" s="15"/>
      <c r="C401" s="15"/>
      <c r="D401" s="15"/>
      <c r="E401" s="15"/>
      <c r="F401" s="15"/>
      <c r="G401" s="15"/>
      <c r="H401" s="15"/>
      <c r="I401" s="15"/>
      <c r="J401" s="15"/>
    </row>
    <row r="402" spans="2:10" x14ac:dyDescent="0.35">
      <c r="B402" s="15"/>
      <c r="C402" s="15"/>
      <c r="D402" s="15"/>
      <c r="E402" s="15"/>
      <c r="F402" s="15"/>
      <c r="G402" s="15"/>
      <c r="H402" s="15"/>
      <c r="I402" s="15"/>
      <c r="J402" s="15"/>
    </row>
    <row r="403" spans="2:10" x14ac:dyDescent="0.35">
      <c r="B403" s="15"/>
      <c r="C403" s="15"/>
      <c r="D403" s="15"/>
      <c r="E403" s="15"/>
      <c r="F403" s="15"/>
      <c r="G403" s="15"/>
      <c r="H403" s="15"/>
      <c r="I403" s="15"/>
      <c r="J403" s="15"/>
    </row>
    <row r="404" spans="2:10" x14ac:dyDescent="0.35">
      <c r="B404" s="15"/>
      <c r="C404" s="15"/>
      <c r="D404" s="15"/>
      <c r="E404" s="15"/>
      <c r="F404" s="15"/>
      <c r="G404" s="15"/>
      <c r="H404" s="15"/>
      <c r="I404" s="15"/>
      <c r="J404" s="15"/>
    </row>
    <row r="405" spans="2:10" x14ac:dyDescent="0.35">
      <c r="B405" s="15"/>
      <c r="C405" s="15"/>
      <c r="D405" s="15"/>
      <c r="E405" s="15"/>
      <c r="F405" s="15"/>
      <c r="G405" s="15"/>
      <c r="H405" s="15"/>
      <c r="I405" s="15"/>
      <c r="J405" s="15"/>
    </row>
    <row r="406" spans="2:10" x14ac:dyDescent="0.35">
      <c r="B406" s="15"/>
      <c r="C406" s="15"/>
      <c r="D406" s="15"/>
      <c r="E406" s="15"/>
      <c r="F406" s="15"/>
      <c r="G406" s="15"/>
      <c r="H406" s="15"/>
      <c r="I406" s="15"/>
      <c r="J406" s="15"/>
    </row>
    <row r="407" spans="2:10" x14ac:dyDescent="0.35">
      <c r="B407" s="15"/>
      <c r="C407" s="15"/>
      <c r="D407" s="15"/>
      <c r="E407" s="15"/>
      <c r="F407" s="15"/>
      <c r="G407" s="15"/>
      <c r="H407" s="15"/>
      <c r="I407" s="15"/>
      <c r="J407" s="15"/>
    </row>
    <row r="408" spans="2:10" x14ac:dyDescent="0.35">
      <c r="B408" s="15"/>
      <c r="C408" s="15"/>
      <c r="D408" s="15"/>
      <c r="E408" s="15"/>
      <c r="F408" s="15"/>
      <c r="G408" s="15"/>
      <c r="H408" s="15"/>
      <c r="I408" s="15"/>
      <c r="J408" s="15"/>
    </row>
    <row r="409" spans="2:10" x14ac:dyDescent="0.35">
      <c r="B409" s="15"/>
      <c r="C409" s="15"/>
      <c r="D409" s="15"/>
      <c r="E409" s="15"/>
      <c r="F409" s="15"/>
      <c r="G409" s="15"/>
      <c r="H409" s="15"/>
      <c r="I409" s="15"/>
      <c r="J409" s="15"/>
    </row>
    <row r="410" spans="2:10" x14ac:dyDescent="0.35">
      <c r="B410" s="15"/>
      <c r="C410" s="15"/>
      <c r="D410" s="15"/>
      <c r="E410" s="15"/>
      <c r="F410" s="15"/>
      <c r="G410" s="15"/>
      <c r="H410" s="15"/>
      <c r="I410" s="15"/>
      <c r="J410" s="15"/>
    </row>
    <row r="411" spans="2:10" x14ac:dyDescent="0.35">
      <c r="B411" s="15"/>
      <c r="C411" s="15"/>
      <c r="D411" s="15"/>
      <c r="E411" s="15"/>
      <c r="F411" s="15"/>
      <c r="G411" s="15"/>
      <c r="H411" s="15"/>
      <c r="I411" s="15"/>
      <c r="J411" s="15"/>
    </row>
    <row r="412" spans="2:10" x14ac:dyDescent="0.35">
      <c r="B412" s="15"/>
      <c r="C412" s="15"/>
      <c r="D412" s="15"/>
      <c r="E412" s="15"/>
      <c r="F412" s="15"/>
      <c r="G412" s="15"/>
      <c r="H412" s="15"/>
      <c r="I412" s="15"/>
      <c r="J412" s="15"/>
    </row>
    <row r="413" spans="2:10" x14ac:dyDescent="0.35">
      <c r="B413" s="15"/>
      <c r="C413" s="15"/>
      <c r="D413" s="15"/>
      <c r="E413" s="15"/>
      <c r="F413" s="15"/>
      <c r="G413" s="15"/>
      <c r="H413" s="15"/>
      <c r="I413" s="15"/>
      <c r="J413" s="15"/>
    </row>
    <row r="414" spans="2:10" x14ac:dyDescent="0.35">
      <c r="B414" s="15"/>
      <c r="C414" s="15"/>
      <c r="D414" s="15"/>
      <c r="E414" s="15"/>
      <c r="F414" s="15"/>
      <c r="G414" s="15"/>
      <c r="H414" s="15"/>
      <c r="I414" s="15"/>
      <c r="J414" s="15"/>
    </row>
    <row r="415" spans="2:10" x14ac:dyDescent="0.35">
      <c r="B415" s="15"/>
      <c r="C415" s="15"/>
      <c r="D415" s="15"/>
      <c r="E415" s="15"/>
      <c r="F415" s="15"/>
      <c r="G415" s="15"/>
      <c r="H415" s="15"/>
      <c r="I415" s="15"/>
      <c r="J415" s="15"/>
    </row>
    <row r="416" spans="2:10" x14ac:dyDescent="0.35">
      <c r="B416" s="15"/>
      <c r="C416" s="15"/>
      <c r="D416" s="15"/>
      <c r="E416" s="15"/>
      <c r="F416" s="15"/>
      <c r="G416" s="15"/>
      <c r="H416" s="15"/>
      <c r="I416" s="15"/>
      <c r="J416" s="15"/>
    </row>
    <row r="417" spans="2:10" x14ac:dyDescent="0.35">
      <c r="B417" s="15"/>
      <c r="C417" s="15"/>
      <c r="D417" s="15"/>
      <c r="E417" s="15"/>
      <c r="F417" s="15"/>
      <c r="G417" s="15"/>
      <c r="H417" s="15"/>
      <c r="I417" s="15"/>
      <c r="J417" s="15"/>
    </row>
    <row r="418" spans="2:10" x14ac:dyDescent="0.35">
      <c r="B418" s="15"/>
      <c r="C418" s="15"/>
      <c r="D418" s="15"/>
      <c r="E418" s="15"/>
      <c r="F418" s="15"/>
      <c r="G418" s="15"/>
      <c r="H418" s="15"/>
      <c r="I418" s="15"/>
      <c r="J418" s="15"/>
    </row>
    <row r="419" spans="2:10" x14ac:dyDescent="0.35">
      <c r="B419" s="15"/>
      <c r="C419" s="15"/>
      <c r="D419" s="15"/>
      <c r="E419" s="15"/>
      <c r="F419" s="15"/>
      <c r="G419" s="15"/>
      <c r="H419" s="15"/>
      <c r="I419" s="15"/>
      <c r="J419" s="15"/>
    </row>
    <row r="420" spans="2:10" x14ac:dyDescent="0.35">
      <c r="B420" s="15"/>
      <c r="C420" s="15"/>
      <c r="D420" s="15"/>
      <c r="E420" s="15"/>
      <c r="F420" s="15"/>
      <c r="G420" s="15"/>
      <c r="H420" s="15"/>
      <c r="I420" s="15"/>
      <c r="J420" s="15"/>
    </row>
    <row r="421" spans="2:10" x14ac:dyDescent="0.35">
      <c r="B421" s="15"/>
      <c r="C421" s="15"/>
      <c r="D421" s="15"/>
      <c r="E421" s="15"/>
      <c r="F421" s="15"/>
      <c r="G421" s="15"/>
      <c r="H421" s="15"/>
      <c r="I421" s="15"/>
      <c r="J421" s="15"/>
    </row>
    <row r="422" spans="2:10" x14ac:dyDescent="0.35">
      <c r="B422" s="15"/>
      <c r="C422" s="15"/>
      <c r="D422" s="15"/>
      <c r="E422" s="15"/>
      <c r="F422" s="15"/>
      <c r="G422" s="15"/>
      <c r="H422" s="15"/>
      <c r="I422" s="15"/>
      <c r="J422" s="15"/>
    </row>
    <row r="423" spans="2:10" x14ac:dyDescent="0.35">
      <c r="B423" s="15"/>
      <c r="C423" s="15"/>
      <c r="D423" s="15"/>
      <c r="E423" s="15"/>
      <c r="F423" s="15"/>
      <c r="G423" s="15"/>
      <c r="H423" s="15"/>
      <c r="I423" s="15"/>
      <c r="J423" s="15"/>
    </row>
    <row r="424" spans="2:10" x14ac:dyDescent="0.35">
      <c r="B424" s="15"/>
      <c r="C424" s="15"/>
      <c r="D424" s="15"/>
      <c r="E424" s="15"/>
      <c r="F424" s="15"/>
      <c r="G424" s="15"/>
      <c r="H424" s="15"/>
      <c r="I424" s="15"/>
      <c r="J424" s="15"/>
    </row>
    <row r="425" spans="2:10" x14ac:dyDescent="0.35">
      <c r="B425" s="15"/>
      <c r="C425" s="15"/>
      <c r="D425" s="15"/>
      <c r="E425" s="15"/>
      <c r="F425" s="15"/>
      <c r="G425" s="15"/>
      <c r="H425" s="15"/>
      <c r="I425" s="15"/>
      <c r="J425" s="15"/>
    </row>
    <row r="426" spans="2:10" x14ac:dyDescent="0.35">
      <c r="B426" s="15"/>
      <c r="C426" s="15"/>
      <c r="D426" s="15"/>
      <c r="E426" s="15"/>
      <c r="F426" s="15"/>
      <c r="G426" s="15"/>
      <c r="H426" s="15"/>
      <c r="I426" s="15"/>
      <c r="J426" s="15"/>
    </row>
    <row r="427" spans="2:10" x14ac:dyDescent="0.35">
      <c r="B427" s="15"/>
      <c r="C427" s="15"/>
      <c r="D427" s="15"/>
      <c r="E427" s="15"/>
      <c r="F427" s="15"/>
      <c r="G427" s="15"/>
      <c r="H427" s="15"/>
      <c r="I427" s="15"/>
      <c r="J427" s="15"/>
    </row>
    <row r="428" spans="2:10" x14ac:dyDescent="0.35">
      <c r="B428" s="15"/>
      <c r="C428" s="15"/>
      <c r="D428" s="15"/>
      <c r="E428" s="15"/>
      <c r="F428" s="15"/>
      <c r="G428" s="15"/>
      <c r="H428" s="15"/>
      <c r="I428" s="15"/>
      <c r="J428" s="15"/>
    </row>
    <row r="429" spans="2:10" x14ac:dyDescent="0.35">
      <c r="B429" s="15"/>
      <c r="C429" s="15"/>
      <c r="D429" s="15"/>
      <c r="E429" s="15"/>
      <c r="F429" s="15"/>
      <c r="G429" s="15"/>
      <c r="H429" s="15"/>
      <c r="I429" s="15"/>
      <c r="J429" s="15"/>
    </row>
    <row r="430" spans="2:10" x14ac:dyDescent="0.35">
      <c r="B430" s="15"/>
      <c r="C430" s="15"/>
      <c r="D430" s="15"/>
      <c r="E430" s="15"/>
      <c r="F430" s="15"/>
      <c r="G430" s="15"/>
      <c r="H430" s="15"/>
      <c r="I430" s="15"/>
      <c r="J430" s="15"/>
    </row>
    <row r="431" spans="2:10" x14ac:dyDescent="0.35">
      <c r="B431" s="15"/>
      <c r="C431" s="15"/>
      <c r="D431" s="15"/>
      <c r="E431" s="15"/>
      <c r="F431" s="15"/>
      <c r="G431" s="15"/>
      <c r="H431" s="15"/>
      <c r="I431" s="15"/>
      <c r="J431" s="15"/>
    </row>
    <row r="432" spans="2:10" x14ac:dyDescent="0.35">
      <c r="B432" s="15"/>
      <c r="C432" s="15"/>
      <c r="D432" s="15"/>
      <c r="E432" s="15"/>
      <c r="F432" s="15"/>
      <c r="G432" s="15"/>
      <c r="H432" s="15"/>
      <c r="I432" s="15"/>
      <c r="J432" s="15"/>
    </row>
    <row r="433" spans="2:10" x14ac:dyDescent="0.35">
      <c r="B433" s="15"/>
      <c r="C433" s="15"/>
      <c r="D433" s="15"/>
      <c r="E433" s="15"/>
      <c r="F433" s="15"/>
      <c r="G433" s="15"/>
      <c r="H433" s="15"/>
      <c r="I433" s="15"/>
      <c r="J433" s="15"/>
    </row>
    <row r="434" spans="2:10" x14ac:dyDescent="0.35">
      <c r="B434" s="15"/>
      <c r="C434" s="15"/>
      <c r="D434" s="15"/>
      <c r="E434" s="15"/>
      <c r="F434" s="15"/>
      <c r="G434" s="15"/>
      <c r="H434" s="15"/>
      <c r="I434" s="15"/>
      <c r="J434" s="15"/>
    </row>
    <row r="435" spans="2:10" x14ac:dyDescent="0.35">
      <c r="B435" s="15"/>
      <c r="C435" s="15"/>
      <c r="D435" s="15"/>
      <c r="E435" s="15"/>
      <c r="F435" s="15"/>
      <c r="G435" s="15"/>
      <c r="H435" s="15"/>
      <c r="I435" s="15"/>
      <c r="J435" s="15"/>
    </row>
    <row r="436" spans="2:10" x14ac:dyDescent="0.35">
      <c r="B436" s="15"/>
      <c r="C436" s="15"/>
      <c r="D436" s="15"/>
      <c r="E436" s="15"/>
      <c r="F436" s="15"/>
      <c r="G436" s="15"/>
      <c r="H436" s="15"/>
      <c r="I436" s="15"/>
      <c r="J436" s="15"/>
    </row>
    <row r="437" spans="2:10" x14ac:dyDescent="0.35">
      <c r="B437" s="15"/>
      <c r="C437" s="15"/>
      <c r="D437" s="15"/>
      <c r="E437" s="15"/>
      <c r="F437" s="15"/>
      <c r="G437" s="15"/>
      <c r="H437" s="15"/>
      <c r="I437" s="15"/>
      <c r="J437" s="15"/>
    </row>
    <row r="438" spans="2:10" x14ac:dyDescent="0.35">
      <c r="B438" s="15"/>
      <c r="C438" s="15"/>
      <c r="D438" s="15"/>
      <c r="E438" s="15"/>
      <c r="F438" s="15"/>
      <c r="G438" s="15"/>
      <c r="H438" s="15"/>
      <c r="I438" s="15"/>
      <c r="J438" s="15"/>
    </row>
    <row r="439" spans="2:10" x14ac:dyDescent="0.35">
      <c r="B439" s="15"/>
      <c r="C439" s="15"/>
      <c r="D439" s="15"/>
      <c r="E439" s="15"/>
      <c r="F439" s="15"/>
      <c r="G439" s="15"/>
      <c r="H439" s="15"/>
      <c r="I439" s="15"/>
      <c r="J439" s="15"/>
    </row>
    <row r="440" spans="2:10" x14ac:dyDescent="0.35">
      <c r="B440" s="15"/>
      <c r="C440" s="15"/>
      <c r="D440" s="15"/>
      <c r="E440" s="15"/>
      <c r="F440" s="15"/>
      <c r="G440" s="15"/>
      <c r="H440" s="15"/>
      <c r="I440" s="15"/>
      <c r="J440" s="15"/>
    </row>
    <row r="441" spans="2:10" x14ac:dyDescent="0.35">
      <c r="B441" s="15"/>
      <c r="C441" s="15"/>
      <c r="D441" s="15"/>
      <c r="E441" s="15"/>
      <c r="F441" s="15"/>
      <c r="G441" s="15"/>
      <c r="H441" s="15"/>
      <c r="I441" s="15"/>
      <c r="J441" s="15"/>
    </row>
    <row r="442" spans="2:10" x14ac:dyDescent="0.35">
      <c r="B442" s="15"/>
      <c r="C442" s="15"/>
      <c r="D442" s="15"/>
      <c r="E442" s="15"/>
      <c r="F442" s="15"/>
      <c r="G442" s="15"/>
      <c r="H442" s="15"/>
      <c r="I442" s="15"/>
      <c r="J442" s="15"/>
    </row>
    <row r="443" spans="2:10" x14ac:dyDescent="0.35">
      <c r="B443" s="15"/>
      <c r="C443" s="15"/>
      <c r="D443" s="15"/>
      <c r="E443" s="15"/>
      <c r="F443" s="15"/>
      <c r="G443" s="15"/>
      <c r="H443" s="15"/>
      <c r="I443" s="15"/>
      <c r="J443" s="15"/>
    </row>
    <row r="444" spans="2:10" x14ac:dyDescent="0.35">
      <c r="B444" s="15"/>
      <c r="C444" s="15"/>
      <c r="D444" s="15"/>
      <c r="E444" s="15"/>
      <c r="F444" s="15"/>
      <c r="G444" s="15"/>
      <c r="H444" s="15"/>
      <c r="I444" s="15"/>
      <c r="J444" s="15"/>
    </row>
    <row r="445" spans="2:10" x14ac:dyDescent="0.35">
      <c r="B445" s="15"/>
      <c r="C445" s="15"/>
      <c r="D445" s="15"/>
      <c r="E445" s="15"/>
      <c r="F445" s="15"/>
      <c r="G445" s="15"/>
      <c r="H445" s="15"/>
      <c r="I445" s="15"/>
      <c r="J445" s="15"/>
    </row>
    <row r="446" spans="2:10" x14ac:dyDescent="0.35">
      <c r="B446" s="15"/>
      <c r="C446" s="15"/>
      <c r="D446" s="15"/>
      <c r="E446" s="15"/>
      <c r="F446" s="15"/>
      <c r="G446" s="15"/>
      <c r="H446" s="15"/>
      <c r="I446" s="15"/>
      <c r="J446" s="15"/>
    </row>
    <row r="447" spans="2:10" x14ac:dyDescent="0.35">
      <c r="B447" s="15"/>
      <c r="C447" s="15"/>
      <c r="D447" s="15"/>
      <c r="E447" s="15"/>
      <c r="F447" s="15"/>
      <c r="G447" s="15"/>
      <c r="H447" s="15"/>
      <c r="I447" s="15"/>
      <c r="J447" s="15"/>
    </row>
    <row r="448" spans="2:10" x14ac:dyDescent="0.35">
      <c r="B448" s="15"/>
      <c r="C448" s="15"/>
      <c r="D448" s="15"/>
      <c r="E448" s="15"/>
      <c r="F448" s="15"/>
      <c r="G448" s="15"/>
      <c r="H448" s="15"/>
      <c r="I448" s="15"/>
      <c r="J448" s="15"/>
    </row>
    <row r="449" spans="2:10" x14ac:dyDescent="0.35">
      <c r="B449" s="15"/>
      <c r="C449" s="15"/>
      <c r="D449" s="15"/>
      <c r="E449" s="15"/>
      <c r="F449" s="15"/>
      <c r="G449" s="15"/>
      <c r="H449" s="15"/>
      <c r="I449" s="15"/>
      <c r="J449" s="15"/>
    </row>
    <row r="450" spans="2:10" x14ac:dyDescent="0.35">
      <c r="B450" s="15"/>
      <c r="C450" s="15"/>
      <c r="D450" s="15"/>
      <c r="E450" s="15"/>
      <c r="F450" s="15"/>
      <c r="G450" s="15"/>
      <c r="H450" s="15"/>
      <c r="I450" s="15"/>
      <c r="J450" s="15"/>
    </row>
    <row r="451" spans="2:10" x14ac:dyDescent="0.35">
      <c r="B451" s="15"/>
      <c r="C451" s="15"/>
      <c r="D451" s="15"/>
      <c r="E451" s="15"/>
      <c r="F451" s="15"/>
      <c r="G451" s="15"/>
      <c r="H451" s="15"/>
      <c r="I451" s="15"/>
      <c r="J451" s="15"/>
    </row>
    <row r="452" spans="2:10" x14ac:dyDescent="0.35">
      <c r="B452" s="15"/>
      <c r="C452" s="15"/>
      <c r="D452" s="15"/>
      <c r="E452" s="15"/>
      <c r="F452" s="15"/>
      <c r="G452" s="15"/>
      <c r="H452" s="15"/>
      <c r="I452" s="15"/>
      <c r="J452" s="15"/>
    </row>
    <row r="453" spans="2:10" x14ac:dyDescent="0.35">
      <c r="B453" s="15"/>
      <c r="C453" s="15"/>
      <c r="D453" s="15"/>
      <c r="E453" s="15"/>
      <c r="F453" s="15"/>
      <c r="G453" s="15"/>
      <c r="H453" s="15"/>
      <c r="I453" s="15"/>
      <c r="J453" s="15"/>
    </row>
    <row r="454" spans="2:10" x14ac:dyDescent="0.35">
      <c r="B454" s="15"/>
      <c r="C454" s="15"/>
      <c r="D454" s="15"/>
      <c r="E454" s="15"/>
      <c r="F454" s="15"/>
      <c r="G454" s="15"/>
      <c r="H454" s="15"/>
      <c r="I454" s="15"/>
      <c r="J454" s="15"/>
    </row>
    <row r="455" spans="2:10" x14ac:dyDescent="0.35">
      <c r="B455" s="15"/>
      <c r="C455" s="15"/>
      <c r="D455" s="15"/>
      <c r="E455" s="15"/>
      <c r="F455" s="15"/>
      <c r="G455" s="15"/>
      <c r="H455" s="15"/>
      <c r="I455" s="15"/>
      <c r="J455" s="15"/>
    </row>
    <row r="456" spans="2:10" x14ac:dyDescent="0.35">
      <c r="B456" s="15"/>
      <c r="C456" s="15"/>
      <c r="D456" s="15"/>
      <c r="E456" s="15"/>
      <c r="F456" s="15"/>
      <c r="G456" s="15"/>
      <c r="H456" s="15"/>
      <c r="I456" s="15"/>
      <c r="J456" s="15"/>
    </row>
    <row r="457" spans="2:10" x14ac:dyDescent="0.35">
      <c r="B457" s="15"/>
      <c r="C457" s="15"/>
      <c r="D457" s="15"/>
      <c r="E457" s="15"/>
      <c r="F457" s="15"/>
      <c r="G457" s="15"/>
      <c r="H457" s="15"/>
      <c r="I457" s="15"/>
      <c r="J457" s="15"/>
    </row>
    <row r="458" spans="2:10" x14ac:dyDescent="0.35">
      <c r="B458" s="15"/>
      <c r="C458" s="15"/>
      <c r="D458" s="15"/>
      <c r="E458" s="15"/>
      <c r="F458" s="15"/>
      <c r="G458" s="15"/>
      <c r="H458" s="15"/>
      <c r="I458" s="15"/>
      <c r="J458" s="15"/>
    </row>
    <row r="459" spans="2:10" x14ac:dyDescent="0.35">
      <c r="B459" s="15"/>
      <c r="C459" s="15"/>
      <c r="D459" s="15"/>
      <c r="E459" s="15"/>
      <c r="F459" s="15"/>
      <c r="G459" s="15"/>
      <c r="H459" s="15"/>
      <c r="I459" s="15"/>
      <c r="J459" s="15"/>
    </row>
    <row r="460" spans="2:10" x14ac:dyDescent="0.35">
      <c r="B460" s="15"/>
      <c r="C460" s="15"/>
      <c r="D460" s="15"/>
      <c r="E460" s="15"/>
      <c r="F460" s="15"/>
      <c r="G460" s="15"/>
      <c r="H460" s="15"/>
      <c r="I460" s="15"/>
      <c r="J460" s="15"/>
    </row>
    <row r="461" spans="2:10" x14ac:dyDescent="0.35">
      <c r="B461" s="15"/>
      <c r="C461" s="15"/>
      <c r="D461" s="15"/>
      <c r="E461" s="15"/>
      <c r="F461" s="15"/>
      <c r="G461" s="15"/>
      <c r="H461" s="15"/>
      <c r="I461" s="15"/>
      <c r="J461" s="15"/>
    </row>
    <row r="462" spans="2:10" x14ac:dyDescent="0.35">
      <c r="B462" s="15"/>
      <c r="C462" s="15"/>
      <c r="D462" s="15"/>
      <c r="E462" s="15"/>
      <c r="F462" s="15"/>
      <c r="G462" s="15"/>
      <c r="H462" s="15"/>
      <c r="I462" s="15"/>
      <c r="J462" s="15"/>
    </row>
    <row r="463" spans="2:10" x14ac:dyDescent="0.35">
      <c r="B463" s="15"/>
      <c r="C463" s="15"/>
      <c r="D463" s="15"/>
      <c r="E463" s="15"/>
      <c r="F463" s="15"/>
      <c r="G463" s="15"/>
      <c r="H463" s="15"/>
      <c r="I463" s="15"/>
      <c r="J463" s="15"/>
    </row>
    <row r="464" spans="2:10" x14ac:dyDescent="0.35">
      <c r="B464" s="15"/>
      <c r="C464" s="15"/>
      <c r="D464" s="15"/>
      <c r="E464" s="15"/>
      <c r="F464" s="15"/>
      <c r="G464" s="15"/>
      <c r="H464" s="15"/>
      <c r="I464" s="15"/>
      <c r="J464" s="15"/>
    </row>
    <row r="465" spans="2:10" x14ac:dyDescent="0.35">
      <c r="B465" s="15"/>
      <c r="C465" s="15"/>
      <c r="D465" s="15"/>
      <c r="E465" s="15"/>
      <c r="F465" s="15"/>
      <c r="G465" s="15"/>
      <c r="H465" s="15"/>
      <c r="I465" s="15"/>
      <c r="J465" s="15"/>
    </row>
    <row r="466" spans="2:10" x14ac:dyDescent="0.35">
      <c r="B466" s="15"/>
      <c r="C466" s="15"/>
      <c r="D466" s="15"/>
      <c r="E466" s="15"/>
      <c r="F466" s="15"/>
      <c r="G466" s="15"/>
      <c r="H466" s="15"/>
      <c r="I466" s="15"/>
      <c r="J466" s="15"/>
    </row>
    <row r="467" spans="2:10" x14ac:dyDescent="0.35">
      <c r="B467" s="15"/>
      <c r="C467" s="15"/>
      <c r="D467" s="15"/>
      <c r="E467" s="15"/>
      <c r="F467" s="15"/>
      <c r="G467" s="15"/>
      <c r="H467" s="15"/>
      <c r="I467" s="15"/>
      <c r="J467" s="15"/>
    </row>
    <row r="468" spans="2:10" x14ac:dyDescent="0.35">
      <c r="B468" s="15"/>
      <c r="C468" s="15"/>
      <c r="D468" s="15"/>
      <c r="E468" s="15"/>
      <c r="F468" s="15"/>
      <c r="G468" s="15"/>
      <c r="H468" s="15"/>
      <c r="I468" s="15"/>
      <c r="J468" s="15"/>
    </row>
    <row r="469" spans="2:10" x14ac:dyDescent="0.35">
      <c r="B469" s="15"/>
      <c r="C469" s="15"/>
      <c r="D469" s="15"/>
      <c r="E469" s="15"/>
      <c r="F469" s="15"/>
      <c r="G469" s="15"/>
      <c r="H469" s="15"/>
      <c r="I469" s="15"/>
      <c r="J469" s="15"/>
    </row>
    <row r="470" spans="2:10" x14ac:dyDescent="0.35">
      <c r="B470" s="15"/>
      <c r="C470" s="15"/>
      <c r="D470" s="15"/>
      <c r="E470" s="15"/>
      <c r="F470" s="15"/>
      <c r="G470" s="15"/>
      <c r="H470" s="15"/>
      <c r="I470" s="15"/>
      <c r="J470" s="15"/>
    </row>
    <row r="471" spans="2:10" x14ac:dyDescent="0.35">
      <c r="B471" s="15"/>
      <c r="C471" s="15"/>
      <c r="D471" s="15"/>
      <c r="E471" s="15"/>
      <c r="F471" s="15"/>
      <c r="G471" s="15"/>
      <c r="H471" s="15"/>
      <c r="I471" s="15"/>
      <c r="J471" s="15"/>
    </row>
    <row r="472" spans="2:10" x14ac:dyDescent="0.35">
      <c r="B472" s="15"/>
      <c r="C472" s="15"/>
      <c r="D472" s="15"/>
      <c r="E472" s="15"/>
      <c r="F472" s="15"/>
      <c r="G472" s="15"/>
      <c r="H472" s="15"/>
      <c r="I472" s="15"/>
      <c r="J472" s="15"/>
    </row>
    <row r="473" spans="2:10" x14ac:dyDescent="0.35">
      <c r="B473" s="15"/>
      <c r="C473" s="15"/>
      <c r="D473" s="15"/>
      <c r="E473" s="15"/>
      <c r="F473" s="15"/>
      <c r="G473" s="15"/>
      <c r="H473" s="15"/>
      <c r="I473" s="15"/>
      <c r="J473" s="15"/>
    </row>
    <row r="474" spans="2:10" x14ac:dyDescent="0.35">
      <c r="B474" s="15"/>
      <c r="C474" s="15"/>
      <c r="D474" s="15"/>
      <c r="E474" s="15"/>
      <c r="F474" s="15"/>
      <c r="G474" s="15"/>
      <c r="H474" s="15"/>
      <c r="I474" s="15"/>
      <c r="J474" s="15"/>
    </row>
    <row r="475" spans="2:10" x14ac:dyDescent="0.35">
      <c r="B475" s="15"/>
      <c r="C475" s="15"/>
      <c r="D475" s="15"/>
      <c r="E475" s="15"/>
      <c r="F475" s="15"/>
      <c r="G475" s="15"/>
      <c r="H475" s="15"/>
      <c r="I475" s="15"/>
      <c r="J475" s="15"/>
    </row>
    <row r="476" spans="2:10" x14ac:dyDescent="0.35">
      <c r="B476" s="15"/>
      <c r="C476" s="15"/>
      <c r="D476" s="15"/>
      <c r="E476" s="15"/>
      <c r="F476" s="15"/>
      <c r="G476" s="15"/>
      <c r="H476" s="15"/>
      <c r="I476" s="15"/>
      <c r="J476" s="15"/>
    </row>
    <row r="477" spans="2:10" x14ac:dyDescent="0.35">
      <c r="B477" s="15"/>
      <c r="C477" s="15"/>
      <c r="D477" s="15"/>
      <c r="E477" s="15"/>
      <c r="F477" s="15"/>
      <c r="G477" s="15"/>
      <c r="H477" s="15"/>
      <c r="I477" s="15"/>
      <c r="J477" s="15"/>
    </row>
    <row r="478" spans="2:10" x14ac:dyDescent="0.35">
      <c r="B478" s="15"/>
      <c r="C478" s="15"/>
      <c r="D478" s="15"/>
      <c r="E478" s="15"/>
      <c r="F478" s="15"/>
      <c r="G478" s="15"/>
      <c r="H478" s="15"/>
      <c r="I478" s="15"/>
      <c r="J478" s="15"/>
    </row>
    <row r="479" spans="2:10" x14ac:dyDescent="0.35">
      <c r="B479" s="15"/>
      <c r="C479" s="15"/>
      <c r="D479" s="15"/>
      <c r="E479" s="15"/>
      <c r="F479" s="15"/>
      <c r="G479" s="15"/>
      <c r="H479" s="15"/>
      <c r="I479" s="15"/>
      <c r="J479" s="15"/>
    </row>
    <row r="480" spans="2:10" x14ac:dyDescent="0.35">
      <c r="B480" s="15"/>
      <c r="C480" s="15"/>
      <c r="D480" s="15"/>
      <c r="E480" s="15"/>
      <c r="F480" s="15"/>
      <c r="G480" s="15"/>
      <c r="H480" s="15"/>
      <c r="I480" s="15"/>
      <c r="J480" s="15"/>
    </row>
    <row r="481" spans="2:10" x14ac:dyDescent="0.35">
      <c r="B481" s="15"/>
      <c r="C481" s="15"/>
      <c r="D481" s="15"/>
      <c r="E481" s="15"/>
      <c r="F481" s="15"/>
      <c r="G481" s="15"/>
      <c r="H481" s="15"/>
      <c r="I481" s="15"/>
      <c r="J481" s="15"/>
    </row>
    <row r="482" spans="2:10" x14ac:dyDescent="0.35">
      <c r="B482" s="15"/>
      <c r="C482" s="15"/>
      <c r="D482" s="15"/>
      <c r="E482" s="15"/>
      <c r="F482" s="15"/>
      <c r="G482" s="15"/>
      <c r="H482" s="15"/>
      <c r="I482" s="15"/>
      <c r="J482" s="15"/>
    </row>
    <row r="483" spans="2:10" x14ac:dyDescent="0.35">
      <c r="B483" s="15"/>
      <c r="C483" s="15"/>
      <c r="D483" s="15"/>
      <c r="E483" s="15"/>
      <c r="F483" s="15"/>
      <c r="G483" s="15"/>
      <c r="H483" s="15"/>
      <c r="I483" s="15"/>
      <c r="J483" s="15"/>
    </row>
    <row r="484" spans="2:10" x14ac:dyDescent="0.35">
      <c r="B484" s="15"/>
      <c r="C484" s="15"/>
      <c r="D484" s="15"/>
      <c r="E484" s="15"/>
      <c r="F484" s="15"/>
      <c r="G484" s="15"/>
      <c r="H484" s="15"/>
      <c r="I484" s="15"/>
      <c r="J484" s="15"/>
    </row>
    <row r="485" spans="2:10" x14ac:dyDescent="0.35">
      <c r="B485" s="15"/>
      <c r="C485" s="15"/>
      <c r="D485" s="15"/>
      <c r="E485" s="15"/>
      <c r="F485" s="15"/>
      <c r="G485" s="15"/>
      <c r="H485" s="15"/>
      <c r="I485" s="15"/>
      <c r="J485" s="15"/>
    </row>
    <row r="486" spans="2:10" x14ac:dyDescent="0.35">
      <c r="B486" s="15"/>
      <c r="C486" s="15"/>
      <c r="D486" s="15"/>
      <c r="E486" s="15"/>
      <c r="F486" s="15"/>
      <c r="G486" s="15"/>
      <c r="H486" s="15"/>
      <c r="I486" s="15"/>
      <c r="J486" s="15"/>
    </row>
    <row r="487" spans="2:10" x14ac:dyDescent="0.35">
      <c r="B487" s="15"/>
      <c r="C487" s="15"/>
      <c r="D487" s="15"/>
      <c r="E487" s="15"/>
      <c r="F487" s="15"/>
      <c r="G487" s="15"/>
      <c r="H487" s="15"/>
      <c r="I487" s="15"/>
      <c r="J487" s="15"/>
    </row>
    <row r="488" spans="2:10" x14ac:dyDescent="0.35">
      <c r="B488" s="15"/>
      <c r="C488" s="15"/>
      <c r="D488" s="15"/>
      <c r="E488" s="15"/>
      <c r="F488" s="15"/>
      <c r="G488" s="15"/>
      <c r="H488" s="15"/>
      <c r="I488" s="15"/>
      <c r="J488" s="15"/>
    </row>
    <row r="489" spans="2:10" x14ac:dyDescent="0.35">
      <c r="B489" s="15"/>
      <c r="C489" s="15"/>
      <c r="D489" s="15"/>
      <c r="E489" s="15"/>
      <c r="F489" s="15"/>
      <c r="G489" s="15"/>
      <c r="H489" s="15"/>
      <c r="I489" s="15"/>
      <c r="J489" s="15"/>
    </row>
    <row r="490" spans="2:10" x14ac:dyDescent="0.35">
      <c r="B490" s="15"/>
      <c r="C490" s="15"/>
      <c r="D490" s="15"/>
      <c r="E490" s="15"/>
      <c r="F490" s="15"/>
      <c r="G490" s="15"/>
      <c r="H490" s="15"/>
      <c r="I490" s="15"/>
      <c r="J490" s="15"/>
    </row>
    <row r="491" spans="2:10" x14ac:dyDescent="0.35">
      <c r="B491" s="15"/>
      <c r="C491" s="15"/>
      <c r="D491" s="15"/>
      <c r="E491" s="15"/>
      <c r="F491" s="15"/>
      <c r="G491" s="15"/>
      <c r="H491" s="15"/>
      <c r="I491" s="15"/>
      <c r="J491" s="15"/>
    </row>
    <row r="492" spans="2:10" x14ac:dyDescent="0.35">
      <c r="B492" s="15"/>
      <c r="C492" s="15"/>
      <c r="D492" s="15"/>
      <c r="E492" s="15"/>
      <c r="F492" s="15"/>
      <c r="G492" s="15"/>
      <c r="H492" s="15"/>
      <c r="I492" s="15"/>
      <c r="J492" s="15"/>
    </row>
    <row r="493" spans="2:10" x14ac:dyDescent="0.35">
      <c r="B493" s="15"/>
      <c r="C493" s="15"/>
      <c r="D493" s="15"/>
      <c r="E493" s="15"/>
      <c r="F493" s="15"/>
      <c r="G493" s="15"/>
      <c r="H493" s="15"/>
      <c r="I493" s="15"/>
      <c r="J493" s="15"/>
    </row>
    <row r="494" spans="2:10" x14ac:dyDescent="0.35">
      <c r="B494" s="15"/>
      <c r="C494" s="15"/>
      <c r="D494" s="15"/>
      <c r="E494" s="15"/>
      <c r="F494" s="15"/>
      <c r="G494" s="15"/>
      <c r="H494" s="15"/>
      <c r="I494" s="15"/>
      <c r="J494" s="15"/>
    </row>
    <row r="495" spans="2:10" x14ac:dyDescent="0.35">
      <c r="B495" s="15"/>
      <c r="C495" s="15"/>
      <c r="D495" s="15"/>
      <c r="E495" s="15"/>
      <c r="F495" s="15"/>
      <c r="G495" s="15"/>
      <c r="H495" s="15"/>
      <c r="I495" s="15"/>
      <c r="J495" s="15"/>
    </row>
    <row r="496" spans="2:10" x14ac:dyDescent="0.35">
      <c r="B496" s="15"/>
      <c r="C496" s="15"/>
      <c r="D496" s="15"/>
      <c r="E496" s="15"/>
      <c r="F496" s="15"/>
      <c r="G496" s="15"/>
      <c r="H496" s="15"/>
      <c r="I496" s="15"/>
      <c r="J496" s="15"/>
    </row>
    <row r="497" spans="2:10" x14ac:dyDescent="0.35">
      <c r="B497" s="15"/>
      <c r="C497" s="15"/>
      <c r="D497" s="15"/>
      <c r="E497" s="15"/>
      <c r="F497" s="15"/>
      <c r="G497" s="15"/>
      <c r="H497" s="15"/>
      <c r="I497" s="15"/>
      <c r="J497" s="15"/>
    </row>
    <row r="498" spans="2:10" x14ac:dyDescent="0.35">
      <c r="B498" s="15"/>
      <c r="C498" s="15"/>
      <c r="D498" s="15"/>
      <c r="E498" s="15"/>
      <c r="F498" s="15"/>
      <c r="G498" s="15"/>
      <c r="H498" s="15"/>
      <c r="I498" s="15"/>
      <c r="J498" s="15"/>
    </row>
    <row r="499" spans="2:10" x14ac:dyDescent="0.35">
      <c r="B499" s="15"/>
      <c r="C499" s="15"/>
      <c r="D499" s="15"/>
      <c r="E499" s="15"/>
      <c r="F499" s="15"/>
      <c r="G499" s="15"/>
      <c r="H499" s="15"/>
      <c r="I499" s="15"/>
      <c r="J499" s="15"/>
    </row>
    <row r="500" spans="2:10" x14ac:dyDescent="0.35">
      <c r="B500" s="15"/>
      <c r="C500" s="15"/>
      <c r="D500" s="15"/>
      <c r="E500" s="15"/>
      <c r="F500" s="15"/>
      <c r="G500" s="15"/>
      <c r="H500" s="15"/>
      <c r="I500" s="15"/>
      <c r="J500" s="15"/>
    </row>
    <row r="501" spans="2:10" x14ac:dyDescent="0.35">
      <c r="B501" s="15"/>
      <c r="C501" s="15"/>
      <c r="D501" s="15"/>
      <c r="E501" s="15"/>
      <c r="F501" s="15"/>
      <c r="G501" s="15"/>
      <c r="H501" s="15"/>
      <c r="I501" s="15"/>
      <c r="J501" s="15"/>
    </row>
    <row r="502" spans="2:10" x14ac:dyDescent="0.35">
      <c r="B502" s="15"/>
      <c r="C502" s="15"/>
      <c r="D502" s="15"/>
      <c r="E502" s="15"/>
      <c r="F502" s="15"/>
      <c r="G502" s="15"/>
      <c r="H502" s="15"/>
      <c r="I502" s="15"/>
      <c r="J502" s="15"/>
    </row>
    <row r="503" spans="2:10" x14ac:dyDescent="0.35">
      <c r="B503" s="15"/>
      <c r="C503" s="15"/>
      <c r="D503" s="15"/>
      <c r="E503" s="15"/>
      <c r="F503" s="15"/>
      <c r="G503" s="15"/>
      <c r="H503" s="15"/>
      <c r="I503" s="15"/>
      <c r="J503" s="15"/>
    </row>
    <row r="504" spans="2:10" x14ac:dyDescent="0.35">
      <c r="B504" s="15"/>
      <c r="C504" s="15"/>
      <c r="D504" s="15"/>
      <c r="E504" s="15"/>
      <c r="F504" s="15"/>
      <c r="G504" s="15"/>
      <c r="H504" s="15"/>
      <c r="I504" s="15"/>
      <c r="J504" s="15"/>
    </row>
    <row r="505" spans="2:10" x14ac:dyDescent="0.35">
      <c r="B505" s="15"/>
      <c r="C505" s="15"/>
      <c r="D505" s="15"/>
      <c r="E505" s="15"/>
      <c r="F505" s="15"/>
      <c r="G505" s="15"/>
      <c r="H505" s="15"/>
      <c r="I505" s="15"/>
      <c r="J505" s="15"/>
    </row>
    <row r="506" spans="2:10" x14ac:dyDescent="0.35">
      <c r="B506" s="15"/>
      <c r="C506" s="15"/>
      <c r="D506" s="15"/>
      <c r="E506" s="15"/>
      <c r="F506" s="15"/>
      <c r="G506" s="15"/>
      <c r="H506" s="15"/>
      <c r="I506" s="15"/>
      <c r="J506" s="15"/>
    </row>
    <row r="507" spans="2:10" x14ac:dyDescent="0.35">
      <c r="B507" s="15"/>
      <c r="C507" s="15"/>
      <c r="D507" s="15"/>
      <c r="E507" s="15"/>
      <c r="F507" s="15"/>
      <c r="G507" s="15"/>
      <c r="H507" s="15"/>
      <c r="I507" s="15"/>
      <c r="J507" s="15"/>
    </row>
    <row r="508" spans="2:10" x14ac:dyDescent="0.35">
      <c r="B508" s="15"/>
      <c r="C508" s="15"/>
      <c r="D508" s="15"/>
      <c r="E508" s="15"/>
      <c r="F508" s="15"/>
      <c r="G508" s="15"/>
      <c r="H508" s="15"/>
      <c r="I508" s="15"/>
      <c r="J508" s="15"/>
    </row>
    <row r="509" spans="2:10" x14ac:dyDescent="0.35">
      <c r="B509" s="15"/>
      <c r="C509" s="15"/>
      <c r="D509" s="15"/>
      <c r="E509" s="15"/>
      <c r="F509" s="15"/>
      <c r="G509" s="15"/>
      <c r="H509" s="15"/>
      <c r="I509" s="15"/>
      <c r="J509" s="15"/>
    </row>
    <row r="510" spans="2:10" x14ac:dyDescent="0.35">
      <c r="B510" s="15"/>
      <c r="C510" s="15"/>
      <c r="D510" s="15"/>
      <c r="E510" s="15"/>
      <c r="F510" s="15"/>
      <c r="G510" s="15"/>
      <c r="H510" s="15"/>
      <c r="I510" s="15"/>
      <c r="J510" s="15"/>
    </row>
    <row r="511" spans="2:10" x14ac:dyDescent="0.35">
      <c r="B511" s="15"/>
      <c r="C511" s="15"/>
      <c r="D511" s="15"/>
      <c r="E511" s="15"/>
      <c r="F511" s="15"/>
      <c r="G511" s="15"/>
      <c r="H511" s="15"/>
      <c r="I511" s="15"/>
      <c r="J511" s="15"/>
    </row>
    <row r="512" spans="2:10" x14ac:dyDescent="0.35">
      <c r="B512" s="15"/>
      <c r="C512" s="15"/>
      <c r="D512" s="15"/>
      <c r="E512" s="15"/>
      <c r="F512" s="15"/>
      <c r="G512" s="15"/>
      <c r="H512" s="15"/>
      <c r="I512" s="15"/>
      <c r="J512" s="15"/>
    </row>
    <row r="513" spans="2:10" x14ac:dyDescent="0.35">
      <c r="B513" s="15"/>
      <c r="C513" s="15"/>
      <c r="D513" s="15"/>
      <c r="E513" s="15"/>
      <c r="F513" s="15"/>
      <c r="G513" s="15"/>
      <c r="H513" s="15"/>
      <c r="I513" s="15"/>
      <c r="J513" s="15"/>
    </row>
    <row r="514" spans="2:10" x14ac:dyDescent="0.35">
      <c r="B514" s="15"/>
      <c r="C514" s="15"/>
      <c r="D514" s="15"/>
      <c r="E514" s="15"/>
      <c r="F514" s="15"/>
      <c r="G514" s="15"/>
      <c r="H514" s="15"/>
      <c r="I514" s="15"/>
      <c r="J514" s="15"/>
    </row>
    <row r="515" spans="2:10" x14ac:dyDescent="0.35">
      <c r="B515" s="15"/>
      <c r="C515" s="15"/>
      <c r="D515" s="15"/>
      <c r="E515" s="15"/>
      <c r="F515" s="15"/>
      <c r="G515" s="15"/>
      <c r="H515" s="15"/>
      <c r="I515" s="15"/>
      <c r="J515" s="15"/>
    </row>
    <row r="516" spans="2:10" x14ac:dyDescent="0.35">
      <c r="B516" s="15"/>
      <c r="C516" s="15"/>
      <c r="D516" s="15"/>
      <c r="E516" s="15"/>
      <c r="F516" s="15"/>
      <c r="G516" s="15"/>
      <c r="H516" s="15"/>
      <c r="I516" s="15"/>
      <c r="J516" s="15"/>
    </row>
    <row r="517" spans="2:10" x14ac:dyDescent="0.35">
      <c r="B517" s="15"/>
      <c r="C517" s="15"/>
      <c r="D517" s="15"/>
      <c r="E517" s="15"/>
      <c r="F517" s="15"/>
      <c r="G517" s="15"/>
      <c r="H517" s="15"/>
      <c r="I517" s="15"/>
      <c r="J517" s="15"/>
    </row>
    <row r="518" spans="2:10" x14ac:dyDescent="0.35">
      <c r="B518" s="15"/>
      <c r="C518" s="15"/>
      <c r="D518" s="15"/>
      <c r="E518" s="15"/>
      <c r="F518" s="15"/>
      <c r="G518" s="15"/>
      <c r="H518" s="15"/>
      <c r="I518" s="15"/>
      <c r="J518" s="15"/>
    </row>
    <row r="519" spans="2:10" x14ac:dyDescent="0.35">
      <c r="B519" s="15"/>
      <c r="C519" s="15"/>
      <c r="D519" s="15"/>
      <c r="E519" s="15"/>
      <c r="F519" s="15"/>
      <c r="G519" s="15"/>
      <c r="H519" s="15"/>
      <c r="I519" s="15"/>
      <c r="J519" s="15"/>
    </row>
    <row r="520" spans="2:10" x14ac:dyDescent="0.35">
      <c r="B520" s="15"/>
      <c r="C520" s="15"/>
      <c r="D520" s="15"/>
      <c r="E520" s="15"/>
      <c r="F520" s="15"/>
      <c r="G520" s="15"/>
      <c r="H520" s="15"/>
      <c r="I520" s="15"/>
      <c r="J520" s="15"/>
    </row>
    <row r="521" spans="2:10" x14ac:dyDescent="0.35">
      <c r="B521" s="15"/>
      <c r="C521" s="15"/>
      <c r="D521" s="15"/>
      <c r="E521" s="15"/>
      <c r="F521" s="15"/>
      <c r="G521" s="15"/>
      <c r="H521" s="15"/>
      <c r="I521" s="15"/>
      <c r="J521" s="15"/>
    </row>
    <row r="522" spans="2:10" x14ac:dyDescent="0.35">
      <c r="B522" s="15"/>
      <c r="C522" s="15"/>
      <c r="D522" s="15"/>
      <c r="E522" s="15"/>
      <c r="F522" s="15"/>
      <c r="G522" s="15"/>
      <c r="H522" s="15"/>
      <c r="I522" s="15"/>
      <c r="J522" s="15"/>
    </row>
    <row r="523" spans="2:10" x14ac:dyDescent="0.35">
      <c r="B523" s="15"/>
      <c r="C523" s="15"/>
      <c r="D523" s="15"/>
      <c r="E523" s="15"/>
      <c r="F523" s="15"/>
      <c r="G523" s="15"/>
      <c r="H523" s="15"/>
      <c r="I523" s="15"/>
      <c r="J523" s="15"/>
    </row>
    <row r="524" spans="2:10" x14ac:dyDescent="0.35">
      <c r="B524" s="15"/>
      <c r="C524" s="15"/>
      <c r="D524" s="15"/>
      <c r="E524" s="15"/>
      <c r="F524" s="15"/>
      <c r="G524" s="15"/>
      <c r="H524" s="15"/>
      <c r="I524" s="15"/>
      <c r="J524" s="15"/>
    </row>
    <row r="525" spans="2:10" x14ac:dyDescent="0.35">
      <c r="B525" s="15"/>
      <c r="C525" s="15"/>
      <c r="D525" s="15"/>
      <c r="E525" s="15"/>
      <c r="F525" s="15"/>
      <c r="G525" s="15"/>
      <c r="H525" s="15"/>
      <c r="I525" s="15"/>
      <c r="J525" s="15"/>
    </row>
    <row r="526" spans="2:10" x14ac:dyDescent="0.35">
      <c r="B526" s="15"/>
      <c r="C526" s="15"/>
      <c r="D526" s="15"/>
      <c r="E526" s="15"/>
      <c r="F526" s="15"/>
      <c r="G526" s="15"/>
      <c r="H526" s="15"/>
      <c r="I526" s="15"/>
      <c r="J526" s="15"/>
    </row>
    <row r="527" spans="2:10" x14ac:dyDescent="0.35">
      <c r="B527" s="15"/>
      <c r="C527" s="15"/>
      <c r="D527" s="15"/>
      <c r="E527" s="15"/>
      <c r="F527" s="15"/>
      <c r="G527" s="15"/>
      <c r="H527" s="15"/>
      <c r="I527" s="15"/>
      <c r="J527" s="15"/>
    </row>
    <row r="528" spans="2:10" x14ac:dyDescent="0.35">
      <c r="B528" s="15"/>
      <c r="C528" s="15"/>
      <c r="D528" s="15"/>
      <c r="E528" s="15"/>
      <c r="F528" s="15"/>
      <c r="G528" s="15"/>
      <c r="H528" s="15"/>
      <c r="I528" s="15"/>
      <c r="J528" s="15"/>
    </row>
    <row r="529" spans="2:10" x14ac:dyDescent="0.35">
      <c r="B529" s="15"/>
      <c r="C529" s="15"/>
      <c r="D529" s="15"/>
      <c r="E529" s="15"/>
      <c r="F529" s="15"/>
      <c r="G529" s="15"/>
      <c r="H529" s="15"/>
      <c r="I529" s="15"/>
      <c r="J529" s="15"/>
    </row>
    <row r="530" spans="2:10" x14ac:dyDescent="0.35">
      <c r="B530" s="15"/>
      <c r="C530" s="15"/>
      <c r="D530" s="15"/>
      <c r="E530" s="15"/>
      <c r="F530" s="15"/>
      <c r="G530" s="15"/>
      <c r="H530" s="15"/>
      <c r="I530" s="15"/>
      <c r="J530" s="15"/>
    </row>
    <row r="531" spans="2:10" x14ac:dyDescent="0.35">
      <c r="B531" s="15"/>
      <c r="C531" s="15"/>
      <c r="D531" s="15"/>
      <c r="E531" s="15"/>
      <c r="F531" s="15"/>
      <c r="G531" s="15"/>
      <c r="H531" s="15"/>
      <c r="I531" s="15"/>
      <c r="J531" s="15"/>
    </row>
    <row r="532" spans="2:10" x14ac:dyDescent="0.35">
      <c r="B532" s="15"/>
      <c r="C532" s="15"/>
      <c r="D532" s="15"/>
      <c r="E532" s="15"/>
      <c r="F532" s="15"/>
      <c r="G532" s="15"/>
      <c r="H532" s="15"/>
      <c r="I532" s="15"/>
      <c r="J532" s="15"/>
    </row>
    <row r="533" spans="2:10" x14ac:dyDescent="0.35">
      <c r="B533" s="15"/>
      <c r="C533" s="15"/>
      <c r="D533" s="15"/>
      <c r="E533" s="15"/>
      <c r="F533" s="15"/>
      <c r="G533" s="15"/>
      <c r="H533" s="15"/>
      <c r="I533" s="15"/>
      <c r="J533" s="15"/>
    </row>
    <row r="534" spans="2:10" x14ac:dyDescent="0.35">
      <c r="B534" s="15"/>
      <c r="C534" s="15"/>
      <c r="D534" s="15"/>
      <c r="E534" s="15"/>
      <c r="F534" s="15"/>
      <c r="G534" s="15"/>
      <c r="H534" s="15"/>
      <c r="I534" s="15"/>
      <c r="J534" s="15"/>
    </row>
    <row r="535" spans="2:10" x14ac:dyDescent="0.35">
      <c r="B535" s="15"/>
      <c r="C535" s="15"/>
      <c r="D535" s="15"/>
      <c r="E535" s="15"/>
      <c r="F535" s="15"/>
      <c r="G535" s="15"/>
      <c r="H535" s="15"/>
      <c r="I535" s="15"/>
      <c r="J535" s="15"/>
    </row>
    <row r="536" spans="2:10" x14ac:dyDescent="0.35">
      <c r="B536" s="15"/>
      <c r="C536" s="15"/>
      <c r="D536" s="15"/>
      <c r="E536" s="15"/>
      <c r="F536" s="15"/>
      <c r="G536" s="15"/>
      <c r="H536" s="15"/>
      <c r="I536" s="15"/>
      <c r="J536" s="15"/>
    </row>
    <row r="537" spans="2:10" x14ac:dyDescent="0.35">
      <c r="B537" s="15"/>
      <c r="C537" s="15"/>
      <c r="D537" s="15"/>
      <c r="E537" s="15"/>
      <c r="F537" s="15"/>
      <c r="G537" s="15"/>
      <c r="H537" s="15"/>
      <c r="I537" s="15"/>
      <c r="J537" s="15"/>
    </row>
    <row r="538" spans="2:10" x14ac:dyDescent="0.35">
      <c r="B538" s="15"/>
      <c r="C538" s="15"/>
      <c r="D538" s="15"/>
      <c r="E538" s="15"/>
      <c r="F538" s="15"/>
      <c r="G538" s="15"/>
      <c r="H538" s="15"/>
      <c r="I538" s="15"/>
      <c r="J538" s="15"/>
    </row>
    <row r="539" spans="2:10" x14ac:dyDescent="0.35">
      <c r="B539" s="15"/>
      <c r="C539" s="15"/>
      <c r="D539" s="15"/>
      <c r="E539" s="15"/>
      <c r="F539" s="15"/>
      <c r="G539" s="15"/>
      <c r="H539" s="15"/>
      <c r="I539" s="15"/>
      <c r="J539" s="15"/>
    </row>
    <row r="540" spans="2:10" x14ac:dyDescent="0.35">
      <c r="B540" s="15"/>
      <c r="C540" s="15"/>
      <c r="D540" s="15"/>
      <c r="E540" s="15"/>
      <c r="F540" s="15"/>
      <c r="G540" s="15"/>
      <c r="H540" s="15"/>
      <c r="I540" s="15"/>
      <c r="J540" s="15"/>
    </row>
    <row r="541" spans="2:10" x14ac:dyDescent="0.35">
      <c r="B541" s="15"/>
      <c r="C541" s="15"/>
      <c r="D541" s="15"/>
      <c r="E541" s="15"/>
      <c r="F541" s="15"/>
      <c r="G541" s="15"/>
      <c r="H541" s="15"/>
      <c r="I541" s="15"/>
      <c r="J541" s="15"/>
    </row>
    <row r="542" spans="2:10" x14ac:dyDescent="0.35">
      <c r="B542" s="15"/>
      <c r="C542" s="15"/>
      <c r="D542" s="15"/>
      <c r="E542" s="15"/>
      <c r="F542" s="15"/>
      <c r="G542" s="15"/>
      <c r="H542" s="15"/>
      <c r="I542" s="15"/>
      <c r="J542" s="15"/>
    </row>
    <row r="543" spans="2:10" x14ac:dyDescent="0.35">
      <c r="B543" s="15"/>
      <c r="C543" s="15"/>
      <c r="D543" s="15"/>
      <c r="E543" s="15"/>
      <c r="F543" s="15"/>
      <c r="G543" s="15"/>
      <c r="H543" s="15"/>
      <c r="I543" s="15"/>
      <c r="J543" s="15"/>
    </row>
    <row r="544" spans="2:10" x14ac:dyDescent="0.35">
      <c r="B544" s="15"/>
      <c r="C544" s="15"/>
      <c r="D544" s="15"/>
      <c r="E544" s="15"/>
      <c r="F544" s="15"/>
      <c r="G544" s="15"/>
      <c r="H544" s="15"/>
      <c r="I544" s="15"/>
      <c r="J544" s="15"/>
    </row>
    <row r="545" spans="2:10" x14ac:dyDescent="0.35">
      <c r="B545" s="15"/>
      <c r="C545" s="15"/>
      <c r="D545" s="15"/>
      <c r="E545" s="15"/>
      <c r="F545" s="15"/>
      <c r="G545" s="15"/>
      <c r="H545" s="15"/>
      <c r="I545" s="15"/>
      <c r="J545" s="15"/>
    </row>
    <row r="546" spans="2:10" x14ac:dyDescent="0.35">
      <c r="B546" s="15"/>
      <c r="C546" s="15"/>
      <c r="D546" s="15"/>
      <c r="E546" s="15"/>
      <c r="F546" s="15"/>
      <c r="G546" s="15"/>
      <c r="H546" s="15"/>
      <c r="I546" s="15"/>
      <c r="J546" s="15"/>
    </row>
    <row r="547" spans="2:10" x14ac:dyDescent="0.35">
      <c r="B547" s="15"/>
      <c r="C547" s="15"/>
      <c r="D547" s="15"/>
      <c r="E547" s="15"/>
      <c r="F547" s="15"/>
      <c r="G547" s="15"/>
      <c r="H547" s="15"/>
      <c r="I547" s="15"/>
      <c r="J547" s="15"/>
    </row>
    <row r="548" spans="2:10" x14ac:dyDescent="0.35">
      <c r="B548" s="15"/>
      <c r="C548" s="15"/>
      <c r="D548" s="15"/>
      <c r="E548" s="15"/>
      <c r="F548" s="15"/>
      <c r="G548" s="15"/>
      <c r="H548" s="15"/>
      <c r="I548" s="15"/>
      <c r="J548" s="15"/>
    </row>
    <row r="549" spans="2:10" x14ac:dyDescent="0.35">
      <c r="B549" s="15"/>
      <c r="C549" s="15"/>
      <c r="D549" s="15"/>
      <c r="E549" s="15"/>
      <c r="F549" s="15"/>
      <c r="G549" s="15"/>
      <c r="H549" s="15"/>
      <c r="I549" s="15"/>
      <c r="J549" s="15"/>
    </row>
    <row r="550" spans="2:10" x14ac:dyDescent="0.35">
      <c r="B550" s="15"/>
      <c r="C550" s="15"/>
      <c r="D550" s="15"/>
      <c r="E550" s="15"/>
      <c r="F550" s="15"/>
      <c r="G550" s="15"/>
      <c r="H550" s="15"/>
      <c r="I550" s="15"/>
      <c r="J550" s="15"/>
    </row>
    <row r="551" spans="2:10" x14ac:dyDescent="0.35">
      <c r="B551" s="15"/>
      <c r="C551" s="15"/>
      <c r="D551" s="15"/>
      <c r="E551" s="15"/>
      <c r="F551" s="15"/>
      <c r="G551" s="15"/>
      <c r="H551" s="15"/>
      <c r="I551" s="15"/>
      <c r="J551" s="15"/>
    </row>
    <row r="552" spans="2:10" x14ac:dyDescent="0.35">
      <c r="B552" s="15"/>
      <c r="C552" s="15"/>
      <c r="D552" s="15"/>
      <c r="E552" s="15"/>
      <c r="F552" s="15"/>
      <c r="G552" s="15"/>
      <c r="H552" s="15"/>
      <c r="I552" s="15"/>
      <c r="J552" s="15"/>
    </row>
    <row r="553" spans="2:10" x14ac:dyDescent="0.35">
      <c r="B553" s="15"/>
      <c r="C553" s="15"/>
      <c r="D553" s="15"/>
      <c r="E553" s="15"/>
      <c r="F553" s="15"/>
      <c r="G553" s="15"/>
      <c r="H553" s="15"/>
      <c r="I553" s="15"/>
      <c r="J553" s="15"/>
    </row>
    <row r="554" spans="2:10" x14ac:dyDescent="0.35">
      <c r="B554" s="15"/>
      <c r="C554" s="15"/>
      <c r="D554" s="15"/>
      <c r="E554" s="15"/>
      <c r="F554" s="15"/>
      <c r="G554" s="15"/>
      <c r="H554" s="15"/>
      <c r="I554" s="15"/>
      <c r="J554" s="15"/>
    </row>
    <row r="555" spans="2:10" x14ac:dyDescent="0.35">
      <c r="B555" s="15"/>
      <c r="C555" s="15"/>
      <c r="D555" s="15"/>
      <c r="E555" s="15"/>
      <c r="F555" s="15"/>
      <c r="G555" s="15"/>
      <c r="H555" s="15"/>
      <c r="I555" s="15"/>
      <c r="J555" s="15"/>
    </row>
    <row r="556" spans="2:10" x14ac:dyDescent="0.35">
      <c r="B556" s="15"/>
      <c r="C556" s="15"/>
      <c r="D556" s="15"/>
      <c r="E556" s="15"/>
      <c r="F556" s="15"/>
      <c r="G556" s="15"/>
      <c r="H556" s="15"/>
      <c r="I556" s="15"/>
      <c r="J556" s="15"/>
    </row>
    <row r="557" spans="2:10" x14ac:dyDescent="0.35">
      <c r="B557" s="15"/>
      <c r="C557" s="15"/>
      <c r="D557" s="15"/>
      <c r="E557" s="15"/>
      <c r="F557" s="15"/>
      <c r="G557" s="15"/>
      <c r="H557" s="15"/>
      <c r="I557" s="15"/>
      <c r="J557" s="15"/>
    </row>
    <row r="558" spans="2:10" x14ac:dyDescent="0.35">
      <c r="B558" s="15"/>
      <c r="C558" s="15"/>
      <c r="D558" s="15"/>
      <c r="E558" s="15"/>
      <c r="F558" s="15"/>
      <c r="G558" s="15"/>
      <c r="H558" s="15"/>
      <c r="I558" s="15"/>
      <c r="J558" s="15"/>
    </row>
    <row r="559" spans="2:10" x14ac:dyDescent="0.35">
      <c r="B559" s="15"/>
      <c r="C559" s="15"/>
      <c r="D559" s="15"/>
      <c r="E559" s="15"/>
      <c r="F559" s="15"/>
      <c r="G559" s="15"/>
      <c r="H559" s="15"/>
      <c r="I559" s="15"/>
      <c r="J559" s="15"/>
    </row>
    <row r="560" spans="2:10" x14ac:dyDescent="0.35">
      <c r="B560" s="15"/>
      <c r="C560" s="15"/>
      <c r="D560" s="15"/>
      <c r="E560" s="15"/>
      <c r="F560" s="15"/>
      <c r="G560" s="15"/>
      <c r="H560" s="15"/>
      <c r="I560" s="15"/>
      <c r="J560" s="15"/>
    </row>
    <row r="561" spans="2:10" x14ac:dyDescent="0.35">
      <c r="B561" s="15"/>
      <c r="C561" s="15"/>
      <c r="D561" s="15"/>
      <c r="E561" s="15"/>
      <c r="F561" s="15"/>
      <c r="G561" s="15"/>
      <c r="H561" s="15"/>
      <c r="I561" s="15"/>
      <c r="J561" s="15"/>
    </row>
    <row r="562" spans="2:10" x14ac:dyDescent="0.35">
      <c r="B562" s="15"/>
      <c r="C562" s="15"/>
      <c r="D562" s="15"/>
      <c r="E562" s="15"/>
      <c r="F562" s="15"/>
      <c r="G562" s="15"/>
      <c r="H562" s="15"/>
      <c r="I562" s="15"/>
      <c r="J562" s="15"/>
    </row>
    <row r="563" spans="2:10" x14ac:dyDescent="0.35">
      <c r="B563" s="15"/>
      <c r="C563" s="15"/>
      <c r="D563" s="15"/>
      <c r="E563" s="15"/>
      <c r="F563" s="15"/>
      <c r="G563" s="15"/>
      <c r="H563" s="15"/>
      <c r="I563" s="15"/>
      <c r="J563" s="15"/>
    </row>
    <row r="564" spans="2:10" x14ac:dyDescent="0.35">
      <c r="B564" s="15"/>
      <c r="C564" s="15"/>
      <c r="D564" s="15"/>
      <c r="E564" s="15"/>
      <c r="F564" s="15"/>
      <c r="G564" s="15"/>
      <c r="H564" s="15"/>
      <c r="I564" s="15"/>
      <c r="J564" s="15"/>
    </row>
    <row r="565" spans="2:10" x14ac:dyDescent="0.35">
      <c r="B565" s="15"/>
      <c r="C565" s="15"/>
      <c r="D565" s="15"/>
      <c r="E565" s="15"/>
      <c r="F565" s="15"/>
      <c r="G565" s="15"/>
      <c r="H565" s="15"/>
      <c r="I565" s="15"/>
      <c r="J565" s="15"/>
    </row>
    <row r="566" spans="2:10" x14ac:dyDescent="0.35">
      <c r="B566" s="15"/>
      <c r="C566" s="15"/>
      <c r="D566" s="15"/>
      <c r="E566" s="15"/>
      <c r="F566" s="15"/>
      <c r="G566" s="15"/>
      <c r="H566" s="15"/>
      <c r="I566" s="15"/>
      <c r="J566" s="15"/>
    </row>
    <row r="567" spans="2:10" x14ac:dyDescent="0.35">
      <c r="B567" s="15"/>
      <c r="C567" s="15"/>
      <c r="D567" s="15"/>
      <c r="E567" s="15"/>
      <c r="F567" s="15"/>
      <c r="G567" s="15"/>
      <c r="H567" s="15"/>
      <c r="I567" s="15"/>
      <c r="J567" s="15"/>
    </row>
    <row r="568" spans="2:10" x14ac:dyDescent="0.35">
      <c r="B568" s="15"/>
      <c r="C568" s="15"/>
      <c r="D568" s="15"/>
      <c r="E568" s="15"/>
      <c r="F568" s="15"/>
      <c r="G568" s="15"/>
      <c r="H568" s="15"/>
      <c r="I568" s="15"/>
      <c r="J568" s="15"/>
    </row>
    <row r="569" spans="2:10" x14ac:dyDescent="0.35">
      <c r="B569" s="15"/>
      <c r="C569" s="15"/>
      <c r="D569" s="15"/>
      <c r="E569" s="15"/>
      <c r="F569" s="15"/>
      <c r="G569" s="15"/>
      <c r="H569" s="15"/>
      <c r="I569" s="15"/>
      <c r="J569" s="15"/>
    </row>
    <row r="570" spans="2:10" x14ac:dyDescent="0.35">
      <c r="B570" s="15"/>
      <c r="C570" s="15"/>
      <c r="D570" s="15"/>
      <c r="E570" s="15"/>
      <c r="F570" s="15"/>
      <c r="G570" s="15"/>
      <c r="H570" s="15"/>
      <c r="I570" s="15"/>
      <c r="J570" s="15"/>
    </row>
    <row r="571" spans="2:10" x14ac:dyDescent="0.35">
      <c r="B571" s="15"/>
      <c r="C571" s="15"/>
      <c r="D571" s="15"/>
      <c r="E571" s="15"/>
      <c r="F571" s="15"/>
      <c r="G571" s="15"/>
      <c r="H571" s="15"/>
      <c r="I571" s="15"/>
      <c r="J571" s="15"/>
    </row>
    <row r="572" spans="2:10" x14ac:dyDescent="0.35">
      <c r="B572" s="15"/>
      <c r="C572" s="15"/>
      <c r="D572" s="15"/>
      <c r="E572" s="15"/>
      <c r="F572" s="15"/>
      <c r="G572" s="15"/>
      <c r="H572" s="15"/>
      <c r="I572" s="15"/>
      <c r="J572" s="15"/>
    </row>
    <row r="573" spans="2:10" x14ac:dyDescent="0.35">
      <c r="B573" s="15"/>
      <c r="C573" s="15"/>
      <c r="D573" s="15"/>
      <c r="E573" s="15"/>
      <c r="F573" s="15"/>
      <c r="G573" s="15"/>
      <c r="H573" s="15"/>
      <c r="I573" s="15"/>
      <c r="J573" s="15"/>
    </row>
    <row r="574" spans="2:10" x14ac:dyDescent="0.35">
      <c r="B574" s="15"/>
      <c r="C574" s="15"/>
      <c r="D574" s="15"/>
      <c r="E574" s="15"/>
      <c r="F574" s="15"/>
      <c r="G574" s="15"/>
      <c r="H574" s="15"/>
      <c r="I574" s="15"/>
      <c r="J574" s="15"/>
    </row>
    <row r="575" spans="2:10" x14ac:dyDescent="0.35">
      <c r="B575" s="15"/>
      <c r="C575" s="15"/>
      <c r="D575" s="15"/>
      <c r="E575" s="15"/>
      <c r="F575" s="15"/>
      <c r="G575" s="15"/>
      <c r="H575" s="15"/>
      <c r="I575" s="15"/>
      <c r="J575" s="15"/>
    </row>
    <row r="576" spans="2:10" x14ac:dyDescent="0.35">
      <c r="B576" s="15"/>
      <c r="C576" s="15"/>
      <c r="D576" s="15"/>
      <c r="E576" s="15"/>
      <c r="F576" s="15"/>
      <c r="G576" s="15"/>
      <c r="H576" s="15"/>
      <c r="I576" s="15"/>
      <c r="J576" s="15"/>
    </row>
    <row r="577" spans="2:10" x14ac:dyDescent="0.35">
      <c r="B577" s="15"/>
      <c r="C577" s="15"/>
      <c r="D577" s="15"/>
      <c r="E577" s="15"/>
      <c r="F577" s="15"/>
      <c r="G577" s="15"/>
      <c r="H577" s="15"/>
      <c r="I577" s="15"/>
      <c r="J577" s="15"/>
    </row>
    <row r="578" spans="2:10" x14ac:dyDescent="0.35">
      <c r="B578" s="15"/>
      <c r="C578" s="15"/>
      <c r="D578" s="15"/>
      <c r="E578" s="15"/>
      <c r="F578" s="15"/>
      <c r="G578" s="15"/>
      <c r="H578" s="15"/>
      <c r="I578" s="15"/>
      <c r="J578" s="15"/>
    </row>
    <row r="579" spans="2:10" x14ac:dyDescent="0.35">
      <c r="B579" s="15"/>
      <c r="C579" s="15"/>
      <c r="D579" s="15"/>
      <c r="E579" s="15"/>
      <c r="F579" s="15"/>
      <c r="G579" s="15"/>
      <c r="H579" s="15"/>
      <c r="I579" s="15"/>
      <c r="J579" s="15"/>
    </row>
    <row r="580" spans="2:10" x14ac:dyDescent="0.35">
      <c r="B580" s="15"/>
      <c r="C580" s="15"/>
      <c r="D580" s="15"/>
      <c r="E580" s="15"/>
      <c r="F580" s="15"/>
      <c r="G580" s="15"/>
      <c r="H580" s="15"/>
      <c r="I580" s="15"/>
      <c r="J580" s="15"/>
    </row>
    <row r="581" spans="2:10" x14ac:dyDescent="0.35">
      <c r="B581" s="15"/>
      <c r="C581" s="15"/>
      <c r="D581" s="15"/>
      <c r="E581" s="15"/>
      <c r="F581" s="15"/>
      <c r="G581" s="15"/>
      <c r="H581" s="15"/>
      <c r="I581" s="15"/>
      <c r="J581" s="15"/>
    </row>
    <row r="582" spans="2:10" x14ac:dyDescent="0.35">
      <c r="B582" s="15"/>
      <c r="C582" s="15"/>
      <c r="D582" s="15"/>
      <c r="E582" s="15"/>
      <c r="F582" s="15"/>
      <c r="G582" s="15"/>
      <c r="H582" s="15"/>
      <c r="I582" s="15"/>
      <c r="J582" s="15"/>
    </row>
    <row r="583" spans="2:10" x14ac:dyDescent="0.35">
      <c r="B583" s="15"/>
      <c r="C583" s="15"/>
      <c r="D583" s="15"/>
      <c r="E583" s="15"/>
      <c r="F583" s="15"/>
      <c r="G583" s="15"/>
      <c r="H583" s="15"/>
      <c r="I583" s="15"/>
      <c r="J583" s="15"/>
    </row>
    <row r="584" spans="2:10" x14ac:dyDescent="0.35">
      <c r="B584" s="15"/>
      <c r="C584" s="15"/>
      <c r="D584" s="15"/>
      <c r="E584" s="15"/>
      <c r="F584" s="15"/>
      <c r="G584" s="15"/>
      <c r="H584" s="15"/>
      <c r="I584" s="15"/>
      <c r="J584" s="15"/>
    </row>
    <row r="585" spans="2:10" x14ac:dyDescent="0.35">
      <c r="B585" s="15"/>
      <c r="C585" s="15"/>
      <c r="D585" s="15"/>
      <c r="E585" s="15"/>
      <c r="F585" s="15"/>
      <c r="G585" s="15"/>
      <c r="H585" s="15"/>
      <c r="I585" s="15"/>
      <c r="J585" s="15"/>
    </row>
    <row r="586" spans="2:10" x14ac:dyDescent="0.35">
      <c r="B586" s="15"/>
      <c r="C586" s="15"/>
      <c r="D586" s="15"/>
      <c r="E586" s="15"/>
      <c r="F586" s="15"/>
      <c r="G586" s="15"/>
      <c r="H586" s="15"/>
      <c r="I586" s="15"/>
      <c r="J586" s="15"/>
    </row>
    <row r="587" spans="2:10" x14ac:dyDescent="0.35">
      <c r="B587" s="15"/>
      <c r="C587" s="15"/>
      <c r="D587" s="15"/>
      <c r="E587" s="15"/>
      <c r="F587" s="15"/>
      <c r="G587" s="15"/>
      <c r="H587" s="15"/>
      <c r="I587" s="15"/>
      <c r="J587" s="15"/>
    </row>
    <row r="588" spans="2:10" x14ac:dyDescent="0.35">
      <c r="B588" s="15"/>
      <c r="C588" s="15"/>
      <c r="D588" s="15"/>
      <c r="E588" s="15"/>
      <c r="F588" s="15"/>
      <c r="G588" s="15"/>
      <c r="H588" s="15"/>
      <c r="I588" s="15"/>
      <c r="J588" s="15"/>
    </row>
    <row r="589" spans="2:10" x14ac:dyDescent="0.35">
      <c r="B589" s="15"/>
      <c r="C589" s="15"/>
      <c r="D589" s="15"/>
      <c r="E589" s="15"/>
      <c r="F589" s="15"/>
      <c r="G589" s="15"/>
      <c r="H589" s="15"/>
      <c r="I589" s="15"/>
      <c r="J589" s="15"/>
    </row>
    <row r="590" spans="2:10" x14ac:dyDescent="0.35">
      <c r="B590" s="15"/>
      <c r="C590" s="15"/>
      <c r="D590" s="15"/>
      <c r="E590" s="15"/>
      <c r="F590" s="15"/>
      <c r="G590" s="15"/>
      <c r="H590" s="15"/>
      <c r="I590" s="15"/>
      <c r="J590" s="15"/>
    </row>
    <row r="591" spans="2:10" x14ac:dyDescent="0.35">
      <c r="B591" s="15"/>
      <c r="C591" s="15"/>
      <c r="D591" s="15"/>
      <c r="E591" s="15"/>
      <c r="F591" s="15"/>
      <c r="G591" s="15"/>
      <c r="H591" s="15"/>
      <c r="I591" s="15"/>
      <c r="J591" s="15"/>
    </row>
    <row r="592" spans="2:10" x14ac:dyDescent="0.35">
      <c r="B592" s="15"/>
      <c r="C592" s="15"/>
      <c r="D592" s="15"/>
      <c r="E592" s="15"/>
      <c r="F592" s="15"/>
      <c r="G592" s="15"/>
      <c r="H592" s="15"/>
      <c r="I592" s="15"/>
      <c r="J592" s="15"/>
    </row>
    <row r="593" spans="2:10" x14ac:dyDescent="0.35">
      <c r="B593" s="15"/>
      <c r="C593" s="15"/>
      <c r="D593" s="15"/>
      <c r="E593" s="15"/>
      <c r="F593" s="15"/>
      <c r="G593" s="15"/>
      <c r="H593" s="15"/>
      <c r="I593" s="15"/>
      <c r="J593" s="15"/>
    </row>
    <row r="594" spans="2:10" x14ac:dyDescent="0.35">
      <c r="B594" s="15"/>
      <c r="C594" s="15"/>
      <c r="D594" s="15"/>
      <c r="E594" s="15"/>
      <c r="F594" s="15"/>
      <c r="G594" s="15"/>
      <c r="H594" s="15"/>
      <c r="I594" s="15"/>
      <c r="J594" s="15"/>
    </row>
    <row r="595" spans="2:10" x14ac:dyDescent="0.35">
      <c r="B595" s="15"/>
      <c r="C595" s="15"/>
      <c r="D595" s="15"/>
      <c r="E595" s="15"/>
      <c r="F595" s="15"/>
      <c r="G595" s="15"/>
      <c r="H595" s="15"/>
      <c r="I595" s="15"/>
      <c r="J595" s="15"/>
    </row>
    <row r="596" spans="2:10" x14ac:dyDescent="0.35">
      <c r="B596" s="15"/>
      <c r="C596" s="15"/>
      <c r="D596" s="15"/>
      <c r="E596" s="15"/>
      <c r="F596" s="15"/>
      <c r="G596" s="15"/>
      <c r="H596" s="15"/>
      <c r="I596" s="15"/>
      <c r="J596" s="15"/>
    </row>
    <row r="597" spans="2:10" x14ac:dyDescent="0.35">
      <c r="B597" s="15"/>
      <c r="C597" s="15"/>
      <c r="D597" s="15"/>
      <c r="E597" s="15"/>
      <c r="F597" s="15"/>
      <c r="G597" s="15"/>
      <c r="H597" s="15"/>
      <c r="I597" s="15"/>
      <c r="J597" s="15"/>
    </row>
    <row r="598" spans="2:10" x14ac:dyDescent="0.35">
      <c r="B598" s="15"/>
      <c r="C598" s="15"/>
      <c r="D598" s="15"/>
      <c r="E598" s="15"/>
      <c r="F598" s="15"/>
      <c r="G598" s="15"/>
      <c r="H598" s="15"/>
      <c r="I598" s="15"/>
      <c r="J598" s="15"/>
    </row>
    <row r="599" spans="2:10" x14ac:dyDescent="0.35">
      <c r="B599" s="15"/>
      <c r="C599" s="15"/>
      <c r="D599" s="15"/>
      <c r="E599" s="15"/>
      <c r="F599" s="15"/>
      <c r="G599" s="15"/>
      <c r="H599" s="15"/>
      <c r="I599" s="15"/>
      <c r="J599" s="15"/>
    </row>
    <row r="600" spans="2:10" x14ac:dyDescent="0.35">
      <c r="B600" s="15"/>
      <c r="C600" s="15"/>
      <c r="D600" s="15"/>
      <c r="E600" s="15"/>
      <c r="F600" s="15"/>
      <c r="G600" s="15"/>
      <c r="H600" s="15"/>
      <c r="I600" s="15"/>
      <c r="J600" s="15"/>
    </row>
    <row r="601" spans="2:10" x14ac:dyDescent="0.35">
      <c r="B601" s="15"/>
      <c r="C601" s="15"/>
      <c r="D601" s="15"/>
      <c r="E601" s="15"/>
      <c r="F601" s="15"/>
      <c r="G601" s="15"/>
      <c r="H601" s="15"/>
      <c r="I601" s="15"/>
      <c r="J601" s="15"/>
    </row>
    <row r="602" spans="2:10" x14ac:dyDescent="0.35">
      <c r="B602" s="15"/>
      <c r="C602" s="15"/>
      <c r="D602" s="15"/>
      <c r="E602" s="15"/>
      <c r="F602" s="15"/>
      <c r="G602" s="15"/>
      <c r="H602" s="15"/>
      <c r="I602" s="15"/>
      <c r="J602" s="15"/>
    </row>
    <row r="603" spans="2:10" x14ac:dyDescent="0.35">
      <c r="B603" s="15"/>
      <c r="C603" s="15"/>
      <c r="D603" s="15"/>
      <c r="E603" s="15"/>
      <c r="F603" s="15"/>
      <c r="G603" s="15"/>
      <c r="H603" s="15"/>
      <c r="I603" s="15"/>
      <c r="J603" s="15"/>
    </row>
    <row r="604" spans="2:10" x14ac:dyDescent="0.35">
      <c r="B604" s="15"/>
      <c r="C604" s="15"/>
      <c r="D604" s="15"/>
      <c r="E604" s="15"/>
      <c r="F604" s="15"/>
      <c r="G604" s="15"/>
      <c r="H604" s="15"/>
      <c r="I604" s="15"/>
      <c r="J604" s="15"/>
    </row>
    <row r="605" spans="2:10" x14ac:dyDescent="0.35">
      <c r="B605" s="15"/>
      <c r="C605" s="15"/>
      <c r="D605" s="15"/>
      <c r="E605" s="15"/>
      <c r="F605" s="15"/>
      <c r="G605" s="15"/>
      <c r="H605" s="15"/>
      <c r="I605" s="15"/>
      <c r="J605" s="15"/>
    </row>
    <row r="606" spans="2:10" x14ac:dyDescent="0.35">
      <c r="B606" s="15"/>
      <c r="C606" s="15"/>
      <c r="D606" s="15"/>
      <c r="E606" s="15"/>
      <c r="F606" s="15"/>
      <c r="G606" s="15"/>
      <c r="H606" s="15"/>
      <c r="I606" s="15"/>
      <c r="J606" s="15"/>
    </row>
    <row r="607" spans="2:10" x14ac:dyDescent="0.35">
      <c r="B607" s="15"/>
      <c r="C607" s="15"/>
      <c r="D607" s="15"/>
      <c r="E607" s="15"/>
      <c r="F607" s="15"/>
      <c r="G607" s="15"/>
      <c r="H607" s="15"/>
      <c r="I607" s="15"/>
      <c r="J607" s="15"/>
    </row>
    <row r="608" spans="2:10" x14ac:dyDescent="0.35">
      <c r="B608" s="15"/>
      <c r="C608" s="15"/>
      <c r="D608" s="15"/>
      <c r="E608" s="15"/>
      <c r="F608" s="15"/>
      <c r="G608" s="15"/>
      <c r="H608" s="15"/>
      <c r="I608" s="15"/>
      <c r="J608" s="15"/>
    </row>
    <row r="609" spans="2:10" x14ac:dyDescent="0.35">
      <c r="B609" s="15"/>
      <c r="C609" s="15"/>
      <c r="D609" s="15"/>
      <c r="E609" s="15"/>
      <c r="F609" s="15"/>
      <c r="G609" s="15"/>
      <c r="H609" s="15"/>
      <c r="I609" s="15"/>
      <c r="J609" s="15"/>
    </row>
    <row r="610" spans="2:10" x14ac:dyDescent="0.35">
      <c r="B610" s="15"/>
      <c r="C610" s="15"/>
      <c r="D610" s="15"/>
      <c r="E610" s="15"/>
      <c r="F610" s="15"/>
      <c r="G610" s="15"/>
      <c r="H610" s="15"/>
      <c r="I610" s="15"/>
      <c r="J610" s="15"/>
    </row>
    <row r="611" spans="2:10" x14ac:dyDescent="0.35">
      <c r="B611" s="15"/>
      <c r="C611" s="15"/>
      <c r="D611" s="15"/>
      <c r="E611" s="15"/>
      <c r="F611" s="15"/>
      <c r="G611" s="15"/>
      <c r="H611" s="15"/>
      <c r="I611" s="15"/>
      <c r="J611" s="15"/>
    </row>
    <row r="612" spans="2:10" x14ac:dyDescent="0.35">
      <c r="B612" s="15"/>
      <c r="C612" s="15"/>
      <c r="D612" s="15"/>
      <c r="E612" s="15"/>
      <c r="F612" s="15"/>
      <c r="G612" s="15"/>
      <c r="H612" s="15"/>
      <c r="I612" s="15"/>
      <c r="J612" s="15"/>
    </row>
    <row r="613" spans="2:10" x14ac:dyDescent="0.35">
      <c r="B613" s="15"/>
      <c r="C613" s="15"/>
      <c r="D613" s="15"/>
      <c r="E613" s="15"/>
      <c r="F613" s="15"/>
      <c r="G613" s="15"/>
      <c r="H613" s="15"/>
      <c r="I613" s="15"/>
      <c r="J613" s="15"/>
    </row>
    <row r="614" spans="2:10" x14ac:dyDescent="0.35">
      <c r="B614" s="15"/>
      <c r="C614" s="15"/>
      <c r="D614" s="15"/>
      <c r="E614" s="15"/>
      <c r="F614" s="15"/>
      <c r="G614" s="15"/>
      <c r="H614" s="15"/>
      <c r="I614" s="15"/>
      <c r="J614" s="15"/>
    </row>
    <row r="615" spans="2:10" x14ac:dyDescent="0.35">
      <c r="B615" s="15"/>
      <c r="C615" s="15"/>
      <c r="D615" s="15"/>
      <c r="E615" s="15"/>
      <c r="F615" s="15"/>
      <c r="G615" s="15"/>
      <c r="H615" s="15"/>
      <c r="I615" s="15"/>
      <c r="J615" s="15"/>
    </row>
    <row r="616" spans="2:10" x14ac:dyDescent="0.35">
      <c r="B616" s="15"/>
      <c r="C616" s="15"/>
      <c r="D616" s="15"/>
      <c r="E616" s="15"/>
      <c r="F616" s="15"/>
      <c r="G616" s="15"/>
      <c r="H616" s="15"/>
      <c r="I616" s="15"/>
      <c r="J616" s="15"/>
    </row>
    <row r="617" spans="2:10" x14ac:dyDescent="0.35">
      <c r="B617" s="15"/>
      <c r="C617" s="15"/>
      <c r="D617" s="15"/>
      <c r="E617" s="15"/>
      <c r="F617" s="15"/>
      <c r="G617" s="15"/>
      <c r="H617" s="15"/>
      <c r="I617" s="15"/>
      <c r="J617" s="15"/>
    </row>
    <row r="618" spans="2:10" x14ac:dyDescent="0.35">
      <c r="B618" s="15"/>
      <c r="C618" s="15"/>
      <c r="D618" s="15"/>
      <c r="E618" s="15"/>
      <c r="F618" s="15"/>
      <c r="G618" s="15"/>
      <c r="H618" s="15"/>
      <c r="I618" s="15"/>
      <c r="J618" s="15"/>
    </row>
    <row r="619" spans="2:10" x14ac:dyDescent="0.35">
      <c r="B619" s="15"/>
      <c r="C619" s="15"/>
      <c r="D619" s="15"/>
      <c r="E619" s="15"/>
      <c r="F619" s="15"/>
      <c r="G619" s="15"/>
      <c r="H619" s="15"/>
      <c r="I619" s="15"/>
      <c r="J619" s="15"/>
    </row>
    <row r="620" spans="2:10" x14ac:dyDescent="0.35">
      <c r="B620" s="15"/>
      <c r="C620" s="15"/>
      <c r="D620" s="15"/>
      <c r="E620" s="15"/>
      <c r="F620" s="15"/>
      <c r="G620" s="15"/>
      <c r="H620" s="15"/>
      <c r="I620" s="15"/>
      <c r="J620" s="15"/>
    </row>
    <row r="621" spans="2:10" x14ac:dyDescent="0.35">
      <c r="B621" s="15"/>
      <c r="C621" s="15"/>
      <c r="D621" s="15"/>
      <c r="E621" s="15"/>
      <c r="F621" s="15"/>
      <c r="G621" s="15"/>
      <c r="H621" s="15"/>
      <c r="I621" s="15"/>
      <c r="J621" s="15"/>
    </row>
    <row r="622" spans="2:10" x14ac:dyDescent="0.35">
      <c r="B622" s="15"/>
      <c r="C622" s="15"/>
      <c r="D622" s="15"/>
      <c r="E622" s="15"/>
      <c r="F622" s="15"/>
      <c r="G622" s="15"/>
      <c r="H622" s="15"/>
      <c r="I622" s="15"/>
      <c r="J622" s="15"/>
    </row>
    <row r="623" spans="2:10" x14ac:dyDescent="0.35">
      <c r="B623" s="15"/>
      <c r="C623" s="15"/>
      <c r="D623" s="15"/>
      <c r="E623" s="15"/>
      <c r="F623" s="15"/>
      <c r="G623" s="15"/>
      <c r="H623" s="15"/>
      <c r="I623" s="15"/>
      <c r="J623" s="15"/>
    </row>
    <row r="624" spans="2:10" x14ac:dyDescent="0.35">
      <c r="B624" s="15"/>
      <c r="C624" s="15"/>
      <c r="D624" s="15"/>
      <c r="E624" s="15"/>
      <c r="F624" s="15"/>
      <c r="G624" s="15"/>
      <c r="H624" s="15"/>
      <c r="I624" s="15"/>
      <c r="J624" s="15"/>
    </row>
    <row r="625" spans="2:10" x14ac:dyDescent="0.35">
      <c r="B625" s="15"/>
      <c r="C625" s="15"/>
      <c r="D625" s="15"/>
      <c r="E625" s="15"/>
      <c r="F625" s="15"/>
      <c r="G625" s="15"/>
      <c r="H625" s="15"/>
      <c r="I625" s="15"/>
      <c r="J625" s="15"/>
    </row>
    <row r="626" spans="2:10" x14ac:dyDescent="0.35">
      <c r="B626" s="15"/>
      <c r="C626" s="15"/>
      <c r="D626" s="15"/>
      <c r="E626" s="15"/>
      <c r="F626" s="15"/>
      <c r="G626" s="15"/>
      <c r="H626" s="15"/>
      <c r="I626" s="15"/>
      <c r="J626" s="15"/>
    </row>
    <row r="627" spans="2:10" x14ac:dyDescent="0.35">
      <c r="B627" s="15"/>
      <c r="C627" s="15"/>
      <c r="D627" s="15"/>
      <c r="E627" s="15"/>
      <c r="F627" s="15"/>
      <c r="G627" s="15"/>
      <c r="H627" s="15"/>
      <c r="I627" s="15"/>
      <c r="J627" s="15"/>
    </row>
    <row r="628" spans="2:10" x14ac:dyDescent="0.35">
      <c r="B628" s="15"/>
      <c r="C628" s="15"/>
      <c r="D628" s="15"/>
      <c r="E628" s="15"/>
      <c r="F628" s="15"/>
      <c r="G628" s="15"/>
      <c r="H628" s="15"/>
      <c r="I628" s="15"/>
      <c r="J628" s="15"/>
    </row>
    <row r="629" spans="2:10" x14ac:dyDescent="0.35">
      <c r="B629" s="15"/>
      <c r="C629" s="15"/>
      <c r="D629" s="15"/>
      <c r="E629" s="15"/>
      <c r="F629" s="15"/>
      <c r="G629" s="15"/>
      <c r="H629" s="15"/>
      <c r="I629" s="15"/>
      <c r="J629" s="15"/>
    </row>
    <row r="630" spans="2:10" x14ac:dyDescent="0.35">
      <c r="B630" s="15"/>
      <c r="C630" s="15"/>
      <c r="D630" s="15"/>
      <c r="E630" s="15"/>
      <c r="F630" s="15"/>
      <c r="G630" s="15"/>
      <c r="H630" s="15"/>
      <c r="I630" s="15"/>
      <c r="J630" s="15"/>
    </row>
    <row r="631" spans="2:10" x14ac:dyDescent="0.35">
      <c r="B631" s="15"/>
      <c r="C631" s="15"/>
      <c r="D631" s="15"/>
      <c r="E631" s="15"/>
      <c r="F631" s="15"/>
      <c r="G631" s="15"/>
      <c r="H631" s="15"/>
      <c r="I631" s="15"/>
      <c r="J631" s="15"/>
    </row>
    <row r="632" spans="2:10" x14ac:dyDescent="0.35">
      <c r="B632" s="15"/>
      <c r="C632" s="15"/>
      <c r="D632" s="15"/>
      <c r="E632" s="15"/>
      <c r="F632" s="15"/>
      <c r="G632" s="15"/>
      <c r="H632" s="15"/>
      <c r="I632" s="15"/>
      <c r="J632" s="15"/>
    </row>
    <row r="633" spans="2:10" x14ac:dyDescent="0.35">
      <c r="B633" s="15"/>
      <c r="C633" s="15"/>
      <c r="D633" s="15"/>
      <c r="E633" s="15"/>
      <c r="F633" s="15"/>
      <c r="G633" s="15"/>
      <c r="H633" s="15"/>
      <c r="I633" s="15"/>
      <c r="J633" s="15"/>
    </row>
    <row r="634" spans="2:10" x14ac:dyDescent="0.35">
      <c r="B634" s="15"/>
      <c r="C634" s="15"/>
      <c r="D634" s="15"/>
      <c r="E634" s="15"/>
      <c r="F634" s="15"/>
      <c r="G634" s="15"/>
      <c r="H634" s="15"/>
      <c r="I634" s="15"/>
      <c r="J634" s="15"/>
    </row>
    <row r="635" spans="2:10" x14ac:dyDescent="0.35">
      <c r="B635" s="15"/>
      <c r="C635" s="15"/>
      <c r="D635" s="15"/>
      <c r="E635" s="15"/>
      <c r="F635" s="15"/>
      <c r="G635" s="15"/>
      <c r="H635" s="15"/>
      <c r="I635" s="15"/>
      <c r="J635" s="15"/>
    </row>
    <row r="636" spans="2:10" x14ac:dyDescent="0.35">
      <c r="B636" s="15"/>
      <c r="C636" s="15"/>
      <c r="D636" s="15"/>
      <c r="E636" s="15"/>
      <c r="F636" s="15"/>
      <c r="G636" s="15"/>
      <c r="H636" s="15"/>
      <c r="I636" s="15"/>
      <c r="J636" s="15"/>
    </row>
    <row r="637" spans="2:10" x14ac:dyDescent="0.35">
      <c r="B637" s="15"/>
      <c r="C637" s="15"/>
      <c r="D637" s="15"/>
      <c r="E637" s="15"/>
      <c r="F637" s="15"/>
      <c r="G637" s="15"/>
      <c r="H637" s="15"/>
      <c r="I637" s="15"/>
      <c r="J637" s="15"/>
    </row>
    <row r="638" spans="2:10" x14ac:dyDescent="0.35">
      <c r="B638" s="15"/>
      <c r="C638" s="15"/>
      <c r="D638" s="15"/>
      <c r="E638" s="15"/>
      <c r="F638" s="15"/>
      <c r="G638" s="15"/>
      <c r="H638" s="15"/>
      <c r="I638" s="15"/>
      <c r="J638" s="15"/>
    </row>
    <row r="639" spans="2:10" x14ac:dyDescent="0.35">
      <c r="B639" s="15"/>
      <c r="C639" s="15"/>
      <c r="D639" s="15"/>
      <c r="E639" s="15"/>
      <c r="F639" s="15"/>
      <c r="G639" s="15"/>
      <c r="H639" s="15"/>
      <c r="I639" s="15"/>
      <c r="J639" s="15"/>
    </row>
    <row r="640" spans="2:10" x14ac:dyDescent="0.35">
      <c r="B640" s="15"/>
      <c r="C640" s="15"/>
      <c r="D640" s="15"/>
      <c r="E640" s="15"/>
      <c r="F640" s="15"/>
      <c r="G640" s="15"/>
      <c r="H640" s="15"/>
      <c r="I640" s="15"/>
      <c r="J640" s="15"/>
    </row>
    <row r="641" spans="2:10" x14ac:dyDescent="0.35">
      <c r="B641" s="15"/>
      <c r="C641" s="15"/>
      <c r="D641" s="15"/>
      <c r="E641" s="15"/>
      <c r="F641" s="15"/>
      <c r="G641" s="15"/>
      <c r="H641" s="15"/>
      <c r="I641" s="15"/>
      <c r="J641" s="15"/>
    </row>
    <row r="642" spans="2:10" x14ac:dyDescent="0.35">
      <c r="B642" s="15"/>
      <c r="C642" s="15"/>
      <c r="D642" s="15"/>
      <c r="E642" s="15"/>
      <c r="F642" s="15"/>
      <c r="G642" s="15"/>
      <c r="H642" s="15"/>
      <c r="I642" s="15"/>
      <c r="J642" s="15"/>
    </row>
    <row r="643" spans="2:10" x14ac:dyDescent="0.35">
      <c r="B643" s="15"/>
      <c r="C643" s="15"/>
      <c r="D643" s="15"/>
      <c r="E643" s="15"/>
      <c r="F643" s="15"/>
      <c r="G643" s="15"/>
      <c r="H643" s="15"/>
      <c r="I643" s="15"/>
      <c r="J643" s="15"/>
    </row>
    <row r="644" spans="2:10" x14ac:dyDescent="0.35">
      <c r="B644" s="15"/>
      <c r="C644" s="15"/>
      <c r="D644" s="15"/>
      <c r="E644" s="15"/>
      <c r="F644" s="15"/>
      <c r="G644" s="15"/>
      <c r="H644" s="15"/>
      <c r="I644" s="15"/>
      <c r="J644" s="15"/>
    </row>
    <row r="645" spans="2:10" x14ac:dyDescent="0.35">
      <c r="B645" s="15"/>
      <c r="C645" s="15"/>
      <c r="D645" s="15"/>
      <c r="E645" s="15"/>
      <c r="F645" s="15"/>
      <c r="G645" s="15"/>
      <c r="H645" s="15"/>
      <c r="I645" s="15"/>
      <c r="J645" s="15"/>
    </row>
    <row r="646" spans="2:10" x14ac:dyDescent="0.35">
      <c r="B646" s="15"/>
      <c r="C646" s="15"/>
      <c r="D646" s="15"/>
      <c r="E646" s="15"/>
      <c r="F646" s="15"/>
      <c r="G646" s="15"/>
      <c r="H646" s="15"/>
      <c r="I646" s="15"/>
      <c r="J646" s="15"/>
    </row>
    <row r="647" spans="2:10" x14ac:dyDescent="0.35">
      <c r="B647" s="15"/>
      <c r="C647" s="15"/>
      <c r="D647" s="15"/>
      <c r="E647" s="15"/>
      <c r="F647" s="15"/>
      <c r="G647" s="15"/>
      <c r="H647" s="15"/>
      <c r="I647" s="15"/>
      <c r="J647" s="15"/>
    </row>
    <row r="648" spans="2:10" x14ac:dyDescent="0.35">
      <c r="B648" s="15"/>
      <c r="C648" s="15"/>
      <c r="D648" s="15"/>
      <c r="E648" s="15"/>
      <c r="F648" s="15"/>
      <c r="G648" s="15"/>
      <c r="H648" s="15"/>
      <c r="I648" s="15"/>
      <c r="J648" s="15"/>
    </row>
    <row r="649" spans="2:10" x14ac:dyDescent="0.35">
      <c r="B649" s="15"/>
      <c r="C649" s="15"/>
      <c r="D649" s="15"/>
      <c r="E649" s="15"/>
      <c r="F649" s="15"/>
      <c r="G649" s="15"/>
      <c r="H649" s="15"/>
      <c r="I649" s="15"/>
      <c r="J649" s="15"/>
    </row>
    <row r="650" spans="2:10" x14ac:dyDescent="0.35">
      <c r="B650" s="15"/>
      <c r="C650" s="15"/>
      <c r="D650" s="15"/>
      <c r="E650" s="15"/>
      <c r="F650" s="15"/>
      <c r="G650" s="15"/>
      <c r="H650" s="15"/>
      <c r="I650" s="15"/>
      <c r="J650" s="15"/>
    </row>
    <row r="651" spans="2:10" x14ac:dyDescent="0.35">
      <c r="B651" s="15"/>
      <c r="C651" s="15"/>
      <c r="D651" s="15"/>
      <c r="E651" s="15"/>
      <c r="F651" s="15"/>
      <c r="G651" s="15"/>
      <c r="H651" s="15"/>
      <c r="I651" s="15"/>
      <c r="J651" s="15"/>
    </row>
    <row r="652" spans="2:10" x14ac:dyDescent="0.35">
      <c r="B652" s="15"/>
      <c r="C652" s="15"/>
      <c r="D652" s="15"/>
      <c r="E652" s="15"/>
      <c r="F652" s="15"/>
      <c r="G652" s="15"/>
      <c r="H652" s="15"/>
      <c r="I652" s="15"/>
      <c r="J652" s="15"/>
    </row>
    <row r="653" spans="2:10" x14ac:dyDescent="0.35">
      <c r="B653" s="15"/>
      <c r="C653" s="15"/>
      <c r="D653" s="15"/>
      <c r="E653" s="15"/>
      <c r="F653" s="15"/>
      <c r="G653" s="15"/>
      <c r="H653" s="15"/>
      <c r="I653" s="15"/>
      <c r="J653" s="15"/>
    </row>
    <row r="654" spans="2:10" x14ac:dyDescent="0.35">
      <c r="B654" s="15"/>
      <c r="C654" s="15"/>
      <c r="D654" s="15"/>
      <c r="E654" s="15"/>
      <c r="F654" s="15"/>
      <c r="G654" s="15"/>
      <c r="H654" s="15"/>
      <c r="I654" s="15"/>
      <c r="J654" s="15"/>
    </row>
    <row r="655" spans="2:10" x14ac:dyDescent="0.35">
      <c r="B655" s="15"/>
      <c r="C655" s="15"/>
      <c r="D655" s="15"/>
      <c r="E655" s="15"/>
      <c r="F655" s="15"/>
      <c r="G655" s="15"/>
      <c r="H655" s="15"/>
      <c r="I655" s="15"/>
      <c r="J655" s="15"/>
    </row>
    <row r="656" spans="2:10" x14ac:dyDescent="0.35">
      <c r="B656" s="15"/>
      <c r="C656" s="15"/>
      <c r="D656" s="15"/>
      <c r="E656" s="15"/>
      <c r="F656" s="15"/>
      <c r="G656" s="15"/>
      <c r="H656" s="15"/>
      <c r="I656" s="15"/>
      <c r="J656" s="15"/>
    </row>
    <row r="657" spans="2:10" x14ac:dyDescent="0.35">
      <c r="B657" s="15"/>
      <c r="C657" s="15"/>
      <c r="D657" s="15"/>
      <c r="E657" s="15"/>
      <c r="F657" s="15"/>
      <c r="G657" s="15"/>
      <c r="H657" s="15"/>
      <c r="I657" s="15"/>
      <c r="J657" s="15"/>
    </row>
    <row r="658" spans="2:10" x14ac:dyDescent="0.35">
      <c r="B658" s="15"/>
      <c r="C658" s="15"/>
      <c r="D658" s="15"/>
      <c r="E658" s="15"/>
      <c r="F658" s="15"/>
      <c r="G658" s="15"/>
      <c r="H658" s="15"/>
      <c r="I658" s="15"/>
      <c r="J658" s="15"/>
    </row>
    <row r="659" spans="2:10" x14ac:dyDescent="0.35">
      <c r="B659" s="15"/>
      <c r="C659" s="15"/>
      <c r="D659" s="15"/>
      <c r="E659" s="15"/>
      <c r="F659" s="15"/>
      <c r="G659" s="15"/>
      <c r="H659" s="15"/>
      <c r="I659" s="15"/>
      <c r="J659" s="15"/>
    </row>
    <row r="660" spans="2:10" x14ac:dyDescent="0.35">
      <c r="B660" s="15"/>
      <c r="C660" s="15"/>
      <c r="D660" s="15"/>
      <c r="E660" s="15"/>
      <c r="F660" s="15"/>
      <c r="G660" s="15"/>
      <c r="H660" s="15"/>
      <c r="I660" s="15"/>
      <c r="J660" s="15"/>
    </row>
    <row r="661" spans="2:10" x14ac:dyDescent="0.35">
      <c r="B661" s="15"/>
      <c r="C661" s="15"/>
      <c r="D661" s="15"/>
      <c r="E661" s="15"/>
      <c r="F661" s="15"/>
      <c r="G661" s="15"/>
      <c r="H661" s="15"/>
      <c r="I661" s="15"/>
      <c r="J661" s="15"/>
    </row>
    <row r="662" spans="2:10" x14ac:dyDescent="0.35">
      <c r="B662" s="15"/>
      <c r="C662" s="15"/>
      <c r="D662" s="15"/>
      <c r="E662" s="15"/>
      <c r="F662" s="15"/>
      <c r="G662" s="15"/>
      <c r="H662" s="15"/>
      <c r="I662" s="15"/>
      <c r="J662" s="15"/>
    </row>
    <row r="663" spans="2:10" x14ac:dyDescent="0.35">
      <c r="B663" s="15"/>
      <c r="C663" s="15"/>
      <c r="D663" s="15"/>
      <c r="E663" s="15"/>
      <c r="F663" s="15"/>
      <c r="G663" s="15"/>
      <c r="H663" s="15"/>
      <c r="I663" s="15"/>
      <c r="J663" s="15"/>
    </row>
    <row r="664" spans="2:10" x14ac:dyDescent="0.35">
      <c r="B664" s="15"/>
      <c r="C664" s="15"/>
      <c r="D664" s="15"/>
      <c r="E664" s="15"/>
      <c r="F664" s="15"/>
      <c r="G664" s="15"/>
      <c r="H664" s="15"/>
      <c r="I664" s="15"/>
      <c r="J664" s="15"/>
    </row>
    <row r="665" spans="2:10" x14ac:dyDescent="0.35">
      <c r="B665" s="15"/>
      <c r="C665" s="15"/>
      <c r="D665" s="15"/>
      <c r="E665" s="15"/>
      <c r="F665" s="15"/>
      <c r="G665" s="15"/>
      <c r="H665" s="15"/>
      <c r="I665" s="15"/>
      <c r="J665" s="15"/>
    </row>
    <row r="666" spans="2:10" x14ac:dyDescent="0.35">
      <c r="B666" s="15"/>
      <c r="C666" s="15"/>
      <c r="D666" s="15"/>
      <c r="E666" s="15"/>
      <c r="F666" s="15"/>
      <c r="G666" s="15"/>
      <c r="H666" s="15"/>
      <c r="I666" s="15"/>
      <c r="J666" s="15"/>
    </row>
    <row r="667" spans="2:10" x14ac:dyDescent="0.35">
      <c r="B667" s="15"/>
      <c r="C667" s="15"/>
      <c r="D667" s="15"/>
      <c r="E667" s="15"/>
      <c r="F667" s="15"/>
      <c r="G667" s="15"/>
      <c r="H667" s="15"/>
      <c r="I667" s="15"/>
      <c r="J667" s="15"/>
    </row>
    <row r="668" spans="2:10" x14ac:dyDescent="0.35">
      <c r="B668" s="15"/>
      <c r="C668" s="15"/>
      <c r="D668" s="15"/>
      <c r="E668" s="15"/>
      <c r="F668" s="15"/>
      <c r="G668" s="15"/>
      <c r="H668" s="15"/>
      <c r="I668" s="15"/>
      <c r="J668" s="15"/>
    </row>
    <row r="669" spans="2:10" x14ac:dyDescent="0.35">
      <c r="B669" s="15"/>
      <c r="C669" s="15"/>
      <c r="D669" s="15"/>
      <c r="E669" s="15"/>
      <c r="F669" s="15"/>
      <c r="G669" s="15"/>
      <c r="H669" s="15"/>
      <c r="I669" s="15"/>
      <c r="J669" s="15"/>
    </row>
    <row r="670" spans="2:10" x14ac:dyDescent="0.35">
      <c r="B670" s="15"/>
      <c r="C670" s="15"/>
      <c r="D670" s="15"/>
      <c r="E670" s="15"/>
      <c r="F670" s="15"/>
      <c r="G670" s="15"/>
      <c r="H670" s="15"/>
      <c r="I670" s="15"/>
      <c r="J670" s="15"/>
    </row>
    <row r="671" spans="2:10" x14ac:dyDescent="0.35">
      <c r="B671" s="15"/>
      <c r="C671" s="15"/>
      <c r="D671" s="15"/>
      <c r="E671" s="15"/>
      <c r="F671" s="15"/>
      <c r="G671" s="15"/>
      <c r="H671" s="15"/>
      <c r="I671" s="15"/>
      <c r="J671" s="15"/>
    </row>
    <row r="672" spans="2:10" x14ac:dyDescent="0.35">
      <c r="B672" s="15"/>
      <c r="C672" s="15"/>
      <c r="D672" s="15"/>
      <c r="E672" s="15"/>
      <c r="F672" s="15"/>
      <c r="G672" s="15"/>
      <c r="H672" s="15"/>
      <c r="I672" s="15"/>
      <c r="J672" s="15"/>
    </row>
    <row r="673" spans="2:10" x14ac:dyDescent="0.35">
      <c r="B673" s="15"/>
      <c r="C673" s="15"/>
      <c r="D673" s="15"/>
      <c r="E673" s="15"/>
      <c r="F673" s="15"/>
      <c r="G673" s="15"/>
      <c r="H673" s="15"/>
      <c r="I673" s="15"/>
      <c r="J673" s="15"/>
    </row>
    <row r="674" spans="2:10" x14ac:dyDescent="0.35">
      <c r="B674" s="15"/>
      <c r="C674" s="15"/>
      <c r="D674" s="15"/>
      <c r="E674" s="15"/>
      <c r="F674" s="15"/>
      <c r="G674" s="15"/>
      <c r="H674" s="15"/>
      <c r="I674" s="15"/>
      <c r="J674" s="15"/>
    </row>
    <row r="675" spans="2:10" x14ac:dyDescent="0.35">
      <c r="B675" s="15"/>
      <c r="C675" s="15"/>
      <c r="D675" s="15"/>
      <c r="E675" s="15"/>
      <c r="F675" s="15"/>
      <c r="G675" s="15"/>
      <c r="H675" s="15"/>
      <c r="I675" s="15"/>
      <c r="J675" s="15"/>
    </row>
    <row r="676" spans="2:10" x14ac:dyDescent="0.35">
      <c r="B676" s="15"/>
      <c r="C676" s="15"/>
      <c r="D676" s="15"/>
      <c r="E676" s="15"/>
      <c r="F676" s="15"/>
      <c r="G676" s="15"/>
      <c r="H676" s="15"/>
      <c r="I676" s="15"/>
      <c r="J676" s="15"/>
    </row>
    <row r="677" spans="2:10" x14ac:dyDescent="0.35">
      <c r="B677" s="15"/>
      <c r="C677" s="15"/>
      <c r="D677" s="15"/>
      <c r="E677" s="15"/>
      <c r="F677" s="15"/>
      <c r="G677" s="15"/>
      <c r="H677" s="15"/>
      <c r="I677" s="15"/>
      <c r="J677" s="15"/>
    </row>
    <row r="678" spans="2:10" x14ac:dyDescent="0.35">
      <c r="B678" s="15"/>
      <c r="C678" s="15"/>
      <c r="D678" s="15"/>
      <c r="E678" s="15"/>
      <c r="F678" s="15"/>
      <c r="G678" s="15"/>
      <c r="H678" s="15"/>
      <c r="I678" s="15"/>
      <c r="J678" s="15"/>
    </row>
    <row r="679" spans="2:10" x14ac:dyDescent="0.35">
      <c r="B679" s="15"/>
      <c r="C679" s="15"/>
      <c r="D679" s="15"/>
      <c r="E679" s="15"/>
      <c r="F679" s="15"/>
      <c r="G679" s="15"/>
      <c r="H679" s="15"/>
      <c r="I679" s="15"/>
      <c r="J679" s="15"/>
    </row>
    <row r="680" spans="2:10" x14ac:dyDescent="0.35">
      <c r="B680" s="15"/>
      <c r="C680" s="15"/>
      <c r="D680" s="15"/>
      <c r="E680" s="15"/>
      <c r="F680" s="15"/>
      <c r="G680" s="15"/>
      <c r="H680" s="15"/>
      <c r="I680" s="15"/>
      <c r="J680" s="15"/>
    </row>
    <row r="681" spans="2:10" x14ac:dyDescent="0.35">
      <c r="B681" s="15"/>
      <c r="C681" s="15"/>
      <c r="D681" s="15"/>
      <c r="E681" s="15"/>
      <c r="F681" s="15"/>
      <c r="G681" s="15"/>
      <c r="H681" s="15"/>
      <c r="I681" s="15"/>
      <c r="J681" s="15"/>
    </row>
    <row r="682" spans="2:10" x14ac:dyDescent="0.35">
      <c r="B682" s="15"/>
      <c r="C682" s="15"/>
      <c r="D682" s="15"/>
      <c r="E682" s="15"/>
      <c r="F682" s="15"/>
      <c r="G682" s="15"/>
      <c r="H682" s="15"/>
      <c r="I682" s="15"/>
      <c r="J682" s="15"/>
    </row>
    <row r="683" spans="2:10" x14ac:dyDescent="0.35">
      <c r="B683" s="15"/>
      <c r="C683" s="15"/>
      <c r="D683" s="15"/>
      <c r="E683" s="15"/>
      <c r="F683" s="15"/>
      <c r="G683" s="15"/>
      <c r="H683" s="15"/>
      <c r="I683" s="15"/>
      <c r="J683" s="15"/>
    </row>
    <row r="684" spans="2:10" x14ac:dyDescent="0.35">
      <c r="B684" s="15"/>
      <c r="C684" s="15"/>
      <c r="D684" s="15"/>
      <c r="E684" s="15"/>
      <c r="F684" s="15"/>
      <c r="G684" s="15"/>
      <c r="H684" s="15"/>
      <c r="I684" s="15"/>
      <c r="J684" s="15"/>
    </row>
    <row r="685" spans="2:10" x14ac:dyDescent="0.35">
      <c r="B685" s="15"/>
      <c r="C685" s="15"/>
      <c r="D685" s="15"/>
      <c r="E685" s="15"/>
      <c r="F685" s="15"/>
      <c r="G685" s="15"/>
      <c r="H685" s="15"/>
      <c r="I685" s="15"/>
      <c r="J685" s="15"/>
    </row>
    <row r="686" spans="2:10" x14ac:dyDescent="0.35">
      <c r="B686" s="15"/>
      <c r="C686" s="15"/>
      <c r="D686" s="15"/>
      <c r="E686" s="15"/>
      <c r="F686" s="15"/>
      <c r="G686" s="15"/>
      <c r="H686" s="15"/>
      <c r="I686" s="15"/>
      <c r="J686" s="15"/>
    </row>
    <row r="687" spans="2:10" x14ac:dyDescent="0.35">
      <c r="B687" s="15"/>
      <c r="C687" s="15"/>
      <c r="D687" s="15"/>
      <c r="E687" s="15"/>
      <c r="F687" s="15"/>
      <c r="G687" s="15"/>
      <c r="H687" s="15"/>
      <c r="I687" s="15"/>
      <c r="J687" s="15"/>
    </row>
    <row r="688" spans="2:10" x14ac:dyDescent="0.35">
      <c r="B688" s="15"/>
      <c r="C688" s="15"/>
      <c r="D688" s="15"/>
      <c r="E688" s="15"/>
      <c r="F688" s="15"/>
      <c r="G688" s="15"/>
      <c r="H688" s="15"/>
      <c r="I688" s="15"/>
      <c r="J688" s="15"/>
    </row>
    <row r="689" spans="2:10" x14ac:dyDescent="0.35">
      <c r="B689" s="15"/>
      <c r="C689" s="15"/>
      <c r="D689" s="15"/>
      <c r="E689" s="15"/>
      <c r="F689" s="15"/>
      <c r="G689" s="15"/>
      <c r="H689" s="15"/>
      <c r="I689" s="15"/>
      <c r="J689" s="15"/>
    </row>
    <row r="690" spans="2:10" x14ac:dyDescent="0.35">
      <c r="B690" s="15"/>
      <c r="C690" s="15"/>
      <c r="D690" s="15"/>
      <c r="E690" s="15"/>
      <c r="F690" s="15"/>
      <c r="G690" s="15"/>
      <c r="H690" s="15"/>
      <c r="I690" s="15"/>
      <c r="J690" s="15"/>
    </row>
    <row r="691" spans="2:10" x14ac:dyDescent="0.35">
      <c r="B691" s="15"/>
      <c r="C691" s="15"/>
      <c r="D691" s="15"/>
      <c r="E691" s="15"/>
      <c r="F691" s="15"/>
      <c r="G691" s="15"/>
      <c r="H691" s="15"/>
      <c r="I691" s="15"/>
      <c r="J691" s="15"/>
    </row>
    <row r="692" spans="2:10" x14ac:dyDescent="0.35">
      <c r="B692" s="15"/>
      <c r="C692" s="15"/>
      <c r="D692" s="15"/>
      <c r="E692" s="15"/>
      <c r="F692" s="15"/>
      <c r="G692" s="15"/>
      <c r="H692" s="15"/>
      <c r="I692" s="15"/>
      <c r="J692" s="15"/>
    </row>
    <row r="693" spans="2:10" x14ac:dyDescent="0.35">
      <c r="B693" s="15"/>
      <c r="C693" s="15"/>
      <c r="D693" s="15"/>
      <c r="E693" s="15"/>
      <c r="F693" s="15"/>
      <c r="G693" s="15"/>
      <c r="H693" s="15"/>
      <c r="I693" s="15"/>
      <c r="J693" s="15"/>
    </row>
    <row r="694" spans="2:10" x14ac:dyDescent="0.35">
      <c r="B694" s="15"/>
      <c r="C694" s="15"/>
      <c r="D694" s="15"/>
      <c r="E694" s="15"/>
      <c r="F694" s="15"/>
      <c r="G694" s="15"/>
      <c r="H694" s="15"/>
      <c r="I694" s="15"/>
      <c r="J694" s="15"/>
    </row>
    <row r="695" spans="2:10" x14ac:dyDescent="0.35">
      <c r="B695" s="15"/>
      <c r="C695" s="15"/>
      <c r="D695" s="15"/>
      <c r="E695" s="15"/>
      <c r="F695" s="15"/>
      <c r="G695" s="15"/>
      <c r="H695" s="15"/>
      <c r="I695" s="15"/>
      <c r="J695" s="15"/>
    </row>
    <row r="696" spans="2:10" x14ac:dyDescent="0.35">
      <c r="B696" s="15"/>
      <c r="C696" s="15"/>
      <c r="D696" s="15"/>
      <c r="E696" s="15"/>
      <c r="F696" s="15"/>
      <c r="G696" s="15"/>
      <c r="H696" s="15"/>
      <c r="I696" s="15"/>
      <c r="J696" s="15"/>
    </row>
    <row r="697" spans="2:10" x14ac:dyDescent="0.35">
      <c r="B697" s="15"/>
      <c r="C697" s="15"/>
      <c r="D697" s="15"/>
      <c r="E697" s="15"/>
      <c r="F697" s="15"/>
      <c r="G697" s="15"/>
      <c r="H697" s="15"/>
      <c r="I697" s="15"/>
      <c r="J697" s="15"/>
    </row>
    <row r="698" spans="2:10" x14ac:dyDescent="0.35">
      <c r="B698" s="15"/>
      <c r="C698" s="15"/>
      <c r="D698" s="15"/>
      <c r="E698" s="15"/>
      <c r="F698" s="15"/>
      <c r="G698" s="15"/>
      <c r="H698" s="15"/>
      <c r="I698" s="15"/>
      <c r="J698" s="15"/>
    </row>
    <row r="699" spans="2:10" x14ac:dyDescent="0.35">
      <c r="B699" s="15"/>
      <c r="C699" s="15"/>
      <c r="D699" s="15"/>
      <c r="E699" s="15"/>
      <c r="F699" s="15"/>
      <c r="G699" s="15"/>
      <c r="H699" s="15"/>
      <c r="I699" s="15"/>
      <c r="J699" s="15"/>
    </row>
    <row r="700" spans="2:10" x14ac:dyDescent="0.35">
      <c r="B700" s="15"/>
      <c r="C700" s="15"/>
      <c r="D700" s="15"/>
      <c r="E700" s="15"/>
      <c r="F700" s="15"/>
      <c r="G700" s="15"/>
      <c r="H700" s="15"/>
      <c r="I700" s="15"/>
      <c r="J700" s="15"/>
    </row>
    <row r="701" spans="2:10" x14ac:dyDescent="0.35">
      <c r="B701" s="15"/>
      <c r="C701" s="15"/>
      <c r="D701" s="15"/>
      <c r="E701" s="15"/>
      <c r="F701" s="15"/>
      <c r="G701" s="15"/>
      <c r="H701" s="15"/>
      <c r="I701" s="15"/>
      <c r="J701" s="15"/>
    </row>
    <row r="702" spans="2:10" x14ac:dyDescent="0.35">
      <c r="B702" s="15"/>
      <c r="C702" s="15"/>
      <c r="D702" s="15"/>
      <c r="E702" s="15"/>
      <c r="F702" s="15"/>
      <c r="G702" s="15"/>
      <c r="H702" s="15"/>
      <c r="I702" s="15"/>
      <c r="J702" s="15"/>
    </row>
    <row r="703" spans="2:10" x14ac:dyDescent="0.35">
      <c r="B703" s="15"/>
      <c r="C703" s="15"/>
      <c r="D703" s="15"/>
      <c r="E703" s="15"/>
      <c r="F703" s="15"/>
      <c r="G703" s="15"/>
      <c r="H703" s="15"/>
      <c r="I703" s="15"/>
      <c r="J703" s="15"/>
    </row>
    <row r="704" spans="2:10" x14ac:dyDescent="0.35">
      <c r="B704" s="15"/>
      <c r="C704" s="15"/>
      <c r="D704" s="15"/>
      <c r="E704" s="15"/>
      <c r="F704" s="15"/>
      <c r="G704" s="15"/>
      <c r="H704" s="15"/>
      <c r="I704" s="15"/>
      <c r="J704" s="15"/>
    </row>
    <row r="705" spans="2:10" x14ac:dyDescent="0.35">
      <c r="B705" s="15"/>
      <c r="C705" s="15"/>
      <c r="D705" s="15"/>
      <c r="E705" s="15"/>
      <c r="F705" s="15"/>
      <c r="G705" s="15"/>
      <c r="H705" s="15"/>
      <c r="I705" s="15"/>
      <c r="J705" s="15"/>
    </row>
    <row r="706" spans="2:10" x14ac:dyDescent="0.35">
      <c r="B706" s="15"/>
      <c r="C706" s="15"/>
      <c r="D706" s="15"/>
      <c r="E706" s="15"/>
      <c r="F706" s="15"/>
      <c r="G706" s="15"/>
      <c r="H706" s="15"/>
      <c r="I706" s="15"/>
      <c r="J706" s="15"/>
    </row>
    <row r="707" spans="2:10" x14ac:dyDescent="0.35">
      <c r="B707" s="15"/>
      <c r="C707" s="15"/>
      <c r="D707" s="15"/>
      <c r="E707" s="15"/>
      <c r="F707" s="15"/>
      <c r="G707" s="15"/>
      <c r="H707" s="15"/>
      <c r="I707" s="15"/>
      <c r="J707" s="15"/>
    </row>
    <row r="708" spans="2:10" x14ac:dyDescent="0.35">
      <c r="B708" s="15"/>
      <c r="C708" s="15"/>
      <c r="D708" s="15"/>
      <c r="E708" s="15"/>
      <c r="F708" s="15"/>
      <c r="G708" s="15"/>
      <c r="H708" s="15"/>
      <c r="I708" s="15"/>
      <c r="J708" s="15"/>
    </row>
    <row r="709" spans="2:10" x14ac:dyDescent="0.35">
      <c r="B709" s="15"/>
      <c r="C709" s="15"/>
      <c r="D709" s="15"/>
      <c r="E709" s="15"/>
      <c r="F709" s="15"/>
      <c r="G709" s="15"/>
      <c r="H709" s="15"/>
      <c r="I709" s="15"/>
      <c r="J709" s="15"/>
    </row>
    <row r="710" spans="2:10" x14ac:dyDescent="0.35">
      <c r="B710" s="15"/>
      <c r="C710" s="15"/>
      <c r="D710" s="15"/>
      <c r="E710" s="15"/>
      <c r="F710" s="15"/>
      <c r="G710" s="15"/>
      <c r="H710" s="15"/>
      <c r="I710" s="15"/>
      <c r="J710" s="15"/>
    </row>
    <row r="711" spans="2:10" x14ac:dyDescent="0.35">
      <c r="B711" s="15"/>
      <c r="C711" s="15"/>
      <c r="D711" s="15"/>
      <c r="E711" s="15"/>
      <c r="F711" s="15"/>
      <c r="G711" s="15"/>
      <c r="H711" s="15"/>
      <c r="I711" s="15"/>
      <c r="J711" s="15"/>
    </row>
    <row r="712" spans="2:10" x14ac:dyDescent="0.35">
      <c r="B712" s="15"/>
      <c r="C712" s="15"/>
      <c r="D712" s="15"/>
      <c r="E712" s="15"/>
      <c r="F712" s="15"/>
      <c r="G712" s="15"/>
      <c r="H712" s="15"/>
      <c r="I712" s="15"/>
      <c r="J712" s="15"/>
    </row>
    <row r="713" spans="2:10" x14ac:dyDescent="0.35">
      <c r="B713" s="15"/>
      <c r="C713" s="15"/>
      <c r="D713" s="15"/>
      <c r="E713" s="15"/>
      <c r="F713" s="15"/>
      <c r="G713" s="15"/>
      <c r="H713" s="15"/>
      <c r="I713" s="15"/>
      <c r="J713" s="15"/>
    </row>
    <row r="714" spans="2:10" x14ac:dyDescent="0.35">
      <c r="B714" s="15"/>
      <c r="C714" s="15"/>
      <c r="D714" s="15"/>
      <c r="E714" s="15"/>
      <c r="F714" s="15"/>
      <c r="G714" s="15"/>
      <c r="H714" s="15"/>
      <c r="I714" s="15"/>
      <c r="J714" s="15"/>
    </row>
    <row r="715" spans="2:10" x14ac:dyDescent="0.35">
      <c r="B715" s="15"/>
      <c r="C715" s="15"/>
      <c r="D715" s="15"/>
      <c r="E715" s="15"/>
      <c r="F715" s="15"/>
      <c r="G715" s="15"/>
      <c r="H715" s="15"/>
      <c r="I715" s="15"/>
      <c r="J715" s="15"/>
    </row>
    <row r="716" spans="2:10" x14ac:dyDescent="0.35">
      <c r="B716" s="15"/>
      <c r="C716" s="15"/>
      <c r="D716" s="15"/>
      <c r="E716" s="15"/>
      <c r="F716" s="15"/>
      <c r="G716" s="15"/>
      <c r="H716" s="15"/>
      <c r="I716" s="15"/>
      <c r="J716" s="15"/>
    </row>
    <row r="717" spans="2:10" x14ac:dyDescent="0.35">
      <c r="B717" s="15"/>
      <c r="C717" s="15"/>
      <c r="D717" s="15"/>
      <c r="E717" s="15"/>
      <c r="F717" s="15"/>
      <c r="G717" s="15"/>
      <c r="H717" s="15"/>
      <c r="I717" s="15"/>
      <c r="J717" s="15"/>
    </row>
    <row r="718" spans="2:10" x14ac:dyDescent="0.35">
      <c r="B718" s="15"/>
      <c r="C718" s="15"/>
      <c r="D718" s="15"/>
      <c r="E718" s="15"/>
      <c r="F718" s="15"/>
      <c r="G718" s="15"/>
      <c r="H718" s="15"/>
      <c r="I718" s="15"/>
      <c r="J718" s="15"/>
    </row>
    <row r="719" spans="2:10" x14ac:dyDescent="0.35">
      <c r="B719" s="15"/>
      <c r="C719" s="15"/>
      <c r="D719" s="15"/>
      <c r="E719" s="15"/>
      <c r="F719" s="15"/>
      <c r="G719" s="15"/>
      <c r="H719" s="15"/>
      <c r="I719" s="15"/>
      <c r="J719" s="15"/>
    </row>
    <row r="720" spans="2:10" x14ac:dyDescent="0.35">
      <c r="B720" s="15"/>
      <c r="C720" s="15"/>
      <c r="D720" s="15"/>
      <c r="E720" s="15"/>
      <c r="F720" s="15"/>
      <c r="G720" s="15"/>
      <c r="H720" s="15"/>
      <c r="I720" s="15"/>
      <c r="J720" s="15"/>
    </row>
    <row r="721" spans="2:10" x14ac:dyDescent="0.35">
      <c r="B721" s="15"/>
      <c r="C721" s="15"/>
      <c r="D721" s="15"/>
      <c r="E721" s="15"/>
      <c r="F721" s="15"/>
      <c r="G721" s="15"/>
      <c r="H721" s="15"/>
      <c r="I721" s="15"/>
      <c r="J721" s="15"/>
    </row>
    <row r="722" spans="2:10" x14ac:dyDescent="0.35">
      <c r="B722" s="15"/>
      <c r="C722" s="15"/>
      <c r="D722" s="15"/>
      <c r="E722" s="15"/>
      <c r="F722" s="15"/>
      <c r="G722" s="15"/>
      <c r="H722" s="15"/>
      <c r="I722" s="15"/>
      <c r="J722" s="15"/>
    </row>
    <row r="723" spans="2:10" x14ac:dyDescent="0.35">
      <c r="B723" s="15"/>
      <c r="C723" s="15"/>
      <c r="D723" s="15"/>
      <c r="E723" s="15"/>
      <c r="F723" s="15"/>
      <c r="G723" s="15"/>
      <c r="H723" s="15"/>
      <c r="I723" s="15"/>
      <c r="J723" s="15"/>
    </row>
    <row r="724" spans="2:10" x14ac:dyDescent="0.35">
      <c r="B724" s="15"/>
      <c r="C724" s="15"/>
      <c r="D724" s="15"/>
      <c r="E724" s="15"/>
      <c r="F724" s="15"/>
      <c r="G724" s="15"/>
      <c r="H724" s="15"/>
      <c r="I724" s="15"/>
      <c r="J724" s="15"/>
    </row>
    <row r="725" spans="2:10" x14ac:dyDescent="0.35">
      <c r="B725" s="15"/>
      <c r="C725" s="15"/>
      <c r="D725" s="15"/>
      <c r="E725" s="15"/>
      <c r="F725" s="15"/>
      <c r="G725" s="15"/>
      <c r="H725" s="15"/>
      <c r="I725" s="15"/>
      <c r="J725" s="15"/>
    </row>
    <row r="726" spans="2:10" x14ac:dyDescent="0.35">
      <c r="B726" s="15"/>
      <c r="C726" s="15"/>
      <c r="D726" s="15"/>
      <c r="E726" s="15"/>
      <c r="F726" s="15"/>
      <c r="G726" s="15"/>
      <c r="H726" s="15"/>
      <c r="I726" s="15"/>
      <c r="J726" s="15"/>
    </row>
    <row r="727" spans="2:10" x14ac:dyDescent="0.35">
      <c r="B727" s="15"/>
      <c r="C727" s="15"/>
      <c r="D727" s="15"/>
      <c r="E727" s="15"/>
      <c r="F727" s="15"/>
      <c r="G727" s="15"/>
      <c r="H727" s="15"/>
      <c r="I727" s="15"/>
      <c r="J727" s="15"/>
    </row>
    <row r="728" spans="2:10" x14ac:dyDescent="0.35">
      <c r="B728" s="15"/>
      <c r="C728" s="15"/>
      <c r="D728" s="15"/>
      <c r="E728" s="15"/>
      <c r="F728" s="15"/>
      <c r="G728" s="15"/>
      <c r="H728" s="15"/>
      <c r="I728" s="15"/>
      <c r="J728" s="15"/>
    </row>
    <row r="729" spans="2:10" x14ac:dyDescent="0.35">
      <c r="B729" s="15"/>
      <c r="C729" s="15"/>
      <c r="D729" s="15"/>
      <c r="E729" s="15"/>
      <c r="F729" s="15"/>
      <c r="G729" s="15"/>
      <c r="H729" s="15"/>
      <c r="I729" s="15"/>
      <c r="J729" s="15"/>
    </row>
    <row r="730" spans="2:10" x14ac:dyDescent="0.35">
      <c r="B730" s="15"/>
      <c r="C730" s="15"/>
      <c r="D730" s="15"/>
      <c r="E730" s="15"/>
      <c r="F730" s="15"/>
      <c r="G730" s="15"/>
      <c r="H730" s="15"/>
      <c r="I730" s="15"/>
      <c r="J730" s="15"/>
    </row>
    <row r="731" spans="2:10" x14ac:dyDescent="0.35">
      <c r="B731" s="15"/>
      <c r="C731" s="15"/>
      <c r="D731" s="15"/>
      <c r="E731" s="15"/>
      <c r="F731" s="15"/>
      <c r="G731" s="15"/>
      <c r="H731" s="15"/>
      <c r="I731" s="15"/>
      <c r="J731" s="15"/>
    </row>
    <row r="732" spans="2:10" x14ac:dyDescent="0.35">
      <c r="B732" s="15"/>
      <c r="C732" s="15"/>
      <c r="D732" s="15"/>
      <c r="E732" s="15"/>
      <c r="F732" s="15"/>
      <c r="G732" s="15"/>
      <c r="H732" s="15"/>
      <c r="I732" s="15"/>
      <c r="J732" s="15"/>
    </row>
    <row r="733" spans="2:10" x14ac:dyDescent="0.35">
      <c r="B733" s="15"/>
      <c r="C733" s="15"/>
      <c r="D733" s="15"/>
      <c r="E733" s="15"/>
      <c r="F733" s="15"/>
      <c r="G733" s="15"/>
      <c r="H733" s="15"/>
      <c r="I733" s="15"/>
      <c r="J733" s="15"/>
    </row>
    <row r="734" spans="2:10" x14ac:dyDescent="0.35">
      <c r="B734" s="15"/>
      <c r="C734" s="15"/>
      <c r="D734" s="15"/>
      <c r="E734" s="15"/>
      <c r="F734" s="15"/>
      <c r="G734" s="15"/>
      <c r="H734" s="15"/>
      <c r="I734" s="15"/>
      <c r="J734" s="15"/>
    </row>
    <row r="735" spans="2:10" x14ac:dyDescent="0.35">
      <c r="B735" s="15"/>
      <c r="C735" s="15"/>
      <c r="D735" s="15"/>
      <c r="E735" s="15"/>
      <c r="F735" s="15"/>
      <c r="G735" s="15"/>
      <c r="H735" s="15"/>
      <c r="I735" s="15"/>
      <c r="J735" s="15"/>
    </row>
  </sheetData>
  <hyperlinks>
    <hyperlink ref="B12" location="'Kraken OHLC data'!B12" display="Get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K513"/>
  <sheetViews>
    <sheetView workbookViewId="0">
      <selection activeCell="H6" sqref="H6"/>
    </sheetView>
  </sheetViews>
  <sheetFormatPr baseColWidth="10" defaultRowHeight="14.5" x14ac:dyDescent="0.35"/>
  <cols>
    <col min="10" max="11" width="17.54296875" bestFit="1" customWidth="1"/>
  </cols>
  <sheetData>
    <row r="2" spans="2:11" ht="17.5" x14ac:dyDescent="0.35">
      <c r="B2" s="13" t="s">
        <v>528</v>
      </c>
    </row>
    <row r="3" spans="2:11" x14ac:dyDescent="0.35">
      <c r="B3" t="s">
        <v>529</v>
      </c>
    </row>
    <row r="5" spans="2:11" x14ac:dyDescent="0.35">
      <c r="B5" t="s">
        <v>24</v>
      </c>
      <c r="C5" t="s">
        <v>515</v>
      </c>
    </row>
    <row r="6" spans="2:11" x14ac:dyDescent="0.35">
      <c r="C6" s="10" t="s">
        <v>0</v>
      </c>
      <c r="D6" t="s">
        <v>525</v>
      </c>
    </row>
    <row r="7" spans="2:11" x14ac:dyDescent="0.35">
      <c r="C7" t="s">
        <v>530</v>
      </c>
    </row>
    <row r="8" spans="2:11" x14ac:dyDescent="0.35">
      <c r="C8" s="10">
        <v>100</v>
      </c>
      <c r="D8" t="s">
        <v>544</v>
      </c>
    </row>
    <row r="10" spans="2:11" x14ac:dyDescent="0.35">
      <c r="B10" s="18" t="s">
        <v>19</v>
      </c>
      <c r="D10" s="16"/>
    </row>
    <row r="11" spans="2:11" ht="15" thickBot="1" x14ac:dyDescent="0.4"/>
    <row r="12" spans="2:11" ht="15.5" thickTop="1" thickBot="1" x14ac:dyDescent="0.4">
      <c r="C12" s="22" t="s">
        <v>531</v>
      </c>
      <c r="D12" s="22"/>
      <c r="E12" s="22"/>
      <c r="F12" s="22" t="s">
        <v>532</v>
      </c>
      <c r="G12" s="22"/>
      <c r="H12" s="22"/>
    </row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533</v>
      </c>
      <c r="F13" s="3" t="s">
        <v>508</v>
      </c>
      <c r="G13" s="3" t="s">
        <v>501</v>
      </c>
      <c r="H13" s="3" t="s">
        <v>533</v>
      </c>
    </row>
    <row r="14" spans="2:11" ht="15" thickTop="1" x14ac:dyDescent="0.35">
      <c r="B14" s="15" t="s">
        <v>0</v>
      </c>
      <c r="C14" s="15">
        <v>8620.2999999999993</v>
      </c>
      <c r="D14" s="15">
        <v>0.47599999999999998</v>
      </c>
      <c r="E14" s="15">
        <v>1591568720</v>
      </c>
      <c r="F14" s="15">
        <v>8619.2000000000007</v>
      </c>
      <c r="G14" s="15">
        <v>0.79500000000000004</v>
      </c>
      <c r="H14" s="15">
        <v>1591568726</v>
      </c>
      <c r="J14" s="19">
        <f>IFERROR(TimestampToExcel_2(H14),)</f>
        <v>43989.934328703705</v>
      </c>
      <c r="K14" s="19">
        <f>IFERROR(TimestampToExcel_2(H14),)</f>
        <v>43989.934328703705</v>
      </c>
    </row>
    <row r="15" spans="2:11" x14ac:dyDescent="0.35">
      <c r="B15" s="15" t="s">
        <v>0</v>
      </c>
      <c r="C15" s="15">
        <v>8622.2000000000007</v>
      </c>
      <c r="D15" s="15">
        <v>2.1000000000000001E-2</v>
      </c>
      <c r="E15" s="15">
        <v>1591568720</v>
      </c>
      <c r="F15" s="15">
        <v>8619.1</v>
      </c>
      <c r="G15" s="15">
        <v>4</v>
      </c>
      <c r="H15" s="15">
        <v>1591568725</v>
      </c>
      <c r="J15" s="19">
        <f t="shared" ref="J15:J18" si="0">IFERROR(TimestampToExcel_2(H15),)</f>
        <v>43989.934317129635</v>
      </c>
      <c r="K15" s="19">
        <f t="shared" ref="K15:K18" si="1">IFERROR(TimestampToExcel_2(H15),)</f>
        <v>43989.934317129635</v>
      </c>
    </row>
    <row r="16" spans="2:11" x14ac:dyDescent="0.35">
      <c r="B16" s="15" t="s">
        <v>0</v>
      </c>
      <c r="C16" s="15">
        <v>8622.5</v>
      </c>
      <c r="D16" s="15">
        <v>0.252</v>
      </c>
      <c r="E16" s="15">
        <v>1591568727</v>
      </c>
      <c r="F16" s="15">
        <v>8618.6</v>
      </c>
      <c r="G16" s="15">
        <v>0.95599999999999996</v>
      </c>
      <c r="H16" s="15">
        <v>1591568679</v>
      </c>
      <c r="J16" s="19">
        <f t="shared" si="0"/>
        <v>43989.93378472222</v>
      </c>
      <c r="K16" s="19">
        <f t="shared" si="1"/>
        <v>43989.93378472222</v>
      </c>
    </row>
    <row r="17" spans="2:11" x14ac:dyDescent="0.35">
      <c r="B17" s="15" t="s">
        <v>0</v>
      </c>
      <c r="C17" s="15">
        <v>8623.7999999999993</v>
      </c>
      <c r="D17" s="15">
        <v>1.3360000000000001</v>
      </c>
      <c r="E17" s="15">
        <v>1591568724</v>
      </c>
      <c r="F17" s="15">
        <v>8618.2000000000007</v>
      </c>
      <c r="G17" s="15">
        <v>0.1</v>
      </c>
      <c r="H17" s="15">
        <v>1591568723</v>
      </c>
      <c r="J17" s="19">
        <f t="shared" si="0"/>
        <v>43989.934293981481</v>
      </c>
      <c r="K17" s="19">
        <f t="shared" si="1"/>
        <v>43989.934293981481</v>
      </c>
    </row>
    <row r="18" spans="2:11" x14ac:dyDescent="0.35">
      <c r="B18" s="15" t="s">
        <v>0</v>
      </c>
      <c r="C18" s="15">
        <v>8624.7000000000007</v>
      </c>
      <c r="D18" s="15">
        <v>3.5000000000000003E-2</v>
      </c>
      <c r="E18" s="15">
        <v>1591568726</v>
      </c>
      <c r="F18" s="15">
        <v>8617.2000000000007</v>
      </c>
      <c r="G18" s="15">
        <v>0.25</v>
      </c>
      <c r="H18" s="15">
        <v>1591568727</v>
      </c>
      <c r="J18" s="19">
        <f t="shared" si="0"/>
        <v>43989.934340277774</v>
      </c>
      <c r="K18" s="19">
        <f t="shared" si="1"/>
        <v>43989.934340277774</v>
      </c>
    </row>
    <row r="19" spans="2:11" x14ac:dyDescent="0.35">
      <c r="B19" s="15" t="s">
        <v>0</v>
      </c>
      <c r="C19" s="15">
        <v>8624.9</v>
      </c>
      <c r="D19" s="15">
        <v>5.1340000000000003</v>
      </c>
      <c r="E19" s="15">
        <v>1591568717</v>
      </c>
      <c r="F19" s="15">
        <v>8616.5</v>
      </c>
      <c r="G19" s="15">
        <v>0.88600000000000001</v>
      </c>
      <c r="H19" s="15">
        <v>1591568724</v>
      </c>
    </row>
    <row r="20" spans="2:11" x14ac:dyDescent="0.35">
      <c r="B20" s="15" t="s">
        <v>0</v>
      </c>
      <c r="C20" s="15">
        <v>8625</v>
      </c>
      <c r="D20" s="15">
        <v>0.1</v>
      </c>
      <c r="E20" s="15">
        <v>1591568678</v>
      </c>
      <c r="F20" s="15">
        <v>8615.6</v>
      </c>
      <c r="G20" s="15">
        <v>3.5000000000000003E-2</v>
      </c>
      <c r="H20" s="15">
        <v>1591568719</v>
      </c>
    </row>
    <row r="21" spans="2:11" x14ac:dyDescent="0.35">
      <c r="B21" s="15" t="s">
        <v>0</v>
      </c>
      <c r="C21" s="15">
        <v>8625.4</v>
      </c>
      <c r="D21" s="15">
        <v>0.56599999999999995</v>
      </c>
      <c r="E21" s="15">
        <v>1591568727</v>
      </c>
      <c r="F21" s="15">
        <v>8615.5</v>
      </c>
      <c r="G21" s="15">
        <v>0.6</v>
      </c>
      <c r="H21" s="15">
        <v>1591568678</v>
      </c>
    </row>
    <row r="22" spans="2:11" x14ac:dyDescent="0.35">
      <c r="B22" s="15" t="s">
        <v>0</v>
      </c>
      <c r="C22" s="15">
        <v>8625.5</v>
      </c>
      <c r="D22" s="15">
        <v>0.20899999999999999</v>
      </c>
      <c r="E22" s="15">
        <v>1591568718</v>
      </c>
      <c r="F22" s="15">
        <v>8615.2000000000007</v>
      </c>
      <c r="G22" s="15">
        <v>10</v>
      </c>
      <c r="H22" s="15">
        <v>1591568680</v>
      </c>
    </row>
    <row r="23" spans="2:11" x14ac:dyDescent="0.35">
      <c r="B23" s="15" t="s">
        <v>0</v>
      </c>
      <c r="C23" s="15">
        <v>8625.6</v>
      </c>
      <c r="D23" s="15">
        <v>1</v>
      </c>
      <c r="E23" s="15">
        <v>1591568719</v>
      </c>
      <c r="F23" s="15">
        <v>8614.7999999999993</v>
      </c>
      <c r="G23" s="15">
        <v>5.0999999999999997E-2</v>
      </c>
      <c r="H23" s="15">
        <v>1591568678</v>
      </c>
    </row>
    <row r="24" spans="2:11" x14ac:dyDescent="0.35">
      <c r="B24" s="15" t="s">
        <v>0</v>
      </c>
      <c r="C24" s="15">
        <v>8625.7000000000007</v>
      </c>
      <c r="D24" s="15">
        <v>0.29399999999999998</v>
      </c>
      <c r="E24" s="15">
        <v>1591568630</v>
      </c>
      <c r="F24" s="15">
        <v>8614.7000000000007</v>
      </c>
      <c r="G24" s="15">
        <v>0.753</v>
      </c>
      <c r="H24" s="15">
        <v>1591568690</v>
      </c>
    </row>
    <row r="25" spans="2:11" x14ac:dyDescent="0.35">
      <c r="B25" s="15" t="s">
        <v>0</v>
      </c>
      <c r="C25" s="15">
        <v>8626.4</v>
      </c>
      <c r="D25" s="15">
        <v>0.3</v>
      </c>
      <c r="E25" s="15">
        <v>1591568697</v>
      </c>
      <c r="F25" s="15">
        <v>8614.5</v>
      </c>
      <c r="G25" s="15">
        <v>0.498</v>
      </c>
      <c r="H25" s="15">
        <v>1591568717</v>
      </c>
    </row>
    <row r="26" spans="2:11" x14ac:dyDescent="0.35">
      <c r="B26" s="15" t="s">
        <v>0</v>
      </c>
      <c r="C26" s="15">
        <v>8626.9</v>
      </c>
      <c r="D26" s="15">
        <v>1.522</v>
      </c>
      <c r="E26" s="15">
        <v>1591568691</v>
      </c>
      <c r="F26" s="15">
        <v>8614.4</v>
      </c>
      <c r="G26" s="15">
        <v>2.8780000000000001</v>
      </c>
      <c r="H26" s="15">
        <v>1591568704</v>
      </c>
    </row>
    <row r="27" spans="2:11" x14ac:dyDescent="0.35">
      <c r="B27" s="15" t="s">
        <v>0</v>
      </c>
      <c r="C27" s="15">
        <v>8627</v>
      </c>
      <c r="D27" s="15">
        <v>2</v>
      </c>
      <c r="E27" s="15">
        <v>1591568681</v>
      </c>
      <c r="F27" s="15">
        <v>8614.2999999999993</v>
      </c>
      <c r="G27" s="15">
        <v>1.2290000000000001</v>
      </c>
      <c r="H27" s="15">
        <v>1591568678</v>
      </c>
    </row>
    <row r="28" spans="2:11" x14ac:dyDescent="0.35">
      <c r="B28" s="15" t="s">
        <v>0</v>
      </c>
      <c r="C28" s="15">
        <v>8627.2999999999993</v>
      </c>
      <c r="D28" s="15">
        <v>0.99299999999999999</v>
      </c>
      <c r="E28" s="15">
        <v>1591568677</v>
      </c>
      <c r="F28" s="15">
        <v>8614.2000000000007</v>
      </c>
      <c r="G28" s="15">
        <v>1.028</v>
      </c>
      <c r="H28" s="15">
        <v>1591568718</v>
      </c>
    </row>
    <row r="29" spans="2:11" x14ac:dyDescent="0.35">
      <c r="B29" s="15" t="s">
        <v>0</v>
      </c>
      <c r="C29" s="15">
        <v>8627.6</v>
      </c>
      <c r="D29" s="15">
        <v>0.29099999999999998</v>
      </c>
      <c r="E29" s="15">
        <v>1591568660</v>
      </c>
      <c r="F29" s="15">
        <v>8614</v>
      </c>
      <c r="G29" s="15">
        <v>1.635</v>
      </c>
      <c r="H29" s="15">
        <v>1591568677</v>
      </c>
    </row>
    <row r="30" spans="2:11" x14ac:dyDescent="0.35">
      <c r="B30" s="15" t="s">
        <v>0</v>
      </c>
      <c r="C30" s="15">
        <v>8627.7000000000007</v>
      </c>
      <c r="D30" s="15">
        <v>1.0309999999999999</v>
      </c>
      <c r="E30" s="15">
        <v>1591568702</v>
      </c>
      <c r="F30" s="15">
        <v>8613.4</v>
      </c>
      <c r="G30" s="15">
        <v>8.6430000000000007</v>
      </c>
      <c r="H30" s="15">
        <v>1591568726</v>
      </c>
    </row>
    <row r="31" spans="2:11" x14ac:dyDescent="0.35">
      <c r="B31" s="15" t="s">
        <v>0</v>
      </c>
      <c r="C31" s="15">
        <v>8627.7999999999993</v>
      </c>
      <c r="D31" s="15">
        <v>6.75</v>
      </c>
      <c r="E31" s="15">
        <v>1591568671</v>
      </c>
      <c r="F31" s="15">
        <v>8612.7000000000007</v>
      </c>
      <c r="G31" s="15">
        <v>0.224</v>
      </c>
      <c r="H31" s="15">
        <v>1591568678</v>
      </c>
    </row>
    <row r="32" spans="2:11" x14ac:dyDescent="0.35">
      <c r="B32" s="15" t="s">
        <v>0</v>
      </c>
      <c r="C32" s="15">
        <v>8628</v>
      </c>
      <c r="D32" s="15">
        <v>6.5000000000000002E-2</v>
      </c>
      <c r="E32" s="15">
        <v>1591568678</v>
      </c>
      <c r="F32" s="15">
        <v>8612.2000000000007</v>
      </c>
      <c r="G32" s="15">
        <v>3.5000000000000003E-2</v>
      </c>
      <c r="H32" s="15">
        <v>1591568718</v>
      </c>
    </row>
    <row r="33" spans="2:8" x14ac:dyDescent="0.35">
      <c r="B33" s="15" t="s">
        <v>0</v>
      </c>
      <c r="C33" s="15">
        <v>8628.1</v>
      </c>
      <c r="D33" s="15">
        <v>1.7999999999999999E-2</v>
      </c>
      <c r="E33" s="15">
        <v>1591568721</v>
      </c>
      <c r="F33" s="15">
        <v>8612.1</v>
      </c>
      <c r="G33" s="15">
        <v>0.19</v>
      </c>
      <c r="H33" s="15">
        <v>1591568681</v>
      </c>
    </row>
    <row r="34" spans="2:8" x14ac:dyDescent="0.35">
      <c r="B34" s="15" t="s">
        <v>0</v>
      </c>
      <c r="C34" s="15">
        <v>8628.2000000000007</v>
      </c>
      <c r="D34" s="15">
        <v>0.17199999999999999</v>
      </c>
      <c r="E34" s="15">
        <v>1591568718</v>
      </c>
      <c r="F34" s="15">
        <v>8612</v>
      </c>
      <c r="G34" s="15">
        <v>3.0720000000000001</v>
      </c>
      <c r="H34" s="15">
        <v>1591568682</v>
      </c>
    </row>
    <row r="35" spans="2:8" x14ac:dyDescent="0.35">
      <c r="B35" s="15" t="s">
        <v>0</v>
      </c>
      <c r="C35" s="15">
        <v>8628.2999999999993</v>
      </c>
      <c r="D35" s="15">
        <v>1.327</v>
      </c>
      <c r="E35" s="15">
        <v>1591568678</v>
      </c>
      <c r="F35" s="15">
        <v>8611.9</v>
      </c>
      <c r="G35" s="15">
        <v>1.7999999999999999E-2</v>
      </c>
      <c r="H35" s="15">
        <v>1591568721</v>
      </c>
    </row>
    <row r="36" spans="2:8" x14ac:dyDescent="0.35">
      <c r="B36" s="15" t="s">
        <v>0</v>
      </c>
      <c r="C36" s="15">
        <v>8628.5</v>
      </c>
      <c r="D36" s="15">
        <v>0.19</v>
      </c>
      <c r="E36" s="15">
        <v>1591568713</v>
      </c>
      <c r="F36" s="15">
        <v>8611.4</v>
      </c>
      <c r="G36" s="15">
        <v>0.09</v>
      </c>
      <c r="H36" s="15">
        <v>1591568721</v>
      </c>
    </row>
    <row r="37" spans="2:8" x14ac:dyDescent="0.35">
      <c r="B37" s="15" t="s">
        <v>0</v>
      </c>
      <c r="C37" s="15">
        <v>8628.6</v>
      </c>
      <c r="D37" s="15">
        <v>0.59</v>
      </c>
      <c r="E37" s="15">
        <v>1591568721</v>
      </c>
      <c r="F37" s="15">
        <v>8611.2999999999993</v>
      </c>
      <c r="G37" s="15">
        <v>0.32100000000000001</v>
      </c>
      <c r="H37" s="15">
        <v>1591568660</v>
      </c>
    </row>
    <row r="38" spans="2:8" x14ac:dyDescent="0.35">
      <c r="B38" s="15" t="s">
        <v>0</v>
      </c>
      <c r="C38" s="15">
        <v>8628.7999999999993</v>
      </c>
      <c r="D38" s="15">
        <v>0.83299999999999996</v>
      </c>
      <c r="E38" s="15">
        <v>1591568717</v>
      </c>
      <c r="F38" s="15">
        <v>8611</v>
      </c>
      <c r="G38" s="15">
        <v>0.871</v>
      </c>
      <c r="H38" s="15">
        <v>1591568660</v>
      </c>
    </row>
    <row r="39" spans="2:8" x14ac:dyDescent="0.35">
      <c r="B39" s="15" t="s">
        <v>0</v>
      </c>
      <c r="C39" s="15">
        <v>8628.9</v>
      </c>
      <c r="D39" s="15">
        <v>1.5209999999999999</v>
      </c>
      <c r="E39" s="15">
        <v>1591568679</v>
      </c>
      <c r="F39" s="15">
        <v>8610.7999999999993</v>
      </c>
      <c r="G39" s="15">
        <v>0.5</v>
      </c>
      <c r="H39" s="15">
        <v>1591568608</v>
      </c>
    </row>
    <row r="40" spans="2:8" x14ac:dyDescent="0.35">
      <c r="B40" s="15" t="s">
        <v>0</v>
      </c>
      <c r="C40" s="15">
        <v>8629.6</v>
      </c>
      <c r="D40" s="15">
        <v>0.105</v>
      </c>
      <c r="E40" s="15">
        <v>1591568715</v>
      </c>
      <c r="F40" s="15">
        <v>8610.6</v>
      </c>
      <c r="G40" s="15">
        <v>2.5859999999999999</v>
      </c>
      <c r="H40" s="15">
        <v>1591568691</v>
      </c>
    </row>
    <row r="41" spans="2:8" x14ac:dyDescent="0.35">
      <c r="B41" s="15" t="s">
        <v>0</v>
      </c>
      <c r="C41" s="15">
        <v>8629.7000000000007</v>
      </c>
      <c r="D41" s="15">
        <v>4.1059999999999999</v>
      </c>
      <c r="E41" s="15">
        <v>1591568714</v>
      </c>
      <c r="F41" s="15">
        <v>8610.5</v>
      </c>
      <c r="G41" s="15">
        <v>0.82699999999999996</v>
      </c>
      <c r="H41" s="15">
        <v>1591568691</v>
      </c>
    </row>
    <row r="42" spans="2:8" x14ac:dyDescent="0.35">
      <c r="B42" s="15" t="s">
        <v>0</v>
      </c>
      <c r="C42" s="15">
        <v>8629.7999999999993</v>
      </c>
      <c r="D42" s="15">
        <v>2.452</v>
      </c>
      <c r="E42" s="15">
        <v>1591568701</v>
      </c>
      <c r="F42" s="15">
        <v>8610.2999999999993</v>
      </c>
      <c r="G42" s="15">
        <v>1.2010000000000001</v>
      </c>
      <c r="H42" s="15">
        <v>1591568681</v>
      </c>
    </row>
    <row r="43" spans="2:8" x14ac:dyDescent="0.35">
      <c r="B43" s="15" t="s">
        <v>0</v>
      </c>
      <c r="C43" s="15">
        <v>8629.9</v>
      </c>
      <c r="D43" s="15">
        <v>3.5550000000000002</v>
      </c>
      <c r="E43" s="15">
        <v>1591568695</v>
      </c>
      <c r="F43" s="15">
        <v>8610.1</v>
      </c>
      <c r="G43" s="15">
        <v>0.55200000000000005</v>
      </c>
      <c r="H43" s="15">
        <v>1591568677</v>
      </c>
    </row>
    <row r="44" spans="2:8" x14ac:dyDescent="0.35">
      <c r="B44" s="15" t="s">
        <v>0</v>
      </c>
      <c r="C44" s="15">
        <v>8630.1</v>
      </c>
      <c r="D44" s="15">
        <v>1.798</v>
      </c>
      <c r="E44" s="15">
        <v>1591568651</v>
      </c>
      <c r="F44" s="15">
        <v>8610</v>
      </c>
      <c r="G44" s="15">
        <v>1.464</v>
      </c>
      <c r="H44" s="15">
        <v>1591568660</v>
      </c>
    </row>
    <row r="45" spans="2:8" x14ac:dyDescent="0.35">
      <c r="B45" s="15" t="s">
        <v>0</v>
      </c>
      <c r="C45" s="15">
        <v>8630.2000000000007</v>
      </c>
      <c r="D45" s="15">
        <v>0.06</v>
      </c>
      <c r="E45" s="15">
        <v>1591568716</v>
      </c>
      <c r="F45" s="15">
        <v>8609.9</v>
      </c>
      <c r="G45" s="15">
        <v>2E-3</v>
      </c>
      <c r="H45" s="15">
        <v>1591568601</v>
      </c>
    </row>
    <row r="46" spans="2:8" x14ac:dyDescent="0.35">
      <c r="B46" s="15" t="s">
        <v>0</v>
      </c>
      <c r="C46" s="15">
        <v>8630.2999999999993</v>
      </c>
      <c r="D46" s="15">
        <v>4.3999999999999997E-2</v>
      </c>
      <c r="E46" s="15">
        <v>1591568662</v>
      </c>
      <c r="F46" s="15">
        <v>8609.7999999999993</v>
      </c>
      <c r="G46" s="15">
        <v>1.7000000000000001E-2</v>
      </c>
      <c r="H46" s="15">
        <v>1591568588</v>
      </c>
    </row>
    <row r="47" spans="2:8" x14ac:dyDescent="0.35">
      <c r="B47" s="15" t="s">
        <v>0</v>
      </c>
      <c r="C47" s="15">
        <v>8630.4</v>
      </c>
      <c r="D47" s="15">
        <v>7.1639999999999997</v>
      </c>
      <c r="E47" s="15">
        <v>1591568703</v>
      </c>
      <c r="F47" s="15">
        <v>8609.2000000000007</v>
      </c>
      <c r="G47" s="15">
        <v>2.1999999999999999E-2</v>
      </c>
      <c r="H47" s="15">
        <v>1591568681</v>
      </c>
    </row>
    <row r="48" spans="2:8" x14ac:dyDescent="0.35">
      <c r="B48" s="15" t="s">
        <v>0</v>
      </c>
      <c r="C48" s="15">
        <v>8630.5</v>
      </c>
      <c r="D48" s="15">
        <v>2.673</v>
      </c>
      <c r="E48" s="15">
        <v>1591568689</v>
      </c>
      <c r="F48" s="15">
        <v>8609.1</v>
      </c>
      <c r="G48" s="15">
        <v>1.88</v>
      </c>
      <c r="H48" s="15">
        <v>1591568669</v>
      </c>
    </row>
    <row r="49" spans="2:8" x14ac:dyDescent="0.35">
      <c r="B49" s="15" t="s">
        <v>0</v>
      </c>
      <c r="C49" s="15">
        <v>8631.1</v>
      </c>
      <c r="D49" s="15">
        <v>0.97899999999999998</v>
      </c>
      <c r="E49" s="15">
        <v>1591568684</v>
      </c>
      <c r="F49" s="15">
        <v>8608.6</v>
      </c>
      <c r="G49" s="15">
        <v>4.05</v>
      </c>
      <c r="H49" s="15">
        <v>1591568683</v>
      </c>
    </row>
    <row r="50" spans="2:8" x14ac:dyDescent="0.35">
      <c r="B50" s="15" t="s">
        <v>0</v>
      </c>
      <c r="C50" s="15">
        <v>8631.2000000000007</v>
      </c>
      <c r="D50" s="15">
        <v>1.028</v>
      </c>
      <c r="E50" s="15">
        <v>1591568702</v>
      </c>
      <c r="F50" s="15">
        <v>8608.5</v>
      </c>
      <c r="G50" s="15">
        <v>2.722</v>
      </c>
      <c r="H50" s="15">
        <v>1591568681</v>
      </c>
    </row>
    <row r="51" spans="2:8" x14ac:dyDescent="0.35">
      <c r="B51" s="15" t="s">
        <v>0</v>
      </c>
      <c r="C51" s="15">
        <v>8631.2999999999993</v>
      </c>
      <c r="D51" s="15">
        <v>9.2929999999999993</v>
      </c>
      <c r="E51" s="15">
        <v>1591568673</v>
      </c>
      <c r="F51" s="15">
        <v>8607.7999999999993</v>
      </c>
      <c r="G51" s="15">
        <v>1.2569999999999999</v>
      </c>
      <c r="H51" s="15">
        <v>1591568685</v>
      </c>
    </row>
    <row r="52" spans="2:8" x14ac:dyDescent="0.35">
      <c r="B52" s="15" t="s">
        <v>0</v>
      </c>
      <c r="C52" s="15">
        <v>8631.6</v>
      </c>
      <c r="D52" s="15">
        <v>0.72</v>
      </c>
      <c r="E52" s="15">
        <v>1591568680</v>
      </c>
      <c r="F52" s="15">
        <v>8607.7000000000007</v>
      </c>
      <c r="G52" s="15">
        <v>0.45800000000000002</v>
      </c>
      <c r="H52" s="15">
        <v>1591568681</v>
      </c>
    </row>
    <row r="53" spans="2:8" x14ac:dyDescent="0.35">
      <c r="B53" s="15" t="s">
        <v>0</v>
      </c>
      <c r="C53" s="15">
        <v>8631.7000000000007</v>
      </c>
      <c r="D53" s="15">
        <v>5.2839999999999998</v>
      </c>
      <c r="E53" s="15">
        <v>1591568680</v>
      </c>
      <c r="F53" s="15">
        <v>8607</v>
      </c>
      <c r="G53" s="15">
        <v>1.194</v>
      </c>
      <c r="H53" s="15">
        <v>1591568677</v>
      </c>
    </row>
    <row r="54" spans="2:8" x14ac:dyDescent="0.35">
      <c r="B54" s="15" t="s">
        <v>0</v>
      </c>
      <c r="C54" s="15">
        <v>8632.2000000000007</v>
      </c>
      <c r="D54" s="15">
        <v>1.254</v>
      </c>
      <c r="E54" s="15">
        <v>1591568677</v>
      </c>
      <c r="F54" s="15">
        <v>8606.7000000000007</v>
      </c>
      <c r="G54" s="15">
        <v>2.2229999999999999</v>
      </c>
      <c r="H54" s="15">
        <v>1591568626</v>
      </c>
    </row>
    <row r="55" spans="2:8" x14ac:dyDescent="0.35">
      <c r="B55" s="15" t="s">
        <v>0</v>
      </c>
      <c r="C55" s="15">
        <v>8632.2999999999993</v>
      </c>
      <c r="D55" s="15">
        <v>5.2919999999999998</v>
      </c>
      <c r="E55" s="15">
        <v>1591568679</v>
      </c>
      <c r="F55" s="15">
        <v>8606.2000000000007</v>
      </c>
      <c r="G55" s="15">
        <v>4.8780000000000001</v>
      </c>
      <c r="H55" s="15">
        <v>1591568688</v>
      </c>
    </row>
    <row r="56" spans="2:8" x14ac:dyDescent="0.35">
      <c r="B56" s="15" t="s">
        <v>0</v>
      </c>
      <c r="C56" s="15">
        <v>8632.7000000000007</v>
      </c>
      <c r="D56" s="15">
        <v>1.4390000000000001</v>
      </c>
      <c r="E56" s="15">
        <v>1591568666</v>
      </c>
      <c r="F56" s="15">
        <v>8606</v>
      </c>
      <c r="G56" s="15">
        <v>11.327</v>
      </c>
      <c r="H56" s="15">
        <v>1591568693</v>
      </c>
    </row>
    <row r="57" spans="2:8" x14ac:dyDescent="0.35">
      <c r="B57" s="15" t="s">
        <v>0</v>
      </c>
      <c r="C57" s="15">
        <v>8632.7999999999993</v>
      </c>
      <c r="D57" s="15">
        <v>0.749</v>
      </c>
      <c r="E57" s="15">
        <v>1591568666</v>
      </c>
      <c r="F57" s="15">
        <v>8605.7000000000007</v>
      </c>
      <c r="G57" s="15">
        <v>3.0819999999999999</v>
      </c>
      <c r="H57" s="15">
        <v>1591568677</v>
      </c>
    </row>
    <row r="58" spans="2:8" x14ac:dyDescent="0.35">
      <c r="B58" s="15" t="s">
        <v>0</v>
      </c>
      <c r="C58" s="15">
        <v>8633.1</v>
      </c>
      <c r="D58" s="15">
        <v>0.41499999999999998</v>
      </c>
      <c r="E58" s="15">
        <v>1591568701</v>
      </c>
      <c r="F58" s="15">
        <v>8605.6</v>
      </c>
      <c r="G58" s="15">
        <v>2.8</v>
      </c>
      <c r="H58" s="15">
        <v>1591568660</v>
      </c>
    </row>
    <row r="59" spans="2:8" x14ac:dyDescent="0.35">
      <c r="B59" s="15" t="s">
        <v>0</v>
      </c>
      <c r="C59" s="15">
        <v>8633.5</v>
      </c>
      <c r="D59" s="15">
        <v>2.66</v>
      </c>
      <c r="E59" s="15">
        <v>1591568662</v>
      </c>
      <c r="F59" s="15">
        <v>8605.2999999999993</v>
      </c>
      <c r="G59" s="15">
        <v>0.215</v>
      </c>
      <c r="H59" s="15">
        <v>1591568695</v>
      </c>
    </row>
    <row r="60" spans="2:8" x14ac:dyDescent="0.35">
      <c r="B60" s="15" t="s">
        <v>0</v>
      </c>
      <c r="C60" s="15">
        <v>8634</v>
      </c>
      <c r="D60" s="15">
        <v>2.2999999999999998</v>
      </c>
      <c r="E60" s="15">
        <v>1591568669</v>
      </c>
      <c r="F60" s="15">
        <v>8604.5</v>
      </c>
      <c r="G60" s="15">
        <v>0.105</v>
      </c>
      <c r="H60" s="15">
        <v>1591568702</v>
      </c>
    </row>
    <row r="61" spans="2:8" x14ac:dyDescent="0.35">
      <c r="B61" s="15" t="s">
        <v>0</v>
      </c>
      <c r="C61" s="15">
        <v>8634.1</v>
      </c>
      <c r="D61" s="15">
        <v>1.5409999999999999</v>
      </c>
      <c r="E61" s="15">
        <v>1591568684</v>
      </c>
      <c r="F61" s="15">
        <v>8604.4</v>
      </c>
      <c r="G61" s="15">
        <v>2.0089999999999999</v>
      </c>
      <c r="H61" s="15">
        <v>1591568685</v>
      </c>
    </row>
    <row r="62" spans="2:8" x14ac:dyDescent="0.35">
      <c r="B62" s="15" t="s">
        <v>0</v>
      </c>
      <c r="C62" s="15">
        <v>8634.2000000000007</v>
      </c>
      <c r="D62" s="15">
        <v>2.9</v>
      </c>
      <c r="E62" s="15">
        <v>1591568693</v>
      </c>
      <c r="F62" s="15">
        <v>8604.2999999999993</v>
      </c>
      <c r="G62" s="15">
        <v>4.0519999999999996</v>
      </c>
      <c r="H62" s="15">
        <v>1591568691</v>
      </c>
    </row>
    <row r="63" spans="2:8" x14ac:dyDescent="0.35">
      <c r="B63" s="15" t="s">
        <v>0</v>
      </c>
      <c r="C63" s="15">
        <v>8634.2999999999993</v>
      </c>
      <c r="D63" s="15">
        <v>2.0009999999999999</v>
      </c>
      <c r="E63" s="15">
        <v>1591568691</v>
      </c>
      <c r="F63" s="15">
        <v>8604.2000000000007</v>
      </c>
      <c r="G63" s="15">
        <v>1.444</v>
      </c>
      <c r="H63" s="15">
        <v>1591568681</v>
      </c>
    </row>
    <row r="64" spans="2:8" x14ac:dyDescent="0.35">
      <c r="B64" s="15" t="s">
        <v>0</v>
      </c>
      <c r="C64" s="15">
        <v>8635</v>
      </c>
      <c r="D64" s="15">
        <v>0.75800000000000001</v>
      </c>
      <c r="E64" s="15">
        <v>1591568660</v>
      </c>
      <c r="F64" s="15">
        <v>8604</v>
      </c>
      <c r="G64" s="15">
        <v>0.16200000000000001</v>
      </c>
      <c r="H64" s="15">
        <v>1591568492</v>
      </c>
    </row>
    <row r="65" spans="2:8" x14ac:dyDescent="0.35">
      <c r="B65" s="15" t="s">
        <v>0</v>
      </c>
      <c r="C65" s="15">
        <v>8635.2999999999993</v>
      </c>
      <c r="D65" s="15">
        <v>2.1999999999999999E-2</v>
      </c>
      <c r="E65" s="15">
        <v>1591568663</v>
      </c>
      <c r="F65" s="15">
        <v>8603.4</v>
      </c>
      <c r="G65" s="15">
        <v>1.0009999999999999</v>
      </c>
      <c r="H65" s="15">
        <v>1591568719</v>
      </c>
    </row>
    <row r="66" spans="2:8" x14ac:dyDescent="0.35">
      <c r="B66" s="15" t="s">
        <v>0</v>
      </c>
      <c r="C66" s="15">
        <v>8635.7000000000007</v>
      </c>
      <c r="D66" s="15">
        <v>0.03</v>
      </c>
      <c r="E66" s="15">
        <v>1591568666</v>
      </c>
      <c r="F66" s="15">
        <v>8603.1</v>
      </c>
      <c r="G66" s="15">
        <v>5.0599999999999996</v>
      </c>
      <c r="H66" s="15">
        <v>1591568705</v>
      </c>
    </row>
    <row r="67" spans="2:8" x14ac:dyDescent="0.35">
      <c r="B67" s="15" t="s">
        <v>0</v>
      </c>
      <c r="C67" s="15">
        <v>8636.2000000000007</v>
      </c>
      <c r="D67" s="15">
        <v>0.61499999999999999</v>
      </c>
      <c r="E67" s="15">
        <v>1591568719</v>
      </c>
      <c r="F67" s="15">
        <v>8603</v>
      </c>
      <c r="G67" s="15">
        <v>2.6</v>
      </c>
      <c r="H67" s="15">
        <v>1591568683</v>
      </c>
    </row>
    <row r="68" spans="2:8" x14ac:dyDescent="0.35">
      <c r="B68" s="15" t="s">
        <v>0</v>
      </c>
      <c r="C68" s="15">
        <v>8637.2000000000007</v>
      </c>
      <c r="D68" s="15">
        <v>1.2529999999999999</v>
      </c>
      <c r="E68" s="15">
        <v>1591568512</v>
      </c>
      <c r="F68" s="15">
        <v>8602.2999999999993</v>
      </c>
      <c r="G68" s="15">
        <v>2.8919999999999999</v>
      </c>
      <c r="H68" s="15">
        <v>1591568638</v>
      </c>
    </row>
    <row r="69" spans="2:8" x14ac:dyDescent="0.35">
      <c r="B69" s="15" t="s">
        <v>0</v>
      </c>
      <c r="C69" s="15">
        <v>8637.2999999999993</v>
      </c>
      <c r="D69" s="15">
        <v>2.5</v>
      </c>
      <c r="E69" s="15">
        <v>1591568533</v>
      </c>
      <c r="F69" s="15">
        <v>8602</v>
      </c>
      <c r="G69" s="15">
        <v>2.1999999999999999E-2</v>
      </c>
      <c r="H69" s="15">
        <v>1591568663</v>
      </c>
    </row>
    <row r="70" spans="2:8" x14ac:dyDescent="0.35">
      <c r="B70" s="15" t="s">
        <v>0</v>
      </c>
      <c r="C70" s="15">
        <v>8637.5</v>
      </c>
      <c r="D70" s="15">
        <v>5.1879999999999997</v>
      </c>
      <c r="E70" s="15">
        <v>1591568719</v>
      </c>
      <c r="F70" s="15">
        <v>8601.9</v>
      </c>
      <c r="G70" s="15">
        <v>1.258</v>
      </c>
      <c r="H70" s="15">
        <v>1591568598</v>
      </c>
    </row>
    <row r="71" spans="2:8" x14ac:dyDescent="0.35">
      <c r="B71" s="15" t="s">
        <v>0</v>
      </c>
      <c r="C71" s="15">
        <v>8637.6</v>
      </c>
      <c r="D71" s="15">
        <v>1.1719999999999999</v>
      </c>
      <c r="E71" s="15">
        <v>1591568637</v>
      </c>
      <c r="F71" s="15">
        <v>8601</v>
      </c>
      <c r="G71" s="15">
        <v>1.014</v>
      </c>
      <c r="H71" s="15">
        <v>1591568669</v>
      </c>
    </row>
    <row r="72" spans="2:8" x14ac:dyDescent="0.35">
      <c r="B72" s="15" t="s">
        <v>0</v>
      </c>
      <c r="C72" s="15">
        <v>8637.7999999999993</v>
      </c>
      <c r="D72" s="15">
        <v>1.5409999999999999</v>
      </c>
      <c r="E72" s="15">
        <v>1591568677</v>
      </c>
      <c r="F72" s="15">
        <v>8600.1</v>
      </c>
      <c r="G72" s="15">
        <v>6.2009999999999996</v>
      </c>
      <c r="H72" s="15">
        <v>1591568661</v>
      </c>
    </row>
    <row r="73" spans="2:8" x14ac:dyDescent="0.35">
      <c r="B73" s="15" t="s">
        <v>0</v>
      </c>
      <c r="C73" s="15">
        <v>8638</v>
      </c>
      <c r="D73" s="15">
        <v>2</v>
      </c>
      <c r="E73" s="15">
        <v>1591568548</v>
      </c>
      <c r="F73" s="15">
        <v>8600</v>
      </c>
      <c r="G73" s="15">
        <v>1</v>
      </c>
      <c r="H73" s="15">
        <v>1591568346</v>
      </c>
    </row>
    <row r="74" spans="2:8" x14ac:dyDescent="0.35">
      <c r="B74" s="15" t="s">
        <v>0</v>
      </c>
      <c r="C74" s="15">
        <v>8638.2999999999993</v>
      </c>
      <c r="D74" s="15">
        <v>4.2999999999999997E-2</v>
      </c>
      <c r="E74" s="15">
        <v>1591568623</v>
      </c>
      <c r="F74" s="15">
        <v>8599.9</v>
      </c>
      <c r="G74" s="15">
        <v>1.177</v>
      </c>
      <c r="H74" s="15">
        <v>1591568536</v>
      </c>
    </row>
    <row r="75" spans="2:8" x14ac:dyDescent="0.35">
      <c r="B75" s="15" t="s">
        <v>0</v>
      </c>
      <c r="C75" s="15">
        <v>8638.7000000000007</v>
      </c>
      <c r="D75" s="15">
        <v>0.32900000000000001</v>
      </c>
      <c r="E75" s="15">
        <v>1591568681</v>
      </c>
      <c r="F75" s="15">
        <v>8599.7000000000007</v>
      </c>
      <c r="G75" s="15">
        <v>2.9239999999999999</v>
      </c>
      <c r="H75" s="15">
        <v>1591568660</v>
      </c>
    </row>
    <row r="76" spans="2:8" x14ac:dyDescent="0.35">
      <c r="B76" s="15" t="s">
        <v>0</v>
      </c>
      <c r="C76" s="15">
        <v>8639</v>
      </c>
      <c r="D76" s="15">
        <v>9.76</v>
      </c>
      <c r="E76" s="15">
        <v>1591568597</v>
      </c>
      <c r="F76" s="15">
        <v>8599.5</v>
      </c>
      <c r="G76" s="15">
        <v>3.5579999999999998</v>
      </c>
      <c r="H76" s="15">
        <v>1591568545</v>
      </c>
    </row>
    <row r="77" spans="2:8" x14ac:dyDescent="0.35">
      <c r="B77" s="15" t="s">
        <v>0</v>
      </c>
      <c r="C77" s="15">
        <v>8639.1</v>
      </c>
      <c r="D77" s="15">
        <v>4.0350000000000001</v>
      </c>
      <c r="E77" s="15">
        <v>1591568608</v>
      </c>
      <c r="F77" s="15">
        <v>8599.4</v>
      </c>
      <c r="G77" s="15">
        <v>7.8</v>
      </c>
      <c r="H77" s="15">
        <v>1591568679</v>
      </c>
    </row>
    <row r="78" spans="2:8" x14ac:dyDescent="0.35">
      <c r="B78" s="15" t="s">
        <v>0</v>
      </c>
      <c r="C78" s="15">
        <v>8639.2999999999993</v>
      </c>
      <c r="D78" s="15">
        <v>4.6360000000000001</v>
      </c>
      <c r="E78" s="15">
        <v>1591568475</v>
      </c>
      <c r="F78" s="15">
        <v>8599.2000000000007</v>
      </c>
      <c r="G78" s="15">
        <v>1.06</v>
      </c>
      <c r="H78" s="15">
        <v>1591568660</v>
      </c>
    </row>
    <row r="79" spans="2:8" x14ac:dyDescent="0.35">
      <c r="B79" s="15" t="s">
        <v>0</v>
      </c>
      <c r="C79" s="15">
        <v>8639.5</v>
      </c>
      <c r="D79" s="15">
        <v>6.0000000000000001E-3</v>
      </c>
      <c r="E79" s="15">
        <v>1591568666</v>
      </c>
      <c r="F79" s="15">
        <v>8599</v>
      </c>
      <c r="G79" s="15">
        <v>0.188</v>
      </c>
      <c r="H79" s="15">
        <v>1591568260</v>
      </c>
    </row>
    <row r="80" spans="2:8" x14ac:dyDescent="0.35">
      <c r="B80" s="15" t="s">
        <v>0</v>
      </c>
      <c r="C80" s="15">
        <v>8639.6</v>
      </c>
      <c r="D80" s="15">
        <v>11.976000000000001</v>
      </c>
      <c r="E80" s="15">
        <v>1591568601</v>
      </c>
      <c r="F80" s="15">
        <v>8598.7999999999993</v>
      </c>
      <c r="G80" s="15">
        <v>2.7770000000000001</v>
      </c>
      <c r="H80" s="15">
        <v>1591568558</v>
      </c>
    </row>
    <row r="81" spans="2:8" x14ac:dyDescent="0.35">
      <c r="B81" s="15" t="s">
        <v>0</v>
      </c>
      <c r="C81" s="15">
        <v>8639.9</v>
      </c>
      <c r="D81" s="15">
        <v>0.93400000000000005</v>
      </c>
      <c r="E81" s="15">
        <v>1591568672</v>
      </c>
      <c r="F81" s="15">
        <v>8598.6</v>
      </c>
      <c r="G81" s="15">
        <v>4.4999999999999998E-2</v>
      </c>
      <c r="H81" s="15">
        <v>1591568475</v>
      </c>
    </row>
    <row r="82" spans="2:8" x14ac:dyDescent="0.35">
      <c r="B82" s="15" t="s">
        <v>0</v>
      </c>
      <c r="C82" s="15">
        <v>8640</v>
      </c>
      <c r="D82" s="15">
        <v>9.3719999999999999</v>
      </c>
      <c r="E82" s="15">
        <v>1591568668</v>
      </c>
      <c r="F82" s="15">
        <v>8598.4</v>
      </c>
      <c r="G82" s="15">
        <v>2.5070000000000001</v>
      </c>
      <c r="H82" s="15">
        <v>1591568561</v>
      </c>
    </row>
    <row r="83" spans="2:8" x14ac:dyDescent="0.35">
      <c r="B83" s="15" t="s">
        <v>0</v>
      </c>
      <c r="C83" s="15">
        <v>8640.2999999999993</v>
      </c>
      <c r="D83" s="15">
        <v>2.2000000000000002</v>
      </c>
      <c r="E83" s="15">
        <v>1591568497</v>
      </c>
      <c r="F83" s="15">
        <v>8596.9</v>
      </c>
      <c r="G83" s="15">
        <v>1.9</v>
      </c>
      <c r="H83" s="15">
        <v>1591568506</v>
      </c>
    </row>
    <row r="84" spans="2:8" x14ac:dyDescent="0.35">
      <c r="B84" s="15" t="s">
        <v>0</v>
      </c>
      <c r="C84" s="15">
        <v>8640.7999999999993</v>
      </c>
      <c r="D84" s="15">
        <v>1.3009999999999999</v>
      </c>
      <c r="E84" s="15">
        <v>1591568663</v>
      </c>
      <c r="F84" s="15">
        <v>8596.6</v>
      </c>
      <c r="G84" s="15">
        <v>9.33</v>
      </c>
      <c r="H84" s="15">
        <v>1591568562</v>
      </c>
    </row>
    <row r="85" spans="2:8" x14ac:dyDescent="0.35">
      <c r="B85" s="15" t="s">
        <v>0</v>
      </c>
      <c r="C85" s="15">
        <v>8641.7999999999993</v>
      </c>
      <c r="D85" s="15">
        <v>1.5</v>
      </c>
      <c r="E85" s="15">
        <v>1591568451</v>
      </c>
      <c r="F85" s="15">
        <v>8596.2999999999993</v>
      </c>
      <c r="G85" s="15">
        <v>9.766</v>
      </c>
      <c r="H85" s="15">
        <v>1591568453</v>
      </c>
    </row>
    <row r="86" spans="2:8" x14ac:dyDescent="0.35">
      <c r="B86" s="15" t="s">
        <v>0</v>
      </c>
      <c r="C86" s="15">
        <v>8642.5</v>
      </c>
      <c r="D86" s="15">
        <v>3.0000000000000001E-3</v>
      </c>
      <c r="E86" s="15">
        <v>1591568594</v>
      </c>
      <c r="F86" s="15">
        <v>8596.2000000000007</v>
      </c>
      <c r="G86" s="15">
        <v>4.0549999999999997</v>
      </c>
      <c r="H86" s="15">
        <v>1591568453</v>
      </c>
    </row>
    <row r="87" spans="2:8" x14ac:dyDescent="0.35">
      <c r="B87" s="15" t="s">
        <v>0</v>
      </c>
      <c r="C87" s="15">
        <v>8642.6</v>
      </c>
      <c r="D87" s="15">
        <v>1.4E-2</v>
      </c>
      <c r="E87" s="15">
        <v>1591568413</v>
      </c>
      <c r="F87" s="15">
        <v>8595.7000000000007</v>
      </c>
      <c r="G87" s="15">
        <v>0.17</v>
      </c>
      <c r="H87" s="15">
        <v>1591568496</v>
      </c>
    </row>
    <row r="88" spans="2:8" x14ac:dyDescent="0.35">
      <c r="B88" s="15" t="s">
        <v>0</v>
      </c>
      <c r="C88" s="15">
        <v>8643.2000000000007</v>
      </c>
      <c r="D88" s="15">
        <v>2.7</v>
      </c>
      <c r="E88" s="15">
        <v>1591568520</v>
      </c>
      <c r="F88" s="15">
        <v>8595.4</v>
      </c>
      <c r="G88" s="15">
        <v>0.13400000000000001</v>
      </c>
      <c r="H88" s="15">
        <v>1591568074</v>
      </c>
    </row>
    <row r="89" spans="2:8" x14ac:dyDescent="0.35">
      <c r="B89" s="15" t="s">
        <v>0</v>
      </c>
      <c r="C89" s="15">
        <v>8643.5</v>
      </c>
      <c r="D89" s="15">
        <v>8.1000000000000003E-2</v>
      </c>
      <c r="E89" s="15">
        <v>1591568724</v>
      </c>
      <c r="F89" s="15">
        <v>8594.7000000000007</v>
      </c>
      <c r="G89" s="15">
        <v>1.7999999999999999E-2</v>
      </c>
      <c r="H89" s="15">
        <v>1591568201</v>
      </c>
    </row>
    <row r="90" spans="2:8" x14ac:dyDescent="0.35">
      <c r="B90" s="15" t="s">
        <v>0</v>
      </c>
      <c r="C90" s="15">
        <v>8644.2000000000007</v>
      </c>
      <c r="D90" s="15">
        <v>1.002</v>
      </c>
      <c r="E90" s="15">
        <v>1591568668</v>
      </c>
      <c r="F90" s="15">
        <v>8593.6</v>
      </c>
      <c r="G90" s="15">
        <v>1.2589999999999999</v>
      </c>
      <c r="H90" s="15">
        <v>1591568289</v>
      </c>
    </row>
    <row r="91" spans="2:8" x14ac:dyDescent="0.35">
      <c r="B91" s="15" t="s">
        <v>0</v>
      </c>
      <c r="C91" s="15">
        <v>8644.7000000000007</v>
      </c>
      <c r="D91" s="15">
        <v>0.41199999999999998</v>
      </c>
      <c r="E91" s="15">
        <v>1591568726</v>
      </c>
      <c r="F91" s="15">
        <v>8593.5</v>
      </c>
      <c r="G91" s="15">
        <v>2.8879999999999999</v>
      </c>
      <c r="H91" s="15">
        <v>1591568289</v>
      </c>
    </row>
    <row r="92" spans="2:8" x14ac:dyDescent="0.35">
      <c r="B92" s="15" t="s">
        <v>0</v>
      </c>
      <c r="C92" s="15">
        <v>8644.7999999999993</v>
      </c>
      <c r="D92" s="15">
        <v>0.41099999999999998</v>
      </c>
      <c r="E92" s="15">
        <v>1591568724</v>
      </c>
      <c r="F92" s="15">
        <v>8593.2999999999993</v>
      </c>
      <c r="G92" s="15">
        <v>2.2999999999999998</v>
      </c>
      <c r="H92" s="15">
        <v>1591568279</v>
      </c>
    </row>
    <row r="93" spans="2:8" x14ac:dyDescent="0.35">
      <c r="B93" s="15" t="s">
        <v>0</v>
      </c>
      <c r="C93" s="15">
        <v>8645</v>
      </c>
      <c r="D93" s="15">
        <v>0.4</v>
      </c>
      <c r="E93" s="15">
        <v>1591568686</v>
      </c>
      <c r="F93" s="15">
        <v>8593.1</v>
      </c>
      <c r="G93" s="15">
        <v>4.1529999999999996</v>
      </c>
      <c r="H93" s="15">
        <v>1591568291</v>
      </c>
    </row>
    <row r="94" spans="2:8" x14ac:dyDescent="0.35">
      <c r="B94" s="15" t="s">
        <v>0</v>
      </c>
      <c r="C94" s="15">
        <v>8645.6</v>
      </c>
      <c r="D94" s="15">
        <v>1.242</v>
      </c>
      <c r="E94" s="15">
        <v>1591568639</v>
      </c>
      <c r="F94" s="15">
        <v>8592.6</v>
      </c>
      <c r="G94" s="15">
        <v>3.5999999999999997E-2</v>
      </c>
      <c r="H94" s="15">
        <v>1591568629</v>
      </c>
    </row>
    <row r="95" spans="2:8" x14ac:dyDescent="0.35">
      <c r="B95" s="15" t="s">
        <v>0</v>
      </c>
      <c r="C95" s="15">
        <v>8646.2000000000007</v>
      </c>
      <c r="D95" s="15">
        <v>0.51400000000000001</v>
      </c>
      <c r="E95" s="15">
        <v>1591568713</v>
      </c>
      <c r="F95" s="15">
        <v>8592.4</v>
      </c>
      <c r="G95" s="15">
        <v>3.0819999999999999</v>
      </c>
      <c r="H95" s="15">
        <v>1591568454</v>
      </c>
    </row>
    <row r="96" spans="2:8" x14ac:dyDescent="0.35">
      <c r="B96" s="15" t="s">
        <v>0</v>
      </c>
      <c r="C96" s="15">
        <v>8646.5</v>
      </c>
      <c r="D96" s="15">
        <v>0.57999999999999996</v>
      </c>
      <c r="E96" s="15">
        <v>1591568673</v>
      </c>
      <c r="F96" s="15">
        <v>8591.6</v>
      </c>
      <c r="G96" s="15">
        <v>2.3E-2</v>
      </c>
      <c r="H96" s="15">
        <v>1591568714</v>
      </c>
    </row>
    <row r="97" spans="2:8" x14ac:dyDescent="0.35">
      <c r="B97" s="15" t="s">
        <v>0</v>
      </c>
      <c r="C97" s="15">
        <v>8646.6</v>
      </c>
      <c r="D97" s="15">
        <v>4.3319999999999999</v>
      </c>
      <c r="E97" s="15">
        <v>1591568697</v>
      </c>
      <c r="F97" s="15">
        <v>8591.5</v>
      </c>
      <c r="G97" s="15">
        <v>2.9849999999999999</v>
      </c>
      <c r="H97" s="15">
        <v>1591568674</v>
      </c>
    </row>
    <row r="98" spans="2:8" x14ac:dyDescent="0.35">
      <c r="B98" s="15" t="s">
        <v>0</v>
      </c>
      <c r="C98" s="15">
        <v>8646.7000000000007</v>
      </c>
      <c r="D98" s="15">
        <v>1.028</v>
      </c>
      <c r="E98" s="15">
        <v>1591568711</v>
      </c>
      <c r="F98" s="15">
        <v>8591.4</v>
      </c>
      <c r="G98" s="15">
        <v>3.8260000000000001</v>
      </c>
      <c r="H98" s="15">
        <v>1591568353</v>
      </c>
    </row>
    <row r="99" spans="2:8" x14ac:dyDescent="0.35">
      <c r="B99" s="15" t="s">
        <v>0</v>
      </c>
      <c r="C99" s="15">
        <v>8646.7999999999993</v>
      </c>
      <c r="D99" s="15">
        <v>0.64600000000000002</v>
      </c>
      <c r="E99" s="15">
        <v>1591568460</v>
      </c>
      <c r="F99" s="15">
        <v>8591.1</v>
      </c>
      <c r="G99" s="15">
        <v>0.252</v>
      </c>
      <c r="H99" s="15">
        <v>1591568667</v>
      </c>
    </row>
    <row r="100" spans="2:8" x14ac:dyDescent="0.35">
      <c r="B100" s="15" t="s">
        <v>0</v>
      </c>
      <c r="C100" s="15">
        <v>8647</v>
      </c>
      <c r="D100" s="15">
        <v>2.6</v>
      </c>
      <c r="E100" s="15">
        <v>1591568454</v>
      </c>
      <c r="F100" s="15">
        <v>8591</v>
      </c>
      <c r="G100" s="15">
        <v>1</v>
      </c>
      <c r="H100" s="15">
        <v>1591567890</v>
      </c>
    </row>
    <row r="101" spans="2:8" x14ac:dyDescent="0.35">
      <c r="B101" s="15" t="s">
        <v>0</v>
      </c>
      <c r="C101" s="15">
        <v>8647.4</v>
      </c>
      <c r="D101" s="15">
        <v>3</v>
      </c>
      <c r="E101" s="15">
        <v>1591568452</v>
      </c>
      <c r="F101" s="15">
        <v>8590.7999999999993</v>
      </c>
      <c r="G101" s="15">
        <v>9</v>
      </c>
      <c r="H101" s="15">
        <v>1591568285</v>
      </c>
    </row>
    <row r="102" spans="2:8" x14ac:dyDescent="0.35">
      <c r="B102" s="15" t="s">
        <v>0</v>
      </c>
      <c r="C102" s="15">
        <v>8647.5</v>
      </c>
      <c r="D102" s="15">
        <v>7.5</v>
      </c>
      <c r="E102" s="15">
        <v>1591568619</v>
      </c>
      <c r="F102" s="15">
        <v>8590.2000000000007</v>
      </c>
      <c r="G102" s="15">
        <v>0.97299999999999998</v>
      </c>
      <c r="H102" s="15">
        <v>1591568668</v>
      </c>
    </row>
    <row r="103" spans="2:8" x14ac:dyDescent="0.35">
      <c r="B103" s="15" t="s">
        <v>0</v>
      </c>
      <c r="C103" s="15">
        <v>8647.7000000000007</v>
      </c>
      <c r="D103" s="15">
        <v>4.0309999999999997</v>
      </c>
      <c r="E103" s="15">
        <v>1591568460</v>
      </c>
      <c r="F103" s="15">
        <v>8589.2999999999993</v>
      </c>
      <c r="G103" s="15">
        <v>0.76600000000000001</v>
      </c>
      <c r="H103" s="15">
        <v>1591568596</v>
      </c>
    </row>
    <row r="104" spans="2:8" x14ac:dyDescent="0.35">
      <c r="B104" s="15" t="s">
        <v>0</v>
      </c>
      <c r="C104" s="15">
        <v>8647.9</v>
      </c>
      <c r="D104" s="15">
        <v>6.6719999999999997</v>
      </c>
      <c r="E104" s="15">
        <v>1591568475</v>
      </c>
      <c r="F104" s="15">
        <v>8588.2000000000007</v>
      </c>
      <c r="G104" s="15">
        <v>1.31</v>
      </c>
      <c r="H104" s="15">
        <v>1591568506</v>
      </c>
    </row>
    <row r="105" spans="2:8" x14ac:dyDescent="0.35">
      <c r="B105" s="15" t="s">
        <v>0</v>
      </c>
      <c r="C105" s="15">
        <v>8648</v>
      </c>
      <c r="D105" s="15">
        <v>3.3069999999999999</v>
      </c>
      <c r="E105" s="15">
        <v>1591568460</v>
      </c>
      <c r="F105" s="15">
        <v>8587.5</v>
      </c>
      <c r="G105" s="15">
        <v>4.4279999999999999</v>
      </c>
      <c r="H105" s="15">
        <v>1591568313</v>
      </c>
    </row>
    <row r="106" spans="2:8" x14ac:dyDescent="0.35">
      <c r="B106" s="15" t="s">
        <v>0</v>
      </c>
      <c r="C106" s="15">
        <v>8648.2000000000007</v>
      </c>
      <c r="D106" s="15">
        <v>4.1269999999999998</v>
      </c>
      <c r="E106" s="15">
        <v>1591568658</v>
      </c>
      <c r="F106" s="15">
        <v>8587.4</v>
      </c>
      <c r="G106" s="15">
        <v>4.2999999999999997E-2</v>
      </c>
      <c r="H106" s="15">
        <v>1591567636</v>
      </c>
    </row>
    <row r="107" spans="2:8" x14ac:dyDescent="0.35">
      <c r="B107" s="15" t="s">
        <v>0</v>
      </c>
      <c r="C107" s="15">
        <v>8648.5</v>
      </c>
      <c r="D107" s="15">
        <v>2.8919999999999999</v>
      </c>
      <c r="E107" s="15">
        <v>1591568638</v>
      </c>
      <c r="F107" s="15">
        <v>8586.7999999999993</v>
      </c>
      <c r="G107" s="15">
        <v>5.4359999999999999</v>
      </c>
      <c r="H107" s="15">
        <v>1591568278</v>
      </c>
    </row>
    <row r="108" spans="2:8" x14ac:dyDescent="0.35">
      <c r="B108" s="15" t="s">
        <v>0</v>
      </c>
      <c r="C108" s="15">
        <v>8649</v>
      </c>
      <c r="D108" s="15">
        <v>1.0999999999999999E-2</v>
      </c>
      <c r="E108" s="15">
        <v>1591568494</v>
      </c>
      <c r="F108" s="15">
        <v>8586.7000000000007</v>
      </c>
      <c r="G108" s="15">
        <v>4.0599999999999996</v>
      </c>
      <c r="H108" s="15">
        <v>1591568279</v>
      </c>
    </row>
    <row r="109" spans="2:8" x14ac:dyDescent="0.35">
      <c r="B109" s="15" t="s">
        <v>0</v>
      </c>
      <c r="C109" s="15">
        <v>8649.7999999999993</v>
      </c>
      <c r="D109" s="15">
        <v>0.1</v>
      </c>
      <c r="E109" s="15">
        <v>1591568614</v>
      </c>
      <c r="F109" s="15">
        <v>8586.2000000000007</v>
      </c>
      <c r="G109" s="15">
        <v>0.97899999999999998</v>
      </c>
      <c r="H109" s="15">
        <v>1591568617</v>
      </c>
    </row>
    <row r="110" spans="2:8" x14ac:dyDescent="0.35">
      <c r="B110" s="15" t="s">
        <v>0</v>
      </c>
      <c r="C110" s="15">
        <v>8649.9</v>
      </c>
      <c r="D110" s="15">
        <v>2.8220000000000001</v>
      </c>
      <c r="E110" s="15">
        <v>1591568269</v>
      </c>
      <c r="F110" s="15">
        <v>8585.7999999999993</v>
      </c>
      <c r="G110" s="15">
        <v>4.0599999999999996</v>
      </c>
      <c r="H110" s="15">
        <v>1591568459</v>
      </c>
    </row>
    <row r="111" spans="2:8" x14ac:dyDescent="0.35">
      <c r="B111" s="15" t="s">
        <v>0</v>
      </c>
      <c r="C111" s="15">
        <v>8650</v>
      </c>
      <c r="D111" s="15">
        <v>2.3370000000000002</v>
      </c>
      <c r="E111" s="15">
        <v>1591568272</v>
      </c>
      <c r="F111" s="15">
        <v>8585.4</v>
      </c>
      <c r="G111" s="15">
        <v>1.5389999999999999</v>
      </c>
      <c r="H111" s="15">
        <v>1591568601</v>
      </c>
    </row>
    <row r="112" spans="2:8" x14ac:dyDescent="0.35">
      <c r="B112" s="15" t="s">
        <v>0</v>
      </c>
      <c r="C112" s="15">
        <v>8650.2000000000007</v>
      </c>
      <c r="D112" s="15">
        <v>2.1999999999999999E-2</v>
      </c>
      <c r="E112" s="15">
        <v>1591568296</v>
      </c>
      <c r="F112" s="15">
        <v>8583.6</v>
      </c>
      <c r="G112" s="15">
        <v>2.4</v>
      </c>
      <c r="H112" s="15">
        <v>1591568430</v>
      </c>
    </row>
    <row r="113" spans="2:8" x14ac:dyDescent="0.35">
      <c r="B113" s="15" t="s">
        <v>0</v>
      </c>
      <c r="C113" s="15">
        <v>8650.6</v>
      </c>
      <c r="D113" s="15">
        <v>0.13100000000000001</v>
      </c>
      <c r="E113" s="15">
        <v>1591568441</v>
      </c>
      <c r="F113" s="15">
        <v>8583.4</v>
      </c>
      <c r="G113" s="15">
        <v>2.1880000000000002</v>
      </c>
      <c r="H113" s="15">
        <v>1591568290</v>
      </c>
    </row>
    <row r="114" spans="2:8" x14ac:dyDescent="0.35">
      <c r="B114" s="15"/>
      <c r="C114" s="15"/>
      <c r="D114" s="15"/>
      <c r="E114" s="15"/>
      <c r="F114" s="15"/>
      <c r="G114" s="15"/>
      <c r="H114" s="15"/>
    </row>
    <row r="115" spans="2:8" x14ac:dyDescent="0.35">
      <c r="B115" s="15"/>
      <c r="C115" s="15"/>
      <c r="D115" s="15"/>
      <c r="E115" s="15"/>
      <c r="F115" s="15"/>
      <c r="G115" s="15"/>
      <c r="H115" s="15"/>
    </row>
    <row r="116" spans="2:8" x14ac:dyDescent="0.35">
      <c r="B116" s="15"/>
      <c r="C116" s="15"/>
      <c r="D116" s="15"/>
      <c r="E116" s="15"/>
      <c r="F116" s="15"/>
      <c r="G116" s="15"/>
      <c r="H116" s="15"/>
    </row>
    <row r="117" spans="2:8" x14ac:dyDescent="0.35">
      <c r="B117" s="15"/>
      <c r="C117" s="15"/>
      <c r="D117" s="15"/>
      <c r="E117" s="15"/>
      <c r="F117" s="15"/>
      <c r="G117" s="15"/>
      <c r="H117" s="15"/>
    </row>
    <row r="118" spans="2:8" x14ac:dyDescent="0.35">
      <c r="B118" s="15"/>
      <c r="C118" s="15"/>
      <c r="D118" s="15"/>
      <c r="E118" s="15"/>
      <c r="F118" s="15"/>
      <c r="G118" s="15"/>
      <c r="H118" s="15"/>
    </row>
    <row r="119" spans="2:8" x14ac:dyDescent="0.35">
      <c r="B119" s="15"/>
      <c r="C119" s="15"/>
      <c r="D119" s="15"/>
      <c r="E119" s="15"/>
      <c r="F119" s="15"/>
      <c r="G119" s="15"/>
      <c r="H119" s="15"/>
    </row>
    <row r="120" spans="2:8" x14ac:dyDescent="0.35">
      <c r="B120" s="15"/>
      <c r="C120" s="15"/>
      <c r="D120" s="15"/>
      <c r="E120" s="15"/>
      <c r="F120" s="15"/>
      <c r="G120" s="15"/>
      <c r="H120" s="15"/>
    </row>
    <row r="121" spans="2:8" x14ac:dyDescent="0.35">
      <c r="B121" s="15"/>
      <c r="C121" s="15"/>
      <c r="D121" s="15"/>
      <c r="E121" s="15"/>
      <c r="F121" s="15"/>
      <c r="G121" s="15"/>
      <c r="H121" s="15"/>
    </row>
    <row r="122" spans="2:8" x14ac:dyDescent="0.35">
      <c r="B122" s="15"/>
      <c r="C122" s="15"/>
      <c r="D122" s="15"/>
      <c r="E122" s="15"/>
      <c r="F122" s="15"/>
      <c r="G122" s="15"/>
      <c r="H122" s="15"/>
    </row>
    <row r="123" spans="2:8" x14ac:dyDescent="0.35">
      <c r="B123" s="15"/>
      <c r="C123" s="15"/>
      <c r="D123" s="15"/>
      <c r="E123" s="15"/>
      <c r="F123" s="15"/>
      <c r="G123" s="15"/>
      <c r="H123" s="15"/>
    </row>
    <row r="124" spans="2:8" x14ac:dyDescent="0.35">
      <c r="B124" s="15"/>
      <c r="C124" s="15"/>
      <c r="D124" s="15"/>
      <c r="E124" s="15"/>
      <c r="F124" s="15"/>
      <c r="G124" s="15"/>
      <c r="H124" s="15"/>
    </row>
    <row r="125" spans="2:8" x14ac:dyDescent="0.35">
      <c r="B125" s="15"/>
      <c r="C125" s="15"/>
      <c r="D125" s="15"/>
      <c r="E125" s="15"/>
      <c r="F125" s="15"/>
      <c r="G125" s="15"/>
      <c r="H125" s="15"/>
    </row>
    <row r="126" spans="2:8" x14ac:dyDescent="0.35">
      <c r="B126" s="15"/>
      <c r="C126" s="15"/>
      <c r="D126" s="15"/>
      <c r="E126" s="15"/>
      <c r="F126" s="15"/>
      <c r="G126" s="15"/>
      <c r="H126" s="15"/>
    </row>
    <row r="127" spans="2:8" x14ac:dyDescent="0.35">
      <c r="B127" s="15"/>
      <c r="C127" s="15"/>
      <c r="D127" s="15"/>
      <c r="E127" s="15"/>
      <c r="F127" s="15"/>
      <c r="G127" s="15"/>
      <c r="H127" s="15"/>
    </row>
    <row r="128" spans="2:8" x14ac:dyDescent="0.35">
      <c r="B128" s="15"/>
      <c r="C128" s="15"/>
      <c r="D128" s="15"/>
      <c r="E128" s="15"/>
      <c r="F128" s="15"/>
      <c r="G128" s="15"/>
      <c r="H128" s="15"/>
    </row>
    <row r="129" spans="2:8" x14ac:dyDescent="0.35">
      <c r="B129" s="15"/>
      <c r="C129" s="15"/>
      <c r="D129" s="15"/>
      <c r="E129" s="15"/>
      <c r="F129" s="15"/>
      <c r="G129" s="15"/>
      <c r="H129" s="15"/>
    </row>
    <row r="130" spans="2:8" x14ac:dyDescent="0.35">
      <c r="B130" s="15"/>
      <c r="C130" s="15"/>
      <c r="D130" s="15"/>
      <c r="E130" s="15"/>
      <c r="F130" s="15"/>
      <c r="G130" s="15"/>
      <c r="H130" s="15"/>
    </row>
    <row r="131" spans="2:8" x14ac:dyDescent="0.35">
      <c r="B131" s="15"/>
      <c r="C131" s="15"/>
      <c r="D131" s="15"/>
      <c r="E131" s="15"/>
      <c r="F131" s="15"/>
      <c r="G131" s="15"/>
      <c r="H131" s="15"/>
    </row>
    <row r="132" spans="2:8" x14ac:dyDescent="0.35">
      <c r="B132" s="15"/>
      <c r="C132" s="15"/>
      <c r="D132" s="15"/>
      <c r="E132" s="15"/>
      <c r="F132" s="15"/>
      <c r="G132" s="15"/>
      <c r="H132" s="15"/>
    </row>
    <row r="133" spans="2:8" x14ac:dyDescent="0.35">
      <c r="B133" s="15"/>
      <c r="C133" s="15"/>
      <c r="D133" s="15"/>
      <c r="E133" s="15"/>
      <c r="F133" s="15"/>
      <c r="G133" s="15"/>
      <c r="H133" s="15"/>
    </row>
    <row r="134" spans="2:8" x14ac:dyDescent="0.35">
      <c r="B134" s="15"/>
      <c r="C134" s="15"/>
      <c r="D134" s="15"/>
      <c r="E134" s="15"/>
      <c r="F134" s="15"/>
      <c r="G134" s="15"/>
      <c r="H134" s="15"/>
    </row>
    <row r="135" spans="2:8" x14ac:dyDescent="0.35">
      <c r="B135" s="15"/>
      <c r="C135" s="15"/>
      <c r="D135" s="15"/>
      <c r="E135" s="15"/>
      <c r="F135" s="15"/>
      <c r="G135" s="15"/>
      <c r="H135" s="15"/>
    </row>
    <row r="136" spans="2:8" x14ac:dyDescent="0.35">
      <c r="B136" s="15"/>
      <c r="C136" s="15"/>
      <c r="D136" s="15"/>
      <c r="E136" s="15"/>
      <c r="F136" s="15"/>
      <c r="G136" s="15"/>
      <c r="H136" s="15"/>
    </row>
    <row r="137" spans="2:8" x14ac:dyDescent="0.35">
      <c r="B137" s="15"/>
      <c r="C137" s="15"/>
      <c r="D137" s="15"/>
      <c r="E137" s="15"/>
      <c r="F137" s="15"/>
      <c r="G137" s="15"/>
      <c r="H137" s="15"/>
    </row>
    <row r="138" spans="2:8" x14ac:dyDescent="0.35">
      <c r="B138" s="15"/>
      <c r="C138" s="15"/>
      <c r="D138" s="15"/>
      <c r="E138" s="15"/>
      <c r="F138" s="15"/>
      <c r="G138" s="15"/>
      <c r="H138" s="15"/>
    </row>
    <row r="139" spans="2:8" x14ac:dyDescent="0.35">
      <c r="B139" s="15"/>
      <c r="C139" s="15"/>
      <c r="D139" s="15"/>
      <c r="E139" s="15"/>
      <c r="F139" s="15"/>
      <c r="G139" s="15"/>
      <c r="H139" s="15"/>
    </row>
    <row r="140" spans="2:8" x14ac:dyDescent="0.35">
      <c r="B140" s="15"/>
      <c r="C140" s="15"/>
      <c r="D140" s="15"/>
      <c r="E140" s="15"/>
      <c r="F140" s="15"/>
      <c r="G140" s="15"/>
      <c r="H140" s="15"/>
    </row>
    <row r="141" spans="2:8" x14ac:dyDescent="0.35">
      <c r="B141" s="15"/>
      <c r="C141" s="15"/>
      <c r="D141" s="15"/>
      <c r="E141" s="15"/>
      <c r="F141" s="15"/>
      <c r="G141" s="15"/>
      <c r="H141" s="15"/>
    </row>
    <row r="142" spans="2:8" x14ac:dyDescent="0.35">
      <c r="B142" s="15"/>
      <c r="C142" s="15"/>
      <c r="D142" s="15"/>
      <c r="E142" s="15"/>
      <c r="F142" s="15"/>
      <c r="G142" s="15"/>
      <c r="H142" s="15"/>
    </row>
    <row r="143" spans="2:8" x14ac:dyDescent="0.35">
      <c r="B143" s="15"/>
      <c r="C143" s="15"/>
      <c r="D143" s="15"/>
      <c r="E143" s="15"/>
      <c r="F143" s="15"/>
      <c r="G143" s="15"/>
      <c r="H143" s="15"/>
    </row>
    <row r="144" spans="2:8" x14ac:dyDescent="0.35">
      <c r="B144" s="15"/>
      <c r="C144" s="15"/>
      <c r="D144" s="15"/>
      <c r="E144" s="15"/>
      <c r="F144" s="15"/>
      <c r="G144" s="15"/>
      <c r="H144" s="15"/>
    </row>
    <row r="145" spans="2:8" x14ac:dyDescent="0.35">
      <c r="B145" s="15"/>
      <c r="C145" s="15"/>
      <c r="D145" s="15"/>
      <c r="E145" s="15"/>
      <c r="F145" s="15"/>
      <c r="G145" s="15"/>
      <c r="H145" s="15"/>
    </row>
    <row r="146" spans="2:8" x14ac:dyDescent="0.35">
      <c r="B146" s="15"/>
      <c r="C146" s="15"/>
      <c r="D146" s="15"/>
      <c r="E146" s="15"/>
      <c r="F146" s="15"/>
      <c r="G146" s="15"/>
      <c r="H146" s="15"/>
    </row>
    <row r="147" spans="2:8" x14ac:dyDescent="0.35">
      <c r="B147" s="15"/>
      <c r="C147" s="15"/>
      <c r="D147" s="15"/>
      <c r="E147" s="15"/>
      <c r="F147" s="15"/>
      <c r="G147" s="15"/>
      <c r="H147" s="15"/>
    </row>
    <row r="148" spans="2:8" x14ac:dyDescent="0.35">
      <c r="B148" s="15"/>
      <c r="C148" s="15"/>
      <c r="D148" s="15"/>
      <c r="E148" s="15"/>
      <c r="F148" s="15"/>
      <c r="G148" s="15"/>
      <c r="H148" s="15"/>
    </row>
    <row r="149" spans="2:8" x14ac:dyDescent="0.35">
      <c r="B149" s="15"/>
      <c r="C149" s="15"/>
      <c r="D149" s="15"/>
      <c r="E149" s="15"/>
      <c r="F149" s="15"/>
      <c r="G149" s="15"/>
      <c r="H149" s="15"/>
    </row>
    <row r="150" spans="2:8" x14ac:dyDescent="0.35">
      <c r="B150" s="15"/>
      <c r="C150" s="15"/>
      <c r="D150" s="15"/>
      <c r="E150" s="15"/>
      <c r="F150" s="15"/>
      <c r="G150" s="15"/>
      <c r="H150" s="15"/>
    </row>
    <row r="151" spans="2:8" x14ac:dyDescent="0.35">
      <c r="B151" s="15"/>
      <c r="C151" s="15"/>
      <c r="D151" s="15"/>
      <c r="E151" s="15"/>
      <c r="F151" s="15"/>
      <c r="G151" s="15"/>
      <c r="H151" s="15"/>
    </row>
    <row r="152" spans="2:8" x14ac:dyDescent="0.35">
      <c r="B152" s="15"/>
      <c r="C152" s="15"/>
      <c r="D152" s="15"/>
      <c r="E152" s="15"/>
      <c r="F152" s="15"/>
      <c r="G152" s="15"/>
      <c r="H152" s="15"/>
    </row>
    <row r="153" spans="2:8" x14ac:dyDescent="0.35">
      <c r="B153" s="15"/>
      <c r="C153" s="15"/>
      <c r="D153" s="15"/>
      <c r="E153" s="15"/>
      <c r="F153" s="15"/>
      <c r="G153" s="15"/>
      <c r="H153" s="15"/>
    </row>
    <row r="154" spans="2:8" x14ac:dyDescent="0.35">
      <c r="B154" s="15"/>
      <c r="C154" s="15"/>
      <c r="D154" s="15"/>
      <c r="E154" s="15"/>
      <c r="F154" s="15"/>
      <c r="G154" s="15"/>
      <c r="H154" s="15"/>
    </row>
    <row r="155" spans="2:8" x14ac:dyDescent="0.35">
      <c r="B155" s="15"/>
      <c r="C155" s="15"/>
      <c r="D155" s="15"/>
      <c r="E155" s="15"/>
      <c r="F155" s="15"/>
      <c r="G155" s="15"/>
      <c r="H155" s="15"/>
    </row>
    <row r="156" spans="2:8" x14ac:dyDescent="0.35">
      <c r="B156" s="15"/>
      <c r="C156" s="15"/>
      <c r="D156" s="15"/>
      <c r="E156" s="15"/>
      <c r="F156" s="15"/>
      <c r="G156" s="15"/>
      <c r="H156" s="15"/>
    </row>
    <row r="157" spans="2:8" x14ac:dyDescent="0.35">
      <c r="B157" s="15"/>
      <c r="C157" s="15"/>
      <c r="D157" s="15"/>
      <c r="E157" s="15"/>
      <c r="F157" s="15"/>
      <c r="G157" s="15"/>
      <c r="H157" s="15"/>
    </row>
    <row r="158" spans="2:8" x14ac:dyDescent="0.35">
      <c r="B158" s="15"/>
      <c r="C158" s="15"/>
      <c r="D158" s="15"/>
      <c r="E158" s="15"/>
      <c r="F158" s="15"/>
      <c r="G158" s="15"/>
      <c r="H158" s="15"/>
    </row>
    <row r="159" spans="2:8" x14ac:dyDescent="0.35">
      <c r="B159" s="15"/>
      <c r="C159" s="15"/>
      <c r="D159" s="15"/>
      <c r="E159" s="15"/>
      <c r="F159" s="15"/>
      <c r="G159" s="15"/>
      <c r="H159" s="15"/>
    </row>
    <row r="160" spans="2:8" x14ac:dyDescent="0.35">
      <c r="B160" s="15"/>
      <c r="C160" s="15"/>
      <c r="D160" s="15"/>
      <c r="E160" s="15"/>
      <c r="F160" s="15"/>
      <c r="G160" s="15"/>
      <c r="H160" s="15"/>
    </row>
    <row r="161" spans="2:8" x14ac:dyDescent="0.35">
      <c r="B161" s="15"/>
      <c r="C161" s="15"/>
      <c r="D161" s="15"/>
      <c r="E161" s="15"/>
      <c r="F161" s="15"/>
      <c r="G161" s="15"/>
      <c r="H161" s="15"/>
    </row>
    <row r="162" spans="2:8" x14ac:dyDescent="0.35">
      <c r="B162" s="15"/>
      <c r="C162" s="15"/>
      <c r="D162" s="15"/>
      <c r="E162" s="15"/>
      <c r="F162" s="15"/>
      <c r="G162" s="15"/>
      <c r="H162" s="15"/>
    </row>
    <row r="163" spans="2:8" x14ac:dyDescent="0.35">
      <c r="B163" s="15"/>
      <c r="C163" s="15"/>
      <c r="D163" s="15"/>
      <c r="E163" s="15"/>
      <c r="F163" s="15"/>
      <c r="G163" s="15"/>
      <c r="H163" s="15"/>
    </row>
    <row r="164" spans="2:8" x14ac:dyDescent="0.35">
      <c r="B164" s="15"/>
      <c r="C164" s="15"/>
      <c r="D164" s="15"/>
      <c r="E164" s="15"/>
      <c r="F164" s="15"/>
      <c r="G164" s="15"/>
      <c r="H164" s="15"/>
    </row>
    <row r="165" spans="2:8" x14ac:dyDescent="0.35">
      <c r="B165" s="15"/>
      <c r="C165" s="15"/>
      <c r="D165" s="15"/>
      <c r="E165" s="15"/>
      <c r="F165" s="15"/>
      <c r="G165" s="15"/>
      <c r="H165" s="15"/>
    </row>
    <row r="166" spans="2:8" x14ac:dyDescent="0.35">
      <c r="B166" s="15"/>
      <c r="C166" s="15"/>
      <c r="D166" s="15"/>
      <c r="E166" s="15"/>
      <c r="F166" s="15"/>
      <c r="G166" s="15"/>
      <c r="H166" s="15"/>
    </row>
    <row r="167" spans="2:8" x14ac:dyDescent="0.35">
      <c r="B167" s="15"/>
      <c r="C167" s="15"/>
      <c r="D167" s="15"/>
      <c r="E167" s="15"/>
      <c r="F167" s="15"/>
      <c r="G167" s="15"/>
      <c r="H167" s="15"/>
    </row>
    <row r="168" spans="2:8" x14ac:dyDescent="0.35">
      <c r="B168" s="15"/>
      <c r="C168" s="15"/>
      <c r="D168" s="15"/>
      <c r="E168" s="15"/>
      <c r="F168" s="15"/>
      <c r="G168" s="15"/>
      <c r="H168" s="15"/>
    </row>
    <row r="169" spans="2:8" x14ac:dyDescent="0.35">
      <c r="B169" s="15"/>
      <c r="C169" s="15"/>
      <c r="D169" s="15"/>
      <c r="E169" s="15"/>
      <c r="F169" s="15"/>
      <c r="G169" s="15"/>
      <c r="H169" s="15"/>
    </row>
    <row r="170" spans="2:8" x14ac:dyDescent="0.35">
      <c r="B170" s="15"/>
      <c r="C170" s="15"/>
      <c r="D170" s="15"/>
      <c r="E170" s="15"/>
      <c r="F170" s="15"/>
      <c r="G170" s="15"/>
      <c r="H170" s="15"/>
    </row>
    <row r="171" spans="2:8" x14ac:dyDescent="0.35">
      <c r="B171" s="15"/>
      <c r="C171" s="15"/>
      <c r="D171" s="15"/>
      <c r="E171" s="15"/>
      <c r="F171" s="15"/>
      <c r="G171" s="15"/>
      <c r="H171" s="15"/>
    </row>
    <row r="172" spans="2:8" x14ac:dyDescent="0.35">
      <c r="B172" s="15"/>
      <c r="C172" s="15"/>
      <c r="D172" s="15"/>
      <c r="E172" s="15"/>
      <c r="F172" s="15"/>
      <c r="G172" s="15"/>
      <c r="H172" s="15"/>
    </row>
    <row r="173" spans="2:8" x14ac:dyDescent="0.35">
      <c r="B173" s="15"/>
      <c r="C173" s="15"/>
      <c r="D173" s="15"/>
      <c r="E173" s="15"/>
      <c r="F173" s="15"/>
      <c r="G173" s="15"/>
      <c r="H173" s="15"/>
    </row>
    <row r="174" spans="2:8" x14ac:dyDescent="0.35">
      <c r="B174" s="15"/>
      <c r="C174" s="15"/>
      <c r="D174" s="15"/>
      <c r="E174" s="15"/>
      <c r="F174" s="15"/>
      <c r="G174" s="15"/>
      <c r="H174" s="15"/>
    </row>
    <row r="175" spans="2:8" x14ac:dyDescent="0.35">
      <c r="B175" s="15"/>
      <c r="C175" s="15"/>
      <c r="D175" s="15"/>
      <c r="E175" s="15"/>
      <c r="F175" s="15"/>
      <c r="G175" s="15"/>
      <c r="H175" s="15"/>
    </row>
    <row r="176" spans="2:8" x14ac:dyDescent="0.35">
      <c r="B176" s="15"/>
      <c r="C176" s="15"/>
      <c r="D176" s="15"/>
      <c r="E176" s="15"/>
      <c r="F176" s="15"/>
      <c r="G176" s="15"/>
      <c r="H176" s="15"/>
    </row>
    <row r="177" spans="2:8" x14ac:dyDescent="0.35">
      <c r="B177" s="15"/>
      <c r="C177" s="15"/>
      <c r="D177" s="15"/>
      <c r="E177" s="15"/>
      <c r="F177" s="15"/>
      <c r="G177" s="15"/>
      <c r="H177" s="15"/>
    </row>
    <row r="178" spans="2:8" x14ac:dyDescent="0.35">
      <c r="B178" s="15"/>
      <c r="C178" s="15"/>
      <c r="D178" s="15"/>
      <c r="E178" s="15"/>
      <c r="F178" s="15"/>
      <c r="G178" s="15"/>
      <c r="H178" s="15"/>
    </row>
    <row r="179" spans="2:8" x14ac:dyDescent="0.35">
      <c r="B179" s="15"/>
      <c r="C179" s="15"/>
      <c r="D179" s="15"/>
      <c r="E179" s="15"/>
      <c r="F179" s="15"/>
      <c r="G179" s="15"/>
      <c r="H179" s="15"/>
    </row>
    <row r="180" spans="2:8" x14ac:dyDescent="0.35">
      <c r="B180" s="15"/>
      <c r="C180" s="15"/>
      <c r="D180" s="15"/>
      <c r="E180" s="15"/>
      <c r="F180" s="15"/>
      <c r="G180" s="15"/>
      <c r="H180" s="15"/>
    </row>
    <row r="181" spans="2:8" x14ac:dyDescent="0.35">
      <c r="B181" s="15"/>
      <c r="C181" s="15"/>
      <c r="D181" s="15"/>
      <c r="E181" s="15"/>
      <c r="F181" s="15"/>
      <c r="G181" s="15"/>
      <c r="H181" s="15"/>
    </row>
    <row r="182" spans="2:8" x14ac:dyDescent="0.35">
      <c r="B182" s="15"/>
      <c r="C182" s="15"/>
      <c r="D182" s="15"/>
      <c r="E182" s="15"/>
      <c r="F182" s="15"/>
      <c r="G182" s="15"/>
      <c r="H182" s="15"/>
    </row>
    <row r="183" spans="2:8" x14ac:dyDescent="0.35">
      <c r="B183" s="15"/>
      <c r="C183" s="15"/>
      <c r="D183" s="15"/>
      <c r="E183" s="15"/>
      <c r="F183" s="15"/>
      <c r="G183" s="15"/>
      <c r="H183" s="15"/>
    </row>
    <row r="184" spans="2:8" x14ac:dyDescent="0.35">
      <c r="B184" s="15"/>
      <c r="C184" s="15"/>
      <c r="D184" s="15"/>
      <c r="E184" s="15"/>
      <c r="F184" s="15"/>
      <c r="G184" s="15"/>
      <c r="H184" s="15"/>
    </row>
    <row r="185" spans="2:8" x14ac:dyDescent="0.35">
      <c r="B185" s="15"/>
      <c r="C185" s="15"/>
      <c r="D185" s="15"/>
      <c r="E185" s="15"/>
      <c r="F185" s="15"/>
      <c r="G185" s="15"/>
      <c r="H185" s="15"/>
    </row>
    <row r="186" spans="2:8" x14ac:dyDescent="0.35">
      <c r="B186" s="15"/>
      <c r="C186" s="15"/>
      <c r="D186" s="15"/>
      <c r="E186" s="15"/>
      <c r="F186" s="15"/>
      <c r="G186" s="15"/>
      <c r="H186" s="15"/>
    </row>
    <row r="187" spans="2:8" x14ac:dyDescent="0.35">
      <c r="B187" s="15"/>
      <c r="C187" s="15"/>
      <c r="D187" s="15"/>
      <c r="E187" s="15"/>
      <c r="F187" s="15"/>
      <c r="G187" s="15"/>
      <c r="H187" s="15"/>
    </row>
    <row r="188" spans="2:8" x14ac:dyDescent="0.35">
      <c r="B188" s="15"/>
      <c r="C188" s="15"/>
      <c r="D188" s="15"/>
      <c r="E188" s="15"/>
      <c r="F188" s="15"/>
      <c r="G188" s="15"/>
      <c r="H188" s="15"/>
    </row>
    <row r="189" spans="2:8" x14ac:dyDescent="0.35">
      <c r="B189" s="15"/>
      <c r="C189" s="15"/>
      <c r="D189" s="15"/>
      <c r="E189" s="15"/>
      <c r="F189" s="15"/>
      <c r="G189" s="15"/>
      <c r="H189" s="15"/>
    </row>
    <row r="190" spans="2:8" x14ac:dyDescent="0.35">
      <c r="B190" s="15"/>
      <c r="C190" s="15"/>
      <c r="D190" s="15"/>
      <c r="E190" s="15"/>
      <c r="F190" s="15"/>
      <c r="G190" s="15"/>
      <c r="H190" s="15"/>
    </row>
    <row r="191" spans="2:8" x14ac:dyDescent="0.35">
      <c r="B191" s="15"/>
      <c r="C191" s="15"/>
      <c r="D191" s="15"/>
      <c r="E191" s="15"/>
      <c r="F191" s="15"/>
      <c r="G191" s="15"/>
      <c r="H191" s="15"/>
    </row>
    <row r="192" spans="2:8" x14ac:dyDescent="0.35">
      <c r="B192" s="15"/>
      <c r="C192" s="15"/>
      <c r="D192" s="15"/>
      <c r="E192" s="15"/>
      <c r="F192" s="15"/>
      <c r="G192" s="15"/>
      <c r="H192" s="15"/>
    </row>
    <row r="193" spans="2:8" x14ac:dyDescent="0.35">
      <c r="B193" s="15"/>
      <c r="C193" s="15"/>
      <c r="D193" s="15"/>
      <c r="E193" s="15"/>
      <c r="F193" s="15"/>
      <c r="G193" s="15"/>
      <c r="H193" s="15"/>
    </row>
    <row r="194" spans="2:8" x14ac:dyDescent="0.35">
      <c r="B194" s="15"/>
      <c r="C194" s="15"/>
      <c r="D194" s="15"/>
      <c r="E194" s="15"/>
      <c r="F194" s="15"/>
      <c r="G194" s="15"/>
      <c r="H194" s="15"/>
    </row>
    <row r="195" spans="2:8" x14ac:dyDescent="0.35">
      <c r="B195" s="15"/>
      <c r="C195" s="15"/>
      <c r="D195" s="15"/>
      <c r="E195" s="15"/>
      <c r="F195" s="15"/>
      <c r="G195" s="15"/>
      <c r="H195" s="15"/>
    </row>
    <row r="196" spans="2:8" x14ac:dyDescent="0.35">
      <c r="B196" s="15"/>
      <c r="C196" s="15"/>
      <c r="D196" s="15"/>
      <c r="E196" s="15"/>
      <c r="F196" s="15"/>
      <c r="G196" s="15"/>
      <c r="H196" s="15"/>
    </row>
    <row r="197" spans="2:8" x14ac:dyDescent="0.35">
      <c r="B197" s="15"/>
      <c r="C197" s="15"/>
      <c r="D197" s="15"/>
      <c r="E197" s="15"/>
      <c r="F197" s="15"/>
      <c r="G197" s="15"/>
      <c r="H197" s="15"/>
    </row>
    <row r="198" spans="2:8" x14ac:dyDescent="0.35">
      <c r="B198" s="15"/>
      <c r="C198" s="15"/>
      <c r="D198" s="15"/>
      <c r="E198" s="15"/>
      <c r="F198" s="15"/>
      <c r="G198" s="15"/>
      <c r="H198" s="15"/>
    </row>
    <row r="199" spans="2:8" x14ac:dyDescent="0.35">
      <c r="B199" s="15"/>
      <c r="C199" s="15"/>
      <c r="D199" s="15"/>
      <c r="E199" s="15"/>
      <c r="F199" s="15"/>
      <c r="G199" s="15"/>
      <c r="H199" s="15"/>
    </row>
    <row r="200" spans="2:8" x14ac:dyDescent="0.35">
      <c r="B200" s="15"/>
      <c r="C200" s="15"/>
      <c r="D200" s="15"/>
      <c r="E200" s="15"/>
      <c r="F200" s="15"/>
      <c r="G200" s="15"/>
      <c r="H200" s="15"/>
    </row>
    <row r="201" spans="2:8" x14ac:dyDescent="0.35">
      <c r="B201" s="15"/>
      <c r="C201" s="15"/>
      <c r="D201" s="15"/>
      <c r="E201" s="15"/>
      <c r="F201" s="15"/>
      <c r="G201" s="15"/>
      <c r="H201" s="15"/>
    </row>
    <row r="202" spans="2:8" x14ac:dyDescent="0.35">
      <c r="B202" s="15"/>
      <c r="C202" s="15"/>
      <c r="D202" s="15"/>
      <c r="E202" s="15"/>
      <c r="F202" s="15"/>
      <c r="G202" s="15"/>
      <c r="H202" s="15"/>
    </row>
    <row r="203" spans="2:8" x14ac:dyDescent="0.35">
      <c r="B203" s="15"/>
      <c r="C203" s="15"/>
      <c r="D203" s="15"/>
      <c r="E203" s="15"/>
      <c r="F203" s="15"/>
      <c r="G203" s="15"/>
      <c r="H203" s="15"/>
    </row>
    <row r="204" spans="2:8" x14ac:dyDescent="0.35">
      <c r="B204" s="15"/>
      <c r="C204" s="15"/>
      <c r="D204" s="15"/>
      <c r="E204" s="15"/>
      <c r="F204" s="15"/>
      <c r="G204" s="15"/>
      <c r="H204" s="15"/>
    </row>
    <row r="205" spans="2:8" x14ac:dyDescent="0.35">
      <c r="B205" s="15"/>
      <c r="C205" s="15"/>
      <c r="D205" s="15"/>
      <c r="E205" s="15"/>
      <c r="F205" s="15"/>
      <c r="G205" s="15"/>
      <c r="H205" s="15"/>
    </row>
    <row r="206" spans="2:8" x14ac:dyDescent="0.35">
      <c r="B206" s="15"/>
      <c r="C206" s="15"/>
      <c r="D206" s="15"/>
      <c r="E206" s="15"/>
      <c r="F206" s="15"/>
      <c r="G206" s="15"/>
      <c r="H206" s="15"/>
    </row>
    <row r="207" spans="2:8" x14ac:dyDescent="0.35">
      <c r="B207" s="15"/>
      <c r="C207" s="15"/>
      <c r="D207" s="15"/>
      <c r="E207" s="15"/>
      <c r="F207" s="15"/>
      <c r="G207" s="15"/>
      <c r="H207" s="15"/>
    </row>
    <row r="208" spans="2:8" x14ac:dyDescent="0.35">
      <c r="B208" s="15"/>
      <c r="C208" s="15"/>
      <c r="D208" s="15"/>
      <c r="E208" s="15"/>
      <c r="F208" s="15"/>
      <c r="G208" s="15"/>
      <c r="H208" s="15"/>
    </row>
    <row r="209" spans="2:8" x14ac:dyDescent="0.35">
      <c r="B209" s="15"/>
      <c r="C209" s="15"/>
      <c r="D209" s="15"/>
      <c r="E209" s="15"/>
      <c r="F209" s="15"/>
      <c r="G209" s="15"/>
      <c r="H209" s="15"/>
    </row>
    <row r="210" spans="2:8" x14ac:dyDescent="0.35">
      <c r="B210" s="15"/>
      <c r="C210" s="15"/>
      <c r="D210" s="15"/>
      <c r="E210" s="15"/>
      <c r="F210" s="15"/>
      <c r="G210" s="15"/>
      <c r="H210" s="15"/>
    </row>
    <row r="211" spans="2:8" x14ac:dyDescent="0.35">
      <c r="B211" s="15"/>
      <c r="C211" s="15"/>
      <c r="D211" s="15"/>
      <c r="E211" s="15"/>
      <c r="F211" s="15"/>
      <c r="G211" s="15"/>
      <c r="H211" s="15"/>
    </row>
    <row r="212" spans="2:8" x14ac:dyDescent="0.35">
      <c r="B212" s="15"/>
      <c r="C212" s="15"/>
      <c r="D212" s="15"/>
      <c r="E212" s="15"/>
      <c r="F212" s="15"/>
      <c r="G212" s="15"/>
      <c r="H212" s="15"/>
    </row>
    <row r="213" spans="2:8" x14ac:dyDescent="0.35">
      <c r="B213" s="15"/>
      <c r="C213" s="15"/>
      <c r="D213" s="15"/>
      <c r="E213" s="15"/>
      <c r="F213" s="15"/>
      <c r="G213" s="15"/>
      <c r="H213" s="15"/>
    </row>
    <row r="214" spans="2:8" x14ac:dyDescent="0.35">
      <c r="B214" s="15"/>
      <c r="C214" s="15"/>
      <c r="D214" s="15"/>
      <c r="E214" s="15"/>
      <c r="F214" s="15"/>
      <c r="G214" s="15"/>
      <c r="H214" s="15"/>
    </row>
    <row r="215" spans="2:8" x14ac:dyDescent="0.35">
      <c r="B215" s="15"/>
      <c r="C215" s="15"/>
      <c r="D215" s="15"/>
      <c r="E215" s="15"/>
      <c r="F215" s="15"/>
      <c r="G215" s="15"/>
      <c r="H215" s="15"/>
    </row>
    <row r="216" spans="2:8" x14ac:dyDescent="0.35">
      <c r="B216" s="15"/>
      <c r="C216" s="15"/>
      <c r="D216" s="15"/>
      <c r="E216" s="15"/>
      <c r="F216" s="15"/>
      <c r="G216" s="15"/>
      <c r="H216" s="15"/>
    </row>
    <row r="217" spans="2:8" x14ac:dyDescent="0.35">
      <c r="B217" s="15"/>
      <c r="C217" s="15"/>
      <c r="D217" s="15"/>
      <c r="E217" s="15"/>
      <c r="F217" s="15"/>
      <c r="G217" s="15"/>
      <c r="H217" s="15"/>
    </row>
    <row r="218" spans="2:8" x14ac:dyDescent="0.35">
      <c r="B218" s="15"/>
      <c r="C218" s="15"/>
      <c r="D218" s="15"/>
      <c r="E218" s="15"/>
      <c r="F218" s="15"/>
      <c r="G218" s="15"/>
      <c r="H218" s="15"/>
    </row>
    <row r="219" spans="2:8" x14ac:dyDescent="0.35">
      <c r="B219" s="15"/>
      <c r="C219" s="15"/>
      <c r="D219" s="15"/>
      <c r="E219" s="15"/>
      <c r="F219" s="15"/>
      <c r="G219" s="15"/>
      <c r="H219" s="15"/>
    </row>
    <row r="220" spans="2:8" x14ac:dyDescent="0.35">
      <c r="B220" s="15"/>
      <c r="C220" s="15"/>
      <c r="D220" s="15"/>
      <c r="E220" s="15"/>
      <c r="F220" s="15"/>
      <c r="G220" s="15"/>
      <c r="H220" s="15"/>
    </row>
    <row r="221" spans="2:8" x14ac:dyDescent="0.35">
      <c r="B221" s="15"/>
      <c r="C221" s="15"/>
      <c r="D221" s="15"/>
      <c r="E221" s="15"/>
      <c r="F221" s="15"/>
      <c r="G221" s="15"/>
      <c r="H221" s="15"/>
    </row>
    <row r="222" spans="2:8" x14ac:dyDescent="0.35">
      <c r="B222" s="15"/>
      <c r="C222" s="15"/>
      <c r="D222" s="15"/>
      <c r="E222" s="15"/>
      <c r="F222" s="15"/>
      <c r="G222" s="15"/>
      <c r="H222" s="15"/>
    </row>
    <row r="223" spans="2:8" x14ac:dyDescent="0.35">
      <c r="B223" s="15"/>
      <c r="C223" s="15"/>
      <c r="D223" s="15"/>
      <c r="E223" s="15"/>
      <c r="F223" s="15"/>
      <c r="G223" s="15"/>
      <c r="H223" s="15"/>
    </row>
    <row r="224" spans="2:8" x14ac:dyDescent="0.35">
      <c r="B224" s="15"/>
      <c r="C224" s="15"/>
      <c r="D224" s="15"/>
      <c r="E224" s="15"/>
      <c r="F224" s="15"/>
      <c r="G224" s="15"/>
      <c r="H224" s="15"/>
    </row>
    <row r="225" spans="2:8" x14ac:dyDescent="0.35">
      <c r="B225" s="15"/>
      <c r="C225" s="15"/>
      <c r="D225" s="15"/>
      <c r="E225" s="15"/>
      <c r="F225" s="15"/>
      <c r="G225" s="15"/>
      <c r="H225" s="15"/>
    </row>
    <row r="226" spans="2:8" x14ac:dyDescent="0.35">
      <c r="B226" s="15"/>
      <c r="C226" s="15"/>
      <c r="D226" s="15"/>
      <c r="E226" s="15"/>
      <c r="F226" s="15"/>
      <c r="G226" s="15"/>
      <c r="H226" s="15"/>
    </row>
    <row r="227" spans="2:8" x14ac:dyDescent="0.35">
      <c r="B227" s="15"/>
      <c r="C227" s="15"/>
      <c r="D227" s="15"/>
      <c r="E227" s="15"/>
      <c r="F227" s="15"/>
      <c r="G227" s="15"/>
      <c r="H227" s="15"/>
    </row>
    <row r="228" spans="2:8" x14ac:dyDescent="0.35">
      <c r="B228" s="15"/>
      <c r="C228" s="15"/>
      <c r="D228" s="15"/>
      <c r="E228" s="15"/>
      <c r="F228" s="15"/>
      <c r="G228" s="15"/>
      <c r="H228" s="15"/>
    </row>
    <row r="229" spans="2:8" x14ac:dyDescent="0.35">
      <c r="B229" s="15"/>
      <c r="C229" s="15"/>
      <c r="D229" s="15"/>
      <c r="E229" s="15"/>
      <c r="F229" s="15"/>
      <c r="G229" s="15"/>
      <c r="H229" s="15"/>
    </row>
    <row r="230" spans="2:8" x14ac:dyDescent="0.35">
      <c r="B230" s="15"/>
      <c r="C230" s="15"/>
      <c r="D230" s="15"/>
      <c r="E230" s="15"/>
      <c r="F230" s="15"/>
      <c r="G230" s="15"/>
      <c r="H230" s="15"/>
    </row>
    <row r="231" spans="2:8" x14ac:dyDescent="0.35">
      <c r="B231" s="15"/>
      <c r="C231" s="15"/>
      <c r="D231" s="15"/>
      <c r="E231" s="15"/>
      <c r="F231" s="15"/>
      <c r="G231" s="15"/>
      <c r="H231" s="15"/>
    </row>
    <row r="232" spans="2:8" x14ac:dyDescent="0.35">
      <c r="B232" s="15"/>
      <c r="C232" s="15"/>
      <c r="D232" s="15"/>
      <c r="E232" s="15"/>
      <c r="F232" s="15"/>
      <c r="G232" s="15"/>
      <c r="H232" s="15"/>
    </row>
    <row r="233" spans="2:8" x14ac:dyDescent="0.35">
      <c r="B233" s="15"/>
      <c r="C233" s="15"/>
      <c r="D233" s="15"/>
      <c r="E233" s="15"/>
      <c r="F233" s="15"/>
      <c r="G233" s="15"/>
      <c r="H233" s="15"/>
    </row>
    <row r="234" spans="2:8" x14ac:dyDescent="0.35">
      <c r="B234" s="15"/>
      <c r="C234" s="15"/>
      <c r="D234" s="15"/>
      <c r="E234" s="15"/>
      <c r="F234" s="15"/>
      <c r="G234" s="15"/>
      <c r="H234" s="15"/>
    </row>
    <row r="235" spans="2:8" x14ac:dyDescent="0.35">
      <c r="B235" s="15"/>
      <c r="C235" s="15"/>
      <c r="D235" s="15"/>
      <c r="E235" s="15"/>
      <c r="F235" s="15"/>
      <c r="G235" s="15"/>
      <c r="H235" s="15"/>
    </row>
    <row r="236" spans="2:8" x14ac:dyDescent="0.35">
      <c r="B236" s="15"/>
      <c r="C236" s="15"/>
      <c r="D236" s="15"/>
      <c r="E236" s="15"/>
      <c r="F236" s="15"/>
      <c r="G236" s="15"/>
      <c r="H236" s="15"/>
    </row>
    <row r="237" spans="2:8" x14ac:dyDescent="0.35">
      <c r="B237" s="15"/>
      <c r="C237" s="15"/>
      <c r="D237" s="15"/>
      <c r="E237" s="15"/>
      <c r="F237" s="15"/>
      <c r="G237" s="15"/>
      <c r="H237" s="15"/>
    </row>
    <row r="238" spans="2:8" x14ac:dyDescent="0.35">
      <c r="B238" s="15"/>
      <c r="C238" s="15"/>
      <c r="D238" s="15"/>
      <c r="E238" s="15"/>
      <c r="F238" s="15"/>
      <c r="G238" s="15"/>
      <c r="H238" s="15"/>
    </row>
    <row r="239" spans="2:8" x14ac:dyDescent="0.35">
      <c r="B239" s="15"/>
      <c r="C239" s="15"/>
      <c r="D239" s="15"/>
      <c r="E239" s="15"/>
      <c r="F239" s="15"/>
      <c r="G239" s="15"/>
      <c r="H239" s="15"/>
    </row>
    <row r="240" spans="2:8" x14ac:dyDescent="0.35">
      <c r="B240" s="15"/>
      <c r="C240" s="15"/>
      <c r="D240" s="15"/>
      <c r="E240" s="15"/>
      <c r="F240" s="15"/>
      <c r="G240" s="15"/>
      <c r="H240" s="15"/>
    </row>
    <row r="241" spans="2:8" x14ac:dyDescent="0.35">
      <c r="B241" s="15"/>
      <c r="C241" s="15"/>
      <c r="D241" s="15"/>
      <c r="E241" s="15"/>
      <c r="F241" s="15"/>
      <c r="G241" s="15"/>
      <c r="H241" s="15"/>
    </row>
    <row r="242" spans="2:8" x14ac:dyDescent="0.35">
      <c r="B242" s="15"/>
      <c r="C242" s="15"/>
      <c r="D242" s="15"/>
      <c r="E242" s="15"/>
      <c r="F242" s="15"/>
      <c r="G242" s="15"/>
      <c r="H242" s="15"/>
    </row>
    <row r="243" spans="2:8" x14ac:dyDescent="0.35">
      <c r="B243" s="15"/>
      <c r="C243" s="15"/>
      <c r="D243" s="15"/>
      <c r="E243" s="15"/>
      <c r="F243" s="15"/>
      <c r="G243" s="15"/>
      <c r="H243" s="15"/>
    </row>
    <row r="244" spans="2:8" x14ac:dyDescent="0.35">
      <c r="B244" s="15"/>
      <c r="C244" s="15"/>
      <c r="D244" s="15"/>
      <c r="E244" s="15"/>
      <c r="F244" s="15"/>
      <c r="G244" s="15"/>
      <c r="H244" s="15"/>
    </row>
    <row r="245" spans="2:8" x14ac:dyDescent="0.35">
      <c r="B245" s="15"/>
      <c r="C245" s="15"/>
      <c r="D245" s="15"/>
      <c r="E245" s="15"/>
      <c r="F245" s="15"/>
      <c r="G245" s="15"/>
      <c r="H245" s="15"/>
    </row>
    <row r="246" spans="2:8" x14ac:dyDescent="0.35">
      <c r="B246" s="15"/>
      <c r="C246" s="15"/>
      <c r="D246" s="15"/>
      <c r="E246" s="15"/>
      <c r="F246" s="15"/>
      <c r="G246" s="15"/>
      <c r="H246" s="15"/>
    </row>
    <row r="247" spans="2:8" x14ac:dyDescent="0.35">
      <c r="B247" s="15"/>
      <c r="C247" s="15"/>
      <c r="D247" s="15"/>
      <c r="E247" s="15"/>
      <c r="F247" s="15"/>
      <c r="G247" s="15"/>
      <c r="H247" s="15"/>
    </row>
    <row r="248" spans="2:8" x14ac:dyDescent="0.35">
      <c r="B248" s="15"/>
      <c r="C248" s="15"/>
      <c r="D248" s="15"/>
      <c r="E248" s="15"/>
      <c r="F248" s="15"/>
      <c r="G248" s="15"/>
      <c r="H248" s="15"/>
    </row>
    <row r="249" spans="2:8" x14ac:dyDescent="0.35">
      <c r="B249" s="15"/>
      <c r="C249" s="15"/>
      <c r="D249" s="15"/>
      <c r="E249" s="15"/>
      <c r="F249" s="15"/>
      <c r="G249" s="15"/>
      <c r="H249" s="15"/>
    </row>
    <row r="250" spans="2:8" x14ac:dyDescent="0.35">
      <c r="B250" s="15"/>
      <c r="C250" s="15"/>
      <c r="D250" s="15"/>
      <c r="E250" s="15"/>
      <c r="F250" s="15"/>
      <c r="G250" s="15"/>
      <c r="H250" s="15"/>
    </row>
    <row r="251" spans="2:8" x14ac:dyDescent="0.35">
      <c r="B251" s="15"/>
      <c r="C251" s="15"/>
      <c r="D251" s="15"/>
      <c r="E251" s="15"/>
      <c r="F251" s="15"/>
      <c r="G251" s="15"/>
      <c r="H251" s="15"/>
    </row>
    <row r="252" spans="2:8" x14ac:dyDescent="0.35">
      <c r="B252" s="15"/>
      <c r="C252" s="15"/>
      <c r="D252" s="15"/>
      <c r="E252" s="15"/>
      <c r="F252" s="15"/>
      <c r="G252" s="15"/>
      <c r="H252" s="15"/>
    </row>
    <row r="253" spans="2:8" x14ac:dyDescent="0.35">
      <c r="B253" s="15"/>
      <c r="C253" s="15"/>
      <c r="D253" s="15"/>
      <c r="E253" s="15"/>
      <c r="F253" s="15"/>
      <c r="G253" s="15"/>
      <c r="H253" s="15"/>
    </row>
    <row r="254" spans="2:8" x14ac:dyDescent="0.35">
      <c r="B254" s="15"/>
      <c r="C254" s="15"/>
      <c r="D254" s="15"/>
      <c r="E254" s="15"/>
      <c r="F254" s="15"/>
      <c r="G254" s="15"/>
      <c r="H254" s="15"/>
    </row>
    <row r="255" spans="2:8" x14ac:dyDescent="0.35">
      <c r="B255" s="15"/>
      <c r="C255" s="15"/>
      <c r="D255" s="15"/>
      <c r="E255" s="15"/>
      <c r="F255" s="15"/>
      <c r="G255" s="15"/>
      <c r="H255" s="15"/>
    </row>
    <row r="256" spans="2:8" x14ac:dyDescent="0.35">
      <c r="B256" s="15"/>
      <c r="C256" s="15"/>
      <c r="D256" s="15"/>
      <c r="E256" s="15"/>
      <c r="F256" s="15"/>
      <c r="G256" s="15"/>
      <c r="H256" s="15"/>
    </row>
    <row r="257" spans="2:8" x14ac:dyDescent="0.35">
      <c r="B257" s="15"/>
      <c r="C257" s="15"/>
      <c r="D257" s="15"/>
      <c r="E257" s="15"/>
      <c r="F257" s="15"/>
      <c r="G257" s="15"/>
      <c r="H257" s="15"/>
    </row>
    <row r="258" spans="2:8" x14ac:dyDescent="0.35">
      <c r="B258" s="15"/>
      <c r="C258" s="15"/>
      <c r="D258" s="15"/>
      <c r="E258" s="15"/>
      <c r="F258" s="15"/>
      <c r="G258" s="15"/>
      <c r="H258" s="15"/>
    </row>
    <row r="259" spans="2:8" x14ac:dyDescent="0.35">
      <c r="B259" s="15"/>
      <c r="C259" s="15"/>
      <c r="D259" s="15"/>
      <c r="E259" s="15"/>
      <c r="F259" s="15"/>
      <c r="G259" s="15"/>
      <c r="H259" s="15"/>
    </row>
    <row r="260" spans="2:8" x14ac:dyDescent="0.35">
      <c r="B260" s="15"/>
      <c r="C260" s="15"/>
      <c r="D260" s="15"/>
      <c r="E260" s="15"/>
      <c r="F260" s="15"/>
      <c r="G260" s="15"/>
      <c r="H260" s="15"/>
    </row>
    <row r="261" spans="2:8" x14ac:dyDescent="0.35">
      <c r="B261" s="15"/>
      <c r="C261" s="15"/>
      <c r="D261" s="15"/>
      <c r="E261" s="15"/>
      <c r="F261" s="15"/>
      <c r="G261" s="15"/>
      <c r="H261" s="15"/>
    </row>
    <row r="262" spans="2:8" x14ac:dyDescent="0.35">
      <c r="B262" s="15"/>
      <c r="C262" s="15"/>
      <c r="D262" s="15"/>
      <c r="E262" s="15"/>
      <c r="F262" s="15"/>
      <c r="G262" s="15"/>
      <c r="H262" s="15"/>
    </row>
    <row r="263" spans="2:8" x14ac:dyDescent="0.35">
      <c r="B263" s="15"/>
      <c r="C263" s="15"/>
      <c r="D263" s="15"/>
      <c r="E263" s="15"/>
      <c r="F263" s="15"/>
      <c r="G263" s="15"/>
      <c r="H263" s="15"/>
    </row>
    <row r="264" spans="2:8" x14ac:dyDescent="0.35">
      <c r="B264" s="15"/>
      <c r="C264" s="15"/>
      <c r="D264" s="15"/>
      <c r="E264" s="15"/>
      <c r="F264" s="15"/>
      <c r="G264" s="15"/>
      <c r="H264" s="15"/>
    </row>
    <row r="265" spans="2:8" x14ac:dyDescent="0.35">
      <c r="B265" s="15"/>
      <c r="C265" s="15"/>
      <c r="D265" s="15"/>
      <c r="E265" s="15"/>
      <c r="F265" s="15"/>
      <c r="G265" s="15"/>
      <c r="H265" s="15"/>
    </row>
    <row r="266" spans="2:8" x14ac:dyDescent="0.35">
      <c r="B266" s="15"/>
      <c r="C266" s="15"/>
      <c r="D266" s="15"/>
      <c r="E266" s="15"/>
      <c r="F266" s="15"/>
      <c r="G266" s="15"/>
      <c r="H266" s="15"/>
    </row>
    <row r="267" spans="2:8" x14ac:dyDescent="0.35">
      <c r="B267" s="15"/>
      <c r="C267" s="15"/>
      <c r="D267" s="15"/>
      <c r="E267" s="15"/>
      <c r="F267" s="15"/>
      <c r="G267" s="15"/>
      <c r="H267" s="15"/>
    </row>
    <row r="268" spans="2:8" x14ac:dyDescent="0.35">
      <c r="B268" s="15"/>
      <c r="C268" s="15"/>
      <c r="D268" s="15"/>
      <c r="E268" s="15"/>
      <c r="F268" s="15"/>
      <c r="G268" s="15"/>
      <c r="H268" s="15"/>
    </row>
    <row r="269" spans="2:8" x14ac:dyDescent="0.35">
      <c r="B269" s="15"/>
      <c r="C269" s="15"/>
      <c r="D269" s="15"/>
      <c r="E269" s="15"/>
      <c r="F269" s="15"/>
      <c r="G269" s="15"/>
      <c r="H269" s="15"/>
    </row>
    <row r="270" spans="2:8" x14ac:dyDescent="0.35">
      <c r="B270" s="15"/>
      <c r="C270" s="15"/>
      <c r="D270" s="15"/>
      <c r="E270" s="15"/>
      <c r="F270" s="15"/>
      <c r="G270" s="15"/>
      <c r="H270" s="15"/>
    </row>
    <row r="271" spans="2:8" x14ac:dyDescent="0.35">
      <c r="B271" s="15"/>
      <c r="C271" s="15"/>
      <c r="D271" s="15"/>
      <c r="E271" s="15"/>
      <c r="F271" s="15"/>
      <c r="G271" s="15"/>
      <c r="H271" s="15"/>
    </row>
    <row r="272" spans="2:8" x14ac:dyDescent="0.35">
      <c r="B272" s="15"/>
      <c r="C272" s="15"/>
      <c r="D272" s="15"/>
      <c r="E272" s="15"/>
      <c r="F272" s="15"/>
      <c r="G272" s="15"/>
      <c r="H272" s="15"/>
    </row>
    <row r="273" spans="2:8" x14ac:dyDescent="0.35">
      <c r="B273" s="15"/>
      <c r="C273" s="15"/>
      <c r="D273" s="15"/>
      <c r="E273" s="15"/>
      <c r="F273" s="15"/>
      <c r="G273" s="15"/>
      <c r="H273" s="15"/>
    </row>
    <row r="274" spans="2:8" x14ac:dyDescent="0.35">
      <c r="B274" s="15"/>
      <c r="C274" s="15"/>
      <c r="D274" s="15"/>
      <c r="E274" s="15"/>
      <c r="F274" s="15"/>
      <c r="G274" s="15"/>
      <c r="H274" s="15"/>
    </row>
    <row r="275" spans="2:8" x14ac:dyDescent="0.35">
      <c r="B275" s="15"/>
      <c r="C275" s="15"/>
      <c r="D275" s="15"/>
      <c r="E275" s="15"/>
      <c r="F275" s="15"/>
      <c r="G275" s="15"/>
      <c r="H275" s="15"/>
    </row>
    <row r="276" spans="2:8" x14ac:dyDescent="0.35">
      <c r="B276" s="15"/>
      <c r="C276" s="15"/>
      <c r="D276" s="15"/>
      <c r="E276" s="15"/>
      <c r="F276" s="15"/>
      <c r="G276" s="15"/>
      <c r="H276" s="15"/>
    </row>
    <row r="277" spans="2:8" x14ac:dyDescent="0.35">
      <c r="B277" s="15"/>
      <c r="C277" s="15"/>
      <c r="D277" s="15"/>
      <c r="E277" s="15"/>
      <c r="F277" s="15"/>
      <c r="G277" s="15"/>
      <c r="H277" s="15"/>
    </row>
    <row r="278" spans="2:8" x14ac:dyDescent="0.35">
      <c r="B278" s="15"/>
      <c r="C278" s="15"/>
      <c r="D278" s="15"/>
      <c r="E278" s="15"/>
      <c r="F278" s="15"/>
      <c r="G278" s="15"/>
      <c r="H278" s="15"/>
    </row>
    <row r="279" spans="2:8" x14ac:dyDescent="0.35">
      <c r="B279" s="15"/>
      <c r="C279" s="15"/>
      <c r="D279" s="15"/>
      <c r="E279" s="15"/>
      <c r="F279" s="15"/>
      <c r="G279" s="15"/>
      <c r="H279" s="15"/>
    </row>
    <row r="280" spans="2:8" x14ac:dyDescent="0.35">
      <c r="B280" s="15"/>
      <c r="C280" s="15"/>
      <c r="D280" s="15"/>
      <c r="E280" s="15"/>
      <c r="F280" s="15"/>
      <c r="G280" s="15"/>
      <c r="H280" s="15"/>
    </row>
    <row r="281" spans="2:8" x14ac:dyDescent="0.35">
      <c r="B281" s="15"/>
      <c r="C281" s="15"/>
      <c r="D281" s="15"/>
      <c r="E281" s="15"/>
      <c r="F281" s="15"/>
      <c r="G281" s="15"/>
      <c r="H281" s="15"/>
    </row>
    <row r="282" spans="2:8" x14ac:dyDescent="0.35">
      <c r="B282" s="15"/>
      <c r="C282" s="15"/>
      <c r="D282" s="15"/>
      <c r="E282" s="15"/>
      <c r="F282" s="15"/>
      <c r="G282" s="15"/>
      <c r="H282" s="15"/>
    </row>
    <row r="283" spans="2:8" x14ac:dyDescent="0.35">
      <c r="B283" s="15"/>
      <c r="C283" s="15"/>
      <c r="D283" s="15"/>
      <c r="E283" s="15"/>
      <c r="F283" s="15"/>
      <c r="G283" s="15"/>
      <c r="H283" s="15"/>
    </row>
    <row r="284" spans="2:8" x14ac:dyDescent="0.35">
      <c r="B284" s="15"/>
      <c r="C284" s="15"/>
      <c r="D284" s="15"/>
      <c r="E284" s="15"/>
      <c r="F284" s="15"/>
      <c r="G284" s="15"/>
      <c r="H284" s="15"/>
    </row>
    <row r="285" spans="2:8" x14ac:dyDescent="0.35">
      <c r="B285" s="15"/>
      <c r="C285" s="15"/>
      <c r="D285" s="15"/>
      <c r="E285" s="15"/>
      <c r="F285" s="15"/>
      <c r="G285" s="15"/>
      <c r="H285" s="15"/>
    </row>
    <row r="286" spans="2:8" x14ac:dyDescent="0.35">
      <c r="B286" s="15"/>
      <c r="C286" s="15"/>
      <c r="D286" s="15"/>
      <c r="E286" s="15"/>
      <c r="F286" s="15"/>
      <c r="G286" s="15"/>
      <c r="H286" s="15"/>
    </row>
    <row r="287" spans="2:8" x14ac:dyDescent="0.35">
      <c r="B287" s="15"/>
      <c r="C287" s="15"/>
      <c r="D287" s="15"/>
      <c r="E287" s="15"/>
      <c r="F287" s="15"/>
      <c r="G287" s="15"/>
      <c r="H287" s="15"/>
    </row>
    <row r="288" spans="2:8" x14ac:dyDescent="0.35">
      <c r="B288" s="15"/>
      <c r="C288" s="15"/>
      <c r="D288" s="15"/>
      <c r="E288" s="15"/>
      <c r="F288" s="15"/>
      <c r="G288" s="15"/>
      <c r="H288" s="15"/>
    </row>
    <row r="289" spans="2:8" x14ac:dyDescent="0.35">
      <c r="B289" s="15"/>
      <c r="C289" s="15"/>
      <c r="D289" s="15"/>
      <c r="E289" s="15"/>
      <c r="F289" s="15"/>
      <c r="G289" s="15"/>
      <c r="H289" s="15"/>
    </row>
    <row r="290" spans="2:8" x14ac:dyDescent="0.35">
      <c r="B290" s="15"/>
      <c r="C290" s="15"/>
      <c r="D290" s="15"/>
      <c r="E290" s="15"/>
      <c r="F290" s="15"/>
      <c r="G290" s="15"/>
      <c r="H290" s="15"/>
    </row>
    <row r="291" spans="2:8" x14ac:dyDescent="0.35">
      <c r="B291" s="15"/>
      <c r="C291" s="15"/>
      <c r="D291" s="15"/>
      <c r="E291" s="15"/>
      <c r="F291" s="15"/>
      <c r="G291" s="15"/>
      <c r="H291" s="15"/>
    </row>
    <row r="292" spans="2:8" x14ac:dyDescent="0.35">
      <c r="B292" s="15"/>
      <c r="C292" s="15"/>
      <c r="D292" s="15"/>
      <c r="E292" s="15"/>
      <c r="F292" s="15"/>
      <c r="G292" s="15"/>
      <c r="H292" s="15"/>
    </row>
    <row r="293" spans="2:8" x14ac:dyDescent="0.35">
      <c r="B293" s="15"/>
      <c r="C293" s="15"/>
      <c r="D293" s="15"/>
      <c r="E293" s="15"/>
      <c r="F293" s="15"/>
      <c r="G293" s="15"/>
      <c r="H293" s="15"/>
    </row>
    <row r="294" spans="2:8" x14ac:dyDescent="0.35">
      <c r="B294" s="15"/>
      <c r="C294" s="15"/>
      <c r="D294" s="15"/>
      <c r="E294" s="15"/>
      <c r="F294" s="15"/>
      <c r="G294" s="15"/>
      <c r="H294" s="15"/>
    </row>
    <row r="295" spans="2:8" x14ac:dyDescent="0.35">
      <c r="B295" s="15"/>
      <c r="C295" s="15"/>
      <c r="D295" s="15"/>
      <c r="E295" s="15"/>
      <c r="F295" s="15"/>
      <c r="G295" s="15"/>
      <c r="H295" s="15"/>
    </row>
    <row r="296" spans="2:8" x14ac:dyDescent="0.35">
      <c r="B296" s="15"/>
      <c r="C296" s="15"/>
      <c r="D296" s="15"/>
      <c r="E296" s="15"/>
      <c r="F296" s="15"/>
      <c r="G296" s="15"/>
      <c r="H296" s="15"/>
    </row>
    <row r="297" spans="2:8" x14ac:dyDescent="0.35">
      <c r="B297" s="15"/>
      <c r="C297" s="15"/>
      <c r="D297" s="15"/>
      <c r="E297" s="15"/>
      <c r="F297" s="15"/>
      <c r="G297" s="15"/>
      <c r="H297" s="15"/>
    </row>
    <row r="298" spans="2:8" x14ac:dyDescent="0.35">
      <c r="B298" s="15"/>
      <c r="C298" s="15"/>
      <c r="D298" s="15"/>
      <c r="E298" s="15"/>
      <c r="F298" s="15"/>
      <c r="G298" s="15"/>
      <c r="H298" s="15"/>
    </row>
    <row r="299" spans="2:8" x14ac:dyDescent="0.35">
      <c r="B299" s="15"/>
      <c r="C299" s="15"/>
      <c r="D299" s="15"/>
      <c r="E299" s="15"/>
      <c r="F299" s="15"/>
      <c r="G299" s="15"/>
      <c r="H299" s="15"/>
    </row>
    <row r="300" spans="2:8" x14ac:dyDescent="0.35">
      <c r="B300" s="15"/>
      <c r="C300" s="15"/>
      <c r="D300" s="15"/>
      <c r="E300" s="15"/>
      <c r="F300" s="15"/>
      <c r="G300" s="15"/>
      <c r="H300" s="15"/>
    </row>
    <row r="301" spans="2:8" x14ac:dyDescent="0.35">
      <c r="B301" s="15"/>
      <c r="C301" s="15"/>
      <c r="D301" s="15"/>
      <c r="E301" s="15"/>
      <c r="F301" s="15"/>
      <c r="G301" s="15"/>
      <c r="H301" s="15"/>
    </row>
    <row r="302" spans="2:8" x14ac:dyDescent="0.35">
      <c r="B302" s="15"/>
      <c r="C302" s="15"/>
      <c r="D302" s="15"/>
      <c r="E302" s="15"/>
      <c r="F302" s="15"/>
      <c r="G302" s="15"/>
      <c r="H302" s="15"/>
    </row>
    <row r="303" spans="2:8" x14ac:dyDescent="0.35">
      <c r="B303" s="15"/>
      <c r="C303" s="15"/>
      <c r="D303" s="15"/>
      <c r="E303" s="15"/>
      <c r="F303" s="15"/>
      <c r="G303" s="15"/>
      <c r="H303" s="15"/>
    </row>
    <row r="304" spans="2:8" x14ac:dyDescent="0.35">
      <c r="B304" s="15"/>
      <c r="C304" s="15"/>
      <c r="D304" s="15"/>
      <c r="E304" s="15"/>
      <c r="F304" s="15"/>
      <c r="G304" s="15"/>
      <c r="H304" s="15"/>
    </row>
    <row r="305" spans="2:8" x14ac:dyDescent="0.35">
      <c r="B305" s="15"/>
      <c r="C305" s="15"/>
      <c r="D305" s="15"/>
      <c r="E305" s="15"/>
      <c r="F305" s="15"/>
      <c r="G305" s="15"/>
      <c r="H305" s="15"/>
    </row>
    <row r="306" spans="2:8" x14ac:dyDescent="0.35">
      <c r="B306" s="15"/>
      <c r="C306" s="15"/>
      <c r="D306" s="15"/>
      <c r="E306" s="15"/>
      <c r="F306" s="15"/>
      <c r="G306" s="15"/>
      <c r="H306" s="15"/>
    </row>
    <row r="307" spans="2:8" x14ac:dyDescent="0.35">
      <c r="B307" s="15"/>
      <c r="C307" s="15"/>
      <c r="D307" s="15"/>
      <c r="E307" s="15"/>
      <c r="F307" s="15"/>
      <c r="G307" s="15"/>
      <c r="H307" s="15"/>
    </row>
    <row r="308" spans="2:8" x14ac:dyDescent="0.35">
      <c r="B308" s="15"/>
      <c r="C308" s="15"/>
      <c r="D308" s="15"/>
      <c r="E308" s="15"/>
      <c r="F308" s="15"/>
      <c r="G308" s="15"/>
      <c r="H308" s="15"/>
    </row>
    <row r="309" spans="2:8" x14ac:dyDescent="0.35">
      <c r="B309" s="15"/>
      <c r="C309" s="15"/>
      <c r="D309" s="15"/>
      <c r="E309" s="15"/>
      <c r="F309" s="15"/>
      <c r="G309" s="15"/>
      <c r="H309" s="15"/>
    </row>
    <row r="310" spans="2:8" x14ac:dyDescent="0.35">
      <c r="B310" s="15"/>
      <c r="C310" s="15"/>
      <c r="D310" s="15"/>
      <c r="E310" s="15"/>
      <c r="F310" s="15"/>
      <c r="G310" s="15"/>
      <c r="H310" s="15"/>
    </row>
    <row r="311" spans="2:8" x14ac:dyDescent="0.35">
      <c r="B311" s="15"/>
      <c r="C311" s="15"/>
      <c r="D311" s="15"/>
      <c r="E311" s="15"/>
      <c r="F311" s="15"/>
      <c r="G311" s="15"/>
      <c r="H311" s="15"/>
    </row>
    <row r="312" spans="2:8" x14ac:dyDescent="0.35">
      <c r="B312" s="15"/>
      <c r="C312" s="15"/>
      <c r="D312" s="15"/>
      <c r="E312" s="15"/>
      <c r="F312" s="15"/>
      <c r="G312" s="15"/>
      <c r="H312" s="15"/>
    </row>
    <row r="313" spans="2:8" x14ac:dyDescent="0.35">
      <c r="B313" s="15"/>
      <c r="C313" s="15"/>
      <c r="D313" s="15"/>
      <c r="E313" s="15"/>
      <c r="F313" s="15"/>
      <c r="G313" s="15"/>
      <c r="H313" s="15"/>
    </row>
    <row r="314" spans="2:8" x14ac:dyDescent="0.35">
      <c r="B314" s="15"/>
      <c r="C314" s="15"/>
      <c r="D314" s="15"/>
      <c r="E314" s="15"/>
      <c r="F314" s="15"/>
      <c r="G314" s="15"/>
      <c r="H314" s="15"/>
    </row>
    <row r="315" spans="2:8" x14ac:dyDescent="0.35">
      <c r="B315" s="15"/>
      <c r="C315" s="15"/>
      <c r="D315" s="15"/>
      <c r="E315" s="15"/>
      <c r="F315" s="15"/>
      <c r="G315" s="15"/>
      <c r="H315" s="15"/>
    </row>
    <row r="316" spans="2:8" x14ac:dyDescent="0.35">
      <c r="B316" s="15"/>
      <c r="C316" s="15"/>
      <c r="D316" s="15"/>
      <c r="E316" s="15"/>
      <c r="F316" s="15"/>
      <c r="G316" s="15"/>
      <c r="H316" s="15"/>
    </row>
    <row r="317" spans="2:8" x14ac:dyDescent="0.35">
      <c r="B317" s="15"/>
      <c r="C317" s="15"/>
      <c r="D317" s="15"/>
      <c r="E317" s="15"/>
      <c r="F317" s="15"/>
      <c r="G317" s="15"/>
      <c r="H317" s="15"/>
    </row>
    <row r="318" spans="2:8" x14ac:dyDescent="0.35">
      <c r="B318" s="15"/>
      <c r="C318" s="15"/>
      <c r="D318" s="15"/>
      <c r="E318" s="15"/>
      <c r="F318" s="15"/>
      <c r="G318" s="15"/>
      <c r="H318" s="15"/>
    </row>
    <row r="319" spans="2:8" x14ac:dyDescent="0.35">
      <c r="B319" s="15"/>
      <c r="C319" s="15"/>
      <c r="D319" s="15"/>
      <c r="E319" s="15"/>
      <c r="F319" s="15"/>
      <c r="G319" s="15"/>
      <c r="H319" s="15"/>
    </row>
    <row r="320" spans="2:8" x14ac:dyDescent="0.35">
      <c r="B320" s="15"/>
      <c r="C320" s="15"/>
      <c r="D320" s="15"/>
      <c r="E320" s="15"/>
      <c r="F320" s="15"/>
      <c r="G320" s="15"/>
      <c r="H320" s="15"/>
    </row>
    <row r="321" spans="2:8" x14ac:dyDescent="0.35">
      <c r="B321" s="15"/>
      <c r="C321" s="15"/>
      <c r="D321" s="15"/>
      <c r="E321" s="15"/>
      <c r="F321" s="15"/>
      <c r="G321" s="15"/>
      <c r="H321" s="15"/>
    </row>
    <row r="322" spans="2:8" x14ac:dyDescent="0.35">
      <c r="B322" s="15"/>
      <c r="C322" s="15"/>
      <c r="D322" s="15"/>
      <c r="E322" s="15"/>
      <c r="F322" s="15"/>
      <c r="G322" s="15"/>
      <c r="H322" s="15"/>
    </row>
    <row r="323" spans="2:8" x14ac:dyDescent="0.35">
      <c r="B323" s="15"/>
      <c r="C323" s="15"/>
      <c r="D323" s="15"/>
      <c r="E323" s="15"/>
      <c r="F323" s="15"/>
      <c r="G323" s="15"/>
      <c r="H323" s="15"/>
    </row>
    <row r="324" spans="2:8" x14ac:dyDescent="0.35">
      <c r="B324" s="15"/>
      <c r="C324" s="15"/>
      <c r="D324" s="15"/>
      <c r="E324" s="15"/>
      <c r="F324" s="15"/>
      <c r="G324" s="15"/>
      <c r="H324" s="15"/>
    </row>
    <row r="325" spans="2:8" x14ac:dyDescent="0.35">
      <c r="B325" s="15"/>
      <c r="C325" s="15"/>
      <c r="D325" s="15"/>
      <c r="E325" s="15"/>
      <c r="F325" s="15"/>
      <c r="G325" s="15"/>
      <c r="H325" s="15"/>
    </row>
    <row r="326" spans="2:8" x14ac:dyDescent="0.35">
      <c r="B326" s="15"/>
      <c r="C326" s="15"/>
      <c r="D326" s="15"/>
      <c r="E326" s="15"/>
      <c r="F326" s="15"/>
      <c r="G326" s="15"/>
      <c r="H326" s="15"/>
    </row>
    <row r="327" spans="2:8" x14ac:dyDescent="0.35">
      <c r="B327" s="15"/>
      <c r="C327" s="15"/>
      <c r="D327" s="15"/>
      <c r="E327" s="15"/>
      <c r="F327" s="15"/>
      <c r="G327" s="15"/>
      <c r="H327" s="15"/>
    </row>
    <row r="328" spans="2:8" x14ac:dyDescent="0.35">
      <c r="B328" s="15"/>
      <c r="C328" s="15"/>
      <c r="D328" s="15"/>
      <c r="E328" s="15"/>
      <c r="F328" s="15"/>
      <c r="G328" s="15"/>
      <c r="H328" s="15"/>
    </row>
    <row r="329" spans="2:8" x14ac:dyDescent="0.35">
      <c r="B329" s="15"/>
      <c r="C329" s="15"/>
      <c r="D329" s="15"/>
      <c r="E329" s="15"/>
      <c r="F329" s="15"/>
      <c r="G329" s="15"/>
      <c r="H329" s="15"/>
    </row>
    <row r="330" spans="2:8" x14ac:dyDescent="0.35">
      <c r="B330" s="15"/>
      <c r="C330" s="15"/>
      <c r="D330" s="15"/>
      <c r="E330" s="15"/>
      <c r="F330" s="15"/>
      <c r="G330" s="15"/>
      <c r="H330" s="15"/>
    </row>
    <row r="331" spans="2:8" x14ac:dyDescent="0.35">
      <c r="B331" s="15"/>
      <c r="C331" s="15"/>
      <c r="D331" s="15"/>
      <c r="E331" s="15"/>
      <c r="F331" s="15"/>
      <c r="G331" s="15"/>
      <c r="H331" s="15"/>
    </row>
    <row r="332" spans="2:8" x14ac:dyDescent="0.35">
      <c r="B332" s="15"/>
      <c r="C332" s="15"/>
      <c r="D332" s="15"/>
      <c r="E332" s="15"/>
      <c r="F332" s="15"/>
      <c r="G332" s="15"/>
      <c r="H332" s="15"/>
    </row>
    <row r="333" spans="2:8" x14ac:dyDescent="0.35">
      <c r="B333" s="15"/>
      <c r="C333" s="15"/>
      <c r="D333" s="15"/>
      <c r="E333" s="15"/>
      <c r="F333" s="15"/>
      <c r="G333" s="15"/>
      <c r="H333" s="15"/>
    </row>
    <row r="334" spans="2:8" x14ac:dyDescent="0.35">
      <c r="B334" s="15"/>
      <c r="C334" s="15"/>
      <c r="D334" s="15"/>
      <c r="E334" s="15"/>
      <c r="F334" s="15"/>
      <c r="G334" s="15"/>
      <c r="H334" s="15"/>
    </row>
    <row r="335" spans="2:8" x14ac:dyDescent="0.35">
      <c r="B335" s="15"/>
      <c r="C335" s="15"/>
      <c r="D335" s="15"/>
      <c r="E335" s="15"/>
      <c r="F335" s="15"/>
      <c r="G335" s="15"/>
      <c r="H335" s="15"/>
    </row>
    <row r="336" spans="2:8" x14ac:dyDescent="0.35">
      <c r="B336" s="15"/>
      <c r="C336" s="15"/>
      <c r="D336" s="15"/>
      <c r="E336" s="15"/>
      <c r="F336" s="15"/>
      <c r="G336" s="15"/>
      <c r="H336" s="15"/>
    </row>
    <row r="337" spans="2:8" x14ac:dyDescent="0.35">
      <c r="B337" s="15"/>
      <c r="C337" s="15"/>
      <c r="D337" s="15"/>
      <c r="E337" s="15"/>
      <c r="F337" s="15"/>
      <c r="G337" s="15"/>
      <c r="H337" s="15"/>
    </row>
    <row r="338" spans="2:8" x14ac:dyDescent="0.35">
      <c r="B338" s="15"/>
      <c r="C338" s="15"/>
      <c r="D338" s="15"/>
      <c r="E338" s="15"/>
      <c r="F338" s="15"/>
      <c r="G338" s="15"/>
      <c r="H338" s="15"/>
    </row>
    <row r="339" spans="2:8" x14ac:dyDescent="0.35">
      <c r="B339" s="15"/>
      <c r="C339" s="15"/>
      <c r="D339" s="15"/>
      <c r="E339" s="15"/>
      <c r="F339" s="15"/>
      <c r="G339" s="15"/>
      <c r="H339" s="15"/>
    </row>
    <row r="340" spans="2:8" x14ac:dyDescent="0.35">
      <c r="B340" s="15"/>
      <c r="C340" s="15"/>
      <c r="D340" s="15"/>
      <c r="E340" s="15"/>
      <c r="F340" s="15"/>
      <c r="G340" s="15"/>
      <c r="H340" s="15"/>
    </row>
    <row r="341" spans="2:8" x14ac:dyDescent="0.35">
      <c r="B341" s="15"/>
      <c r="C341" s="15"/>
      <c r="D341" s="15"/>
      <c r="E341" s="15"/>
      <c r="F341" s="15"/>
      <c r="G341" s="15"/>
      <c r="H341" s="15"/>
    </row>
    <row r="342" spans="2:8" x14ac:dyDescent="0.35">
      <c r="B342" s="15"/>
      <c r="C342" s="15"/>
      <c r="D342" s="15"/>
      <c r="E342" s="15"/>
      <c r="F342" s="15"/>
      <c r="G342" s="15"/>
      <c r="H342" s="15"/>
    </row>
    <row r="343" spans="2:8" x14ac:dyDescent="0.35">
      <c r="B343" s="15"/>
      <c r="C343" s="15"/>
      <c r="D343" s="15"/>
      <c r="E343" s="15"/>
      <c r="F343" s="15"/>
      <c r="G343" s="15"/>
      <c r="H343" s="15"/>
    </row>
    <row r="344" spans="2:8" x14ac:dyDescent="0.35">
      <c r="B344" s="15"/>
      <c r="C344" s="15"/>
      <c r="D344" s="15"/>
      <c r="E344" s="15"/>
      <c r="F344" s="15"/>
      <c r="G344" s="15"/>
      <c r="H344" s="15"/>
    </row>
    <row r="345" spans="2:8" x14ac:dyDescent="0.35">
      <c r="B345" s="15"/>
      <c r="C345" s="15"/>
      <c r="D345" s="15"/>
      <c r="E345" s="15"/>
      <c r="F345" s="15"/>
      <c r="G345" s="15"/>
      <c r="H345" s="15"/>
    </row>
    <row r="346" spans="2:8" x14ac:dyDescent="0.35">
      <c r="B346" s="15"/>
      <c r="C346" s="15"/>
      <c r="D346" s="15"/>
      <c r="E346" s="15"/>
      <c r="F346" s="15"/>
      <c r="G346" s="15"/>
      <c r="H346" s="15"/>
    </row>
    <row r="347" spans="2:8" x14ac:dyDescent="0.35">
      <c r="B347" s="15"/>
      <c r="C347" s="15"/>
      <c r="D347" s="15"/>
      <c r="E347" s="15"/>
      <c r="F347" s="15"/>
      <c r="G347" s="15"/>
      <c r="H347" s="15"/>
    </row>
    <row r="348" spans="2:8" x14ac:dyDescent="0.35">
      <c r="B348" s="15"/>
      <c r="C348" s="15"/>
      <c r="D348" s="15"/>
      <c r="E348" s="15"/>
      <c r="F348" s="15"/>
      <c r="G348" s="15"/>
      <c r="H348" s="15"/>
    </row>
    <row r="349" spans="2:8" x14ac:dyDescent="0.35">
      <c r="B349" s="15"/>
      <c r="C349" s="15"/>
      <c r="D349" s="15"/>
      <c r="E349" s="15"/>
      <c r="F349" s="15"/>
      <c r="G349" s="15"/>
      <c r="H349" s="15"/>
    </row>
    <row r="350" spans="2:8" x14ac:dyDescent="0.35">
      <c r="B350" s="15"/>
      <c r="C350" s="15"/>
      <c r="D350" s="15"/>
      <c r="E350" s="15"/>
      <c r="F350" s="15"/>
      <c r="G350" s="15"/>
      <c r="H350" s="15"/>
    </row>
    <row r="351" spans="2:8" x14ac:dyDescent="0.35">
      <c r="B351" s="15"/>
      <c r="C351" s="15"/>
      <c r="D351" s="15"/>
      <c r="E351" s="15"/>
      <c r="F351" s="15"/>
      <c r="G351" s="15"/>
      <c r="H351" s="15"/>
    </row>
    <row r="352" spans="2:8" x14ac:dyDescent="0.35">
      <c r="B352" s="15"/>
      <c r="C352" s="15"/>
      <c r="D352" s="15"/>
      <c r="E352" s="15"/>
      <c r="F352" s="15"/>
      <c r="G352" s="15"/>
      <c r="H352" s="15"/>
    </row>
    <row r="353" spans="2:8" x14ac:dyDescent="0.35">
      <c r="B353" s="15"/>
      <c r="C353" s="15"/>
      <c r="D353" s="15"/>
      <c r="E353" s="15"/>
      <c r="F353" s="15"/>
      <c r="G353" s="15"/>
      <c r="H353" s="15"/>
    </row>
    <row r="354" spans="2:8" x14ac:dyDescent="0.35">
      <c r="B354" s="15"/>
      <c r="C354" s="15"/>
      <c r="D354" s="15"/>
      <c r="E354" s="15"/>
      <c r="F354" s="15"/>
      <c r="G354" s="15"/>
      <c r="H354" s="15"/>
    </row>
    <row r="355" spans="2:8" x14ac:dyDescent="0.35">
      <c r="B355" s="15"/>
      <c r="C355" s="15"/>
      <c r="D355" s="15"/>
      <c r="E355" s="15"/>
      <c r="F355" s="15"/>
      <c r="G355" s="15"/>
      <c r="H355" s="15"/>
    </row>
    <row r="356" spans="2:8" x14ac:dyDescent="0.35">
      <c r="B356" s="15"/>
      <c r="C356" s="15"/>
      <c r="D356" s="15"/>
      <c r="E356" s="15"/>
      <c r="F356" s="15"/>
      <c r="G356" s="15"/>
      <c r="H356" s="15"/>
    </row>
    <row r="357" spans="2:8" x14ac:dyDescent="0.35">
      <c r="B357" s="15"/>
      <c r="C357" s="15"/>
      <c r="D357" s="15"/>
      <c r="E357" s="15"/>
      <c r="F357" s="15"/>
      <c r="G357" s="15"/>
      <c r="H357" s="15"/>
    </row>
    <row r="358" spans="2:8" x14ac:dyDescent="0.35">
      <c r="B358" s="15"/>
      <c r="C358" s="15"/>
      <c r="D358" s="15"/>
      <c r="E358" s="15"/>
      <c r="F358" s="15"/>
      <c r="G358" s="15"/>
      <c r="H358" s="15"/>
    </row>
    <row r="359" spans="2:8" x14ac:dyDescent="0.35">
      <c r="B359" s="15"/>
      <c r="C359" s="15"/>
      <c r="D359" s="15"/>
      <c r="E359" s="15"/>
      <c r="F359" s="15"/>
      <c r="G359" s="15"/>
      <c r="H359" s="15"/>
    </row>
    <row r="360" spans="2:8" x14ac:dyDescent="0.35">
      <c r="B360" s="15"/>
      <c r="C360" s="15"/>
      <c r="D360" s="15"/>
      <c r="E360" s="15"/>
      <c r="F360" s="15"/>
      <c r="G360" s="15"/>
      <c r="H360" s="15"/>
    </row>
    <row r="361" spans="2:8" x14ac:dyDescent="0.35">
      <c r="B361" s="15"/>
      <c r="C361" s="15"/>
      <c r="D361" s="15"/>
      <c r="E361" s="15"/>
      <c r="F361" s="15"/>
      <c r="G361" s="15"/>
      <c r="H361" s="15"/>
    </row>
    <row r="362" spans="2:8" x14ac:dyDescent="0.35">
      <c r="B362" s="15"/>
      <c r="C362" s="15"/>
      <c r="D362" s="15"/>
      <c r="E362" s="15"/>
      <c r="F362" s="15"/>
      <c r="G362" s="15"/>
      <c r="H362" s="15"/>
    </row>
    <row r="363" spans="2:8" x14ac:dyDescent="0.35">
      <c r="B363" s="15"/>
      <c r="C363" s="15"/>
      <c r="D363" s="15"/>
      <c r="E363" s="15"/>
      <c r="F363" s="15"/>
      <c r="G363" s="15"/>
      <c r="H363" s="15"/>
    </row>
    <row r="364" spans="2:8" x14ac:dyDescent="0.35">
      <c r="B364" s="15"/>
      <c r="C364" s="15"/>
      <c r="D364" s="15"/>
      <c r="E364" s="15"/>
      <c r="F364" s="15"/>
      <c r="G364" s="15"/>
      <c r="H364" s="15"/>
    </row>
    <row r="365" spans="2:8" x14ac:dyDescent="0.35">
      <c r="B365" s="15"/>
      <c r="C365" s="15"/>
      <c r="D365" s="15"/>
      <c r="E365" s="15"/>
      <c r="F365" s="15"/>
      <c r="G365" s="15"/>
      <c r="H365" s="15"/>
    </row>
    <row r="366" spans="2:8" x14ac:dyDescent="0.35">
      <c r="B366" s="15"/>
      <c r="C366" s="15"/>
      <c r="D366" s="15"/>
      <c r="E366" s="15"/>
      <c r="F366" s="15"/>
      <c r="G366" s="15"/>
      <c r="H366" s="15"/>
    </row>
    <row r="367" spans="2:8" x14ac:dyDescent="0.35">
      <c r="B367" s="15"/>
      <c r="C367" s="15"/>
      <c r="D367" s="15"/>
      <c r="E367" s="15"/>
      <c r="F367" s="15"/>
      <c r="G367" s="15"/>
      <c r="H367" s="15"/>
    </row>
    <row r="368" spans="2:8" x14ac:dyDescent="0.35">
      <c r="B368" s="15"/>
      <c r="C368" s="15"/>
      <c r="D368" s="15"/>
      <c r="E368" s="15"/>
      <c r="F368" s="15"/>
      <c r="G368" s="15"/>
      <c r="H368" s="15"/>
    </row>
    <row r="369" spans="2:8" x14ac:dyDescent="0.35">
      <c r="B369" s="15"/>
      <c r="C369" s="15"/>
      <c r="D369" s="15"/>
      <c r="E369" s="15"/>
      <c r="F369" s="15"/>
      <c r="G369" s="15"/>
      <c r="H369" s="15"/>
    </row>
    <row r="370" spans="2:8" x14ac:dyDescent="0.35">
      <c r="B370" s="15"/>
      <c r="C370" s="15"/>
      <c r="D370" s="15"/>
      <c r="E370" s="15"/>
      <c r="F370" s="15"/>
      <c r="G370" s="15"/>
      <c r="H370" s="15"/>
    </row>
    <row r="371" spans="2:8" x14ac:dyDescent="0.35">
      <c r="B371" s="15"/>
      <c r="C371" s="15"/>
      <c r="D371" s="15"/>
      <c r="E371" s="15"/>
      <c r="F371" s="15"/>
      <c r="G371" s="15"/>
      <c r="H371" s="15"/>
    </row>
    <row r="372" spans="2:8" x14ac:dyDescent="0.35">
      <c r="B372" s="15"/>
      <c r="C372" s="15"/>
      <c r="D372" s="15"/>
      <c r="E372" s="15"/>
      <c r="F372" s="15"/>
      <c r="G372" s="15"/>
      <c r="H372" s="15"/>
    </row>
    <row r="373" spans="2:8" x14ac:dyDescent="0.35">
      <c r="B373" s="15"/>
      <c r="C373" s="15"/>
      <c r="D373" s="15"/>
      <c r="E373" s="15"/>
      <c r="F373" s="15"/>
      <c r="G373" s="15"/>
      <c r="H373" s="15"/>
    </row>
    <row r="374" spans="2:8" x14ac:dyDescent="0.35">
      <c r="B374" s="15"/>
      <c r="C374" s="15"/>
      <c r="D374" s="15"/>
      <c r="E374" s="15"/>
      <c r="F374" s="15"/>
      <c r="G374" s="15"/>
      <c r="H374" s="15"/>
    </row>
    <row r="375" spans="2:8" x14ac:dyDescent="0.35">
      <c r="B375" s="15"/>
      <c r="C375" s="15"/>
      <c r="D375" s="15"/>
      <c r="E375" s="15"/>
      <c r="F375" s="15"/>
      <c r="G375" s="15"/>
      <c r="H375" s="15"/>
    </row>
    <row r="376" spans="2:8" x14ac:dyDescent="0.35">
      <c r="B376" s="15"/>
      <c r="C376" s="15"/>
      <c r="D376" s="15"/>
      <c r="E376" s="15"/>
      <c r="F376" s="15"/>
      <c r="G376" s="15"/>
      <c r="H376" s="15"/>
    </row>
    <row r="377" spans="2:8" x14ac:dyDescent="0.35">
      <c r="B377" s="15"/>
      <c r="C377" s="15"/>
      <c r="D377" s="15"/>
      <c r="E377" s="15"/>
      <c r="F377" s="15"/>
      <c r="G377" s="15"/>
      <c r="H377" s="15"/>
    </row>
    <row r="378" spans="2:8" x14ac:dyDescent="0.35">
      <c r="B378" s="15"/>
      <c r="C378" s="15"/>
      <c r="D378" s="15"/>
      <c r="E378" s="15"/>
      <c r="F378" s="15"/>
      <c r="G378" s="15"/>
      <c r="H378" s="15"/>
    </row>
    <row r="379" spans="2:8" x14ac:dyDescent="0.35">
      <c r="B379" s="15"/>
      <c r="C379" s="15"/>
      <c r="D379" s="15"/>
      <c r="E379" s="15"/>
      <c r="F379" s="15"/>
      <c r="G379" s="15"/>
      <c r="H379" s="15"/>
    </row>
    <row r="380" spans="2:8" x14ac:dyDescent="0.35">
      <c r="B380" s="15"/>
      <c r="C380" s="15"/>
      <c r="D380" s="15"/>
      <c r="E380" s="15"/>
      <c r="F380" s="15"/>
      <c r="G380" s="15"/>
      <c r="H380" s="15"/>
    </row>
    <row r="381" spans="2:8" x14ac:dyDescent="0.35">
      <c r="B381" s="15"/>
      <c r="C381" s="15"/>
      <c r="D381" s="15"/>
      <c r="E381" s="15"/>
      <c r="F381" s="15"/>
      <c r="G381" s="15"/>
      <c r="H381" s="15"/>
    </row>
    <row r="382" spans="2:8" x14ac:dyDescent="0.35">
      <c r="B382" s="15"/>
      <c r="C382" s="15"/>
      <c r="D382" s="15"/>
      <c r="E382" s="15"/>
      <c r="F382" s="15"/>
      <c r="G382" s="15"/>
      <c r="H382" s="15"/>
    </row>
    <row r="383" spans="2:8" x14ac:dyDescent="0.35">
      <c r="B383" s="15"/>
      <c r="C383" s="15"/>
      <c r="D383" s="15"/>
      <c r="E383" s="15"/>
      <c r="F383" s="15"/>
      <c r="G383" s="15"/>
      <c r="H383" s="15"/>
    </row>
    <row r="384" spans="2:8" x14ac:dyDescent="0.35">
      <c r="B384" s="15"/>
      <c r="C384" s="15"/>
      <c r="D384" s="15"/>
      <c r="E384" s="15"/>
      <c r="F384" s="15"/>
      <c r="G384" s="15"/>
      <c r="H384" s="15"/>
    </row>
    <row r="385" spans="2:8" x14ac:dyDescent="0.35">
      <c r="B385" s="15"/>
      <c r="C385" s="15"/>
      <c r="D385" s="15"/>
      <c r="E385" s="15"/>
      <c r="F385" s="15"/>
      <c r="G385" s="15"/>
      <c r="H385" s="15"/>
    </row>
    <row r="386" spans="2:8" x14ac:dyDescent="0.35">
      <c r="B386" s="15"/>
      <c r="C386" s="15"/>
      <c r="D386" s="15"/>
      <c r="E386" s="15"/>
      <c r="F386" s="15"/>
      <c r="G386" s="15"/>
      <c r="H386" s="15"/>
    </row>
    <row r="387" spans="2:8" x14ac:dyDescent="0.35">
      <c r="B387" s="15"/>
      <c r="C387" s="15"/>
      <c r="D387" s="15"/>
      <c r="E387" s="15"/>
      <c r="F387" s="15"/>
      <c r="G387" s="15"/>
      <c r="H387" s="15"/>
    </row>
    <row r="388" spans="2:8" x14ac:dyDescent="0.35">
      <c r="B388" s="15"/>
      <c r="C388" s="15"/>
      <c r="D388" s="15"/>
      <c r="E388" s="15"/>
      <c r="F388" s="15"/>
      <c r="G388" s="15"/>
      <c r="H388" s="15"/>
    </row>
    <row r="389" spans="2:8" x14ac:dyDescent="0.35">
      <c r="B389" s="15"/>
      <c r="C389" s="15"/>
      <c r="D389" s="15"/>
      <c r="E389" s="15"/>
      <c r="F389" s="15"/>
      <c r="G389" s="15"/>
      <c r="H389" s="15"/>
    </row>
    <row r="390" spans="2:8" x14ac:dyDescent="0.35">
      <c r="B390" s="15"/>
      <c r="C390" s="15"/>
      <c r="D390" s="15"/>
      <c r="E390" s="15"/>
      <c r="F390" s="15"/>
      <c r="G390" s="15"/>
      <c r="H390" s="15"/>
    </row>
    <row r="391" spans="2:8" x14ac:dyDescent="0.35">
      <c r="B391" s="15"/>
      <c r="C391" s="15"/>
      <c r="D391" s="15"/>
      <c r="E391" s="15"/>
      <c r="F391" s="15"/>
      <c r="G391" s="15"/>
      <c r="H391" s="15"/>
    </row>
    <row r="392" spans="2:8" x14ac:dyDescent="0.35">
      <c r="B392" s="15"/>
      <c r="C392" s="15"/>
      <c r="D392" s="15"/>
      <c r="E392" s="15"/>
      <c r="F392" s="15"/>
      <c r="G392" s="15"/>
      <c r="H392" s="15"/>
    </row>
    <row r="393" spans="2:8" x14ac:dyDescent="0.35">
      <c r="B393" s="15"/>
      <c r="C393" s="15"/>
      <c r="D393" s="15"/>
      <c r="E393" s="15"/>
      <c r="F393" s="15"/>
      <c r="G393" s="15"/>
      <c r="H393" s="15"/>
    </row>
    <row r="394" spans="2:8" x14ac:dyDescent="0.35">
      <c r="B394" s="15"/>
      <c r="C394" s="15"/>
      <c r="D394" s="15"/>
      <c r="E394" s="15"/>
      <c r="F394" s="15"/>
      <c r="G394" s="15"/>
      <c r="H394" s="15"/>
    </row>
    <row r="395" spans="2:8" x14ac:dyDescent="0.35">
      <c r="B395" s="15"/>
      <c r="C395" s="15"/>
      <c r="D395" s="15"/>
      <c r="E395" s="15"/>
      <c r="F395" s="15"/>
      <c r="G395" s="15"/>
      <c r="H395" s="15"/>
    </row>
    <row r="396" spans="2:8" x14ac:dyDescent="0.35">
      <c r="B396" s="15"/>
      <c r="C396" s="15"/>
      <c r="D396" s="15"/>
      <c r="E396" s="15"/>
      <c r="F396" s="15"/>
      <c r="G396" s="15"/>
      <c r="H396" s="15"/>
    </row>
    <row r="397" spans="2:8" x14ac:dyDescent="0.35">
      <c r="B397" s="15"/>
      <c r="C397" s="15"/>
      <c r="D397" s="15"/>
      <c r="E397" s="15"/>
      <c r="F397" s="15"/>
      <c r="G397" s="15"/>
      <c r="H397" s="15"/>
    </row>
    <row r="398" spans="2:8" x14ac:dyDescent="0.35">
      <c r="B398" s="15"/>
      <c r="C398" s="15"/>
      <c r="D398" s="15"/>
      <c r="E398" s="15"/>
      <c r="F398" s="15"/>
      <c r="G398" s="15"/>
      <c r="H398" s="15"/>
    </row>
    <row r="399" spans="2:8" x14ac:dyDescent="0.35">
      <c r="B399" s="15"/>
      <c r="C399" s="15"/>
      <c r="D399" s="15"/>
      <c r="E399" s="15"/>
      <c r="F399" s="15"/>
      <c r="G399" s="15"/>
      <c r="H399" s="15"/>
    </row>
    <row r="400" spans="2:8" x14ac:dyDescent="0.35">
      <c r="B400" s="15"/>
      <c r="C400" s="15"/>
      <c r="D400" s="15"/>
      <c r="E400" s="15"/>
      <c r="F400" s="15"/>
      <c r="G400" s="15"/>
      <c r="H400" s="15"/>
    </row>
    <row r="401" spans="2:8" x14ac:dyDescent="0.35">
      <c r="B401" s="15"/>
      <c r="C401" s="15"/>
      <c r="D401" s="15"/>
      <c r="E401" s="15"/>
      <c r="F401" s="15"/>
      <c r="G401" s="15"/>
      <c r="H401" s="15"/>
    </row>
    <row r="402" spans="2:8" x14ac:dyDescent="0.35">
      <c r="B402" s="15"/>
      <c r="C402" s="15"/>
      <c r="D402" s="15"/>
      <c r="E402" s="15"/>
      <c r="F402" s="15"/>
      <c r="G402" s="15"/>
      <c r="H402" s="15"/>
    </row>
    <row r="403" spans="2:8" x14ac:dyDescent="0.35">
      <c r="B403" s="15"/>
      <c r="C403" s="15"/>
      <c r="D403" s="15"/>
      <c r="E403" s="15"/>
      <c r="F403" s="15"/>
      <c r="G403" s="15"/>
      <c r="H403" s="15"/>
    </row>
    <row r="404" spans="2:8" x14ac:dyDescent="0.35">
      <c r="B404" s="15"/>
      <c r="C404" s="15"/>
      <c r="D404" s="15"/>
      <c r="E404" s="15"/>
      <c r="F404" s="15"/>
      <c r="G404" s="15"/>
      <c r="H404" s="15"/>
    </row>
    <row r="405" spans="2:8" x14ac:dyDescent="0.35">
      <c r="B405" s="15"/>
      <c r="C405" s="15"/>
      <c r="D405" s="15"/>
      <c r="E405" s="15"/>
      <c r="F405" s="15"/>
      <c r="G405" s="15"/>
      <c r="H405" s="15"/>
    </row>
    <row r="406" spans="2:8" x14ac:dyDescent="0.35">
      <c r="B406" s="15"/>
      <c r="C406" s="15"/>
      <c r="D406" s="15"/>
      <c r="E406" s="15"/>
      <c r="F406" s="15"/>
      <c r="G406" s="15"/>
      <c r="H406" s="15"/>
    </row>
    <row r="407" spans="2:8" x14ac:dyDescent="0.35">
      <c r="B407" s="15"/>
      <c r="C407" s="15"/>
      <c r="D407" s="15"/>
      <c r="E407" s="15"/>
      <c r="F407" s="15"/>
      <c r="G407" s="15"/>
      <c r="H407" s="15"/>
    </row>
    <row r="408" spans="2:8" x14ac:dyDescent="0.35">
      <c r="B408" s="15"/>
      <c r="C408" s="15"/>
      <c r="D408" s="15"/>
      <c r="E408" s="15"/>
      <c r="F408" s="15"/>
      <c r="G408" s="15"/>
      <c r="H408" s="15"/>
    </row>
    <row r="409" spans="2:8" x14ac:dyDescent="0.35">
      <c r="B409" s="15"/>
      <c r="C409" s="15"/>
      <c r="D409" s="15"/>
      <c r="E409" s="15"/>
      <c r="F409" s="15"/>
      <c r="G409" s="15"/>
      <c r="H409" s="15"/>
    </row>
    <row r="410" spans="2:8" x14ac:dyDescent="0.35">
      <c r="B410" s="15"/>
      <c r="C410" s="15"/>
      <c r="D410" s="15"/>
      <c r="E410" s="15"/>
      <c r="F410" s="15"/>
      <c r="G410" s="15"/>
      <c r="H410" s="15"/>
    </row>
    <row r="411" spans="2:8" x14ac:dyDescent="0.35">
      <c r="B411" s="15"/>
      <c r="C411" s="15"/>
      <c r="D411" s="15"/>
      <c r="E411" s="15"/>
      <c r="F411" s="15"/>
      <c r="G411" s="15"/>
      <c r="H411" s="15"/>
    </row>
    <row r="412" spans="2:8" x14ac:dyDescent="0.35">
      <c r="B412" s="15"/>
      <c r="C412" s="15"/>
      <c r="D412" s="15"/>
      <c r="E412" s="15"/>
      <c r="F412" s="15"/>
      <c r="G412" s="15"/>
      <c r="H412" s="15"/>
    </row>
    <row r="413" spans="2:8" x14ac:dyDescent="0.35">
      <c r="B413" s="15"/>
      <c r="C413" s="15"/>
      <c r="D413" s="15"/>
      <c r="E413" s="15"/>
      <c r="F413" s="15"/>
      <c r="G413" s="15"/>
      <c r="H413" s="15"/>
    </row>
    <row r="414" spans="2:8" x14ac:dyDescent="0.35">
      <c r="B414" s="15"/>
      <c r="C414" s="15"/>
      <c r="D414" s="15"/>
      <c r="E414" s="15"/>
      <c r="F414" s="15"/>
      <c r="G414" s="15"/>
      <c r="H414" s="15"/>
    </row>
    <row r="415" spans="2:8" x14ac:dyDescent="0.35">
      <c r="B415" s="15"/>
      <c r="C415" s="15"/>
      <c r="D415" s="15"/>
      <c r="E415" s="15"/>
      <c r="F415" s="15"/>
      <c r="G415" s="15"/>
      <c r="H415" s="15"/>
    </row>
    <row r="416" spans="2:8" x14ac:dyDescent="0.35">
      <c r="B416" s="15"/>
      <c r="C416" s="15"/>
      <c r="D416" s="15"/>
      <c r="E416" s="15"/>
      <c r="F416" s="15"/>
      <c r="G416" s="15"/>
      <c r="H416" s="15"/>
    </row>
    <row r="417" spans="2:8" x14ac:dyDescent="0.35">
      <c r="B417" s="15"/>
      <c r="C417" s="15"/>
      <c r="D417" s="15"/>
      <c r="E417" s="15"/>
      <c r="F417" s="15"/>
      <c r="G417" s="15"/>
      <c r="H417" s="15"/>
    </row>
    <row r="418" spans="2:8" x14ac:dyDescent="0.35">
      <c r="B418" s="15"/>
      <c r="C418" s="15"/>
      <c r="D418" s="15"/>
      <c r="E418" s="15"/>
      <c r="F418" s="15"/>
      <c r="G418" s="15"/>
      <c r="H418" s="15"/>
    </row>
    <row r="419" spans="2:8" x14ac:dyDescent="0.35">
      <c r="B419" s="15"/>
      <c r="C419" s="15"/>
      <c r="D419" s="15"/>
      <c r="E419" s="15"/>
      <c r="F419" s="15"/>
      <c r="G419" s="15"/>
      <c r="H419" s="15"/>
    </row>
    <row r="420" spans="2:8" x14ac:dyDescent="0.35">
      <c r="B420" s="15"/>
      <c r="C420" s="15"/>
      <c r="D420" s="15"/>
      <c r="E420" s="15"/>
      <c r="F420" s="15"/>
      <c r="G420" s="15"/>
      <c r="H420" s="15"/>
    </row>
    <row r="421" spans="2:8" x14ac:dyDescent="0.35">
      <c r="B421" s="15"/>
      <c r="C421" s="15"/>
      <c r="D421" s="15"/>
      <c r="E421" s="15"/>
      <c r="F421" s="15"/>
      <c r="G421" s="15"/>
      <c r="H421" s="15"/>
    </row>
    <row r="422" spans="2:8" x14ac:dyDescent="0.35">
      <c r="B422" s="15"/>
      <c r="C422" s="15"/>
      <c r="D422" s="15"/>
      <c r="E422" s="15"/>
      <c r="F422" s="15"/>
      <c r="G422" s="15"/>
      <c r="H422" s="15"/>
    </row>
    <row r="423" spans="2:8" x14ac:dyDescent="0.35">
      <c r="B423" s="15"/>
      <c r="C423" s="15"/>
      <c r="D423" s="15"/>
      <c r="E423" s="15"/>
      <c r="F423" s="15"/>
      <c r="G423" s="15"/>
      <c r="H423" s="15"/>
    </row>
    <row r="424" spans="2:8" x14ac:dyDescent="0.35">
      <c r="B424" s="15"/>
      <c r="C424" s="15"/>
      <c r="D424" s="15"/>
      <c r="E424" s="15"/>
      <c r="F424" s="15"/>
      <c r="G424" s="15"/>
      <c r="H424" s="15"/>
    </row>
    <row r="425" spans="2:8" x14ac:dyDescent="0.35">
      <c r="B425" s="15"/>
      <c r="C425" s="15"/>
      <c r="D425" s="15"/>
      <c r="E425" s="15"/>
      <c r="F425" s="15"/>
      <c r="G425" s="15"/>
      <c r="H425" s="15"/>
    </row>
    <row r="426" spans="2:8" x14ac:dyDescent="0.35">
      <c r="B426" s="15"/>
      <c r="C426" s="15"/>
      <c r="D426" s="15"/>
      <c r="E426" s="15"/>
      <c r="F426" s="15"/>
      <c r="G426" s="15"/>
      <c r="H426" s="15"/>
    </row>
    <row r="427" spans="2:8" x14ac:dyDescent="0.35">
      <c r="B427" s="15"/>
      <c r="C427" s="15"/>
      <c r="D427" s="15"/>
      <c r="E427" s="15"/>
      <c r="F427" s="15"/>
      <c r="G427" s="15"/>
      <c r="H427" s="15"/>
    </row>
    <row r="428" spans="2:8" x14ac:dyDescent="0.35">
      <c r="B428" s="15"/>
      <c r="C428" s="15"/>
      <c r="D428" s="15"/>
      <c r="E428" s="15"/>
      <c r="F428" s="15"/>
      <c r="G428" s="15"/>
      <c r="H428" s="15"/>
    </row>
    <row r="429" spans="2:8" x14ac:dyDescent="0.35">
      <c r="B429" s="15"/>
      <c r="C429" s="15"/>
      <c r="D429" s="15"/>
      <c r="E429" s="15"/>
      <c r="F429" s="15"/>
      <c r="G429" s="15"/>
      <c r="H429" s="15"/>
    </row>
    <row r="430" spans="2:8" x14ac:dyDescent="0.35">
      <c r="B430" s="15"/>
      <c r="C430" s="15"/>
      <c r="D430" s="15"/>
      <c r="E430" s="15"/>
      <c r="F430" s="15"/>
      <c r="G430" s="15"/>
      <c r="H430" s="15"/>
    </row>
    <row r="431" spans="2:8" x14ac:dyDescent="0.35">
      <c r="B431" s="15"/>
      <c r="C431" s="15"/>
      <c r="D431" s="15"/>
      <c r="E431" s="15"/>
      <c r="F431" s="15"/>
      <c r="G431" s="15"/>
      <c r="H431" s="15"/>
    </row>
    <row r="432" spans="2:8" x14ac:dyDescent="0.35">
      <c r="B432" s="15"/>
      <c r="C432" s="15"/>
      <c r="D432" s="15"/>
      <c r="E432" s="15"/>
      <c r="F432" s="15"/>
      <c r="G432" s="15"/>
      <c r="H432" s="15"/>
    </row>
    <row r="433" spans="2:8" x14ac:dyDescent="0.35">
      <c r="B433" s="15"/>
      <c r="C433" s="15"/>
      <c r="D433" s="15"/>
      <c r="E433" s="15"/>
      <c r="F433" s="15"/>
      <c r="G433" s="15"/>
      <c r="H433" s="15"/>
    </row>
    <row r="434" spans="2:8" x14ac:dyDescent="0.35">
      <c r="B434" s="15"/>
      <c r="C434" s="15"/>
      <c r="D434" s="15"/>
      <c r="E434" s="15"/>
      <c r="F434" s="15"/>
      <c r="G434" s="15"/>
      <c r="H434" s="15"/>
    </row>
    <row r="435" spans="2:8" x14ac:dyDescent="0.35">
      <c r="B435" s="15"/>
      <c r="C435" s="15"/>
      <c r="D435" s="15"/>
      <c r="E435" s="15"/>
      <c r="F435" s="15"/>
      <c r="G435" s="15"/>
      <c r="H435" s="15"/>
    </row>
    <row r="436" spans="2:8" x14ac:dyDescent="0.35">
      <c r="B436" s="15"/>
      <c r="C436" s="15"/>
      <c r="D436" s="15"/>
      <c r="E436" s="15"/>
      <c r="F436" s="15"/>
      <c r="G436" s="15"/>
      <c r="H436" s="15"/>
    </row>
    <row r="437" spans="2:8" x14ac:dyDescent="0.35">
      <c r="B437" s="15"/>
      <c r="C437" s="15"/>
      <c r="D437" s="15"/>
      <c r="E437" s="15"/>
      <c r="F437" s="15"/>
      <c r="G437" s="15"/>
      <c r="H437" s="15"/>
    </row>
    <row r="438" spans="2:8" x14ac:dyDescent="0.35">
      <c r="B438" s="15"/>
      <c r="C438" s="15"/>
      <c r="D438" s="15"/>
      <c r="E438" s="15"/>
      <c r="F438" s="15"/>
      <c r="G438" s="15"/>
      <c r="H438" s="15"/>
    </row>
    <row r="439" spans="2:8" x14ac:dyDescent="0.35">
      <c r="B439" s="15"/>
      <c r="C439" s="15"/>
      <c r="D439" s="15"/>
      <c r="E439" s="15"/>
      <c r="F439" s="15"/>
      <c r="G439" s="15"/>
      <c r="H439" s="15"/>
    </row>
    <row r="440" spans="2:8" x14ac:dyDescent="0.35">
      <c r="B440" s="15"/>
      <c r="C440" s="15"/>
      <c r="D440" s="15"/>
      <c r="E440" s="15"/>
      <c r="F440" s="15"/>
      <c r="G440" s="15"/>
      <c r="H440" s="15"/>
    </row>
    <row r="441" spans="2:8" x14ac:dyDescent="0.35">
      <c r="B441" s="15"/>
      <c r="C441" s="15"/>
      <c r="D441" s="15"/>
      <c r="E441" s="15"/>
      <c r="F441" s="15"/>
      <c r="G441" s="15"/>
      <c r="H441" s="15"/>
    </row>
    <row r="442" spans="2:8" x14ac:dyDescent="0.35">
      <c r="B442" s="15"/>
      <c r="C442" s="15"/>
      <c r="D442" s="15"/>
      <c r="E442" s="15"/>
      <c r="F442" s="15"/>
      <c r="G442" s="15"/>
      <c r="H442" s="15"/>
    </row>
    <row r="443" spans="2:8" x14ac:dyDescent="0.35">
      <c r="B443" s="15"/>
      <c r="C443" s="15"/>
      <c r="D443" s="15"/>
      <c r="E443" s="15"/>
      <c r="F443" s="15"/>
      <c r="G443" s="15"/>
      <c r="H443" s="15"/>
    </row>
    <row r="444" spans="2:8" x14ac:dyDescent="0.35">
      <c r="B444" s="15"/>
      <c r="C444" s="15"/>
      <c r="D444" s="15"/>
      <c r="E444" s="15"/>
      <c r="F444" s="15"/>
      <c r="G444" s="15"/>
      <c r="H444" s="15"/>
    </row>
    <row r="445" spans="2:8" x14ac:dyDescent="0.35">
      <c r="B445" s="15"/>
      <c r="C445" s="15"/>
      <c r="D445" s="15"/>
      <c r="E445" s="15"/>
      <c r="F445" s="15"/>
      <c r="G445" s="15"/>
      <c r="H445" s="15"/>
    </row>
    <row r="446" spans="2:8" x14ac:dyDescent="0.35">
      <c r="B446" s="15"/>
      <c r="C446" s="15"/>
      <c r="D446" s="15"/>
      <c r="E446" s="15"/>
      <c r="F446" s="15"/>
      <c r="G446" s="15"/>
      <c r="H446" s="15"/>
    </row>
    <row r="447" spans="2:8" x14ac:dyDescent="0.35">
      <c r="B447" s="15"/>
      <c r="C447" s="15"/>
      <c r="D447" s="15"/>
      <c r="E447" s="15"/>
      <c r="F447" s="15"/>
      <c r="G447" s="15"/>
      <c r="H447" s="15"/>
    </row>
    <row r="448" spans="2:8" x14ac:dyDescent="0.35">
      <c r="B448" s="15"/>
      <c r="C448" s="15"/>
      <c r="D448" s="15"/>
      <c r="E448" s="15"/>
      <c r="F448" s="15"/>
      <c r="G448" s="15"/>
      <c r="H448" s="15"/>
    </row>
    <row r="449" spans="2:8" x14ac:dyDescent="0.35">
      <c r="B449" s="15"/>
      <c r="C449" s="15"/>
      <c r="D449" s="15"/>
      <c r="E449" s="15"/>
      <c r="F449" s="15"/>
      <c r="G449" s="15"/>
      <c r="H449" s="15"/>
    </row>
    <row r="450" spans="2:8" x14ac:dyDescent="0.35">
      <c r="B450" s="15"/>
      <c r="C450" s="15"/>
      <c r="D450" s="15"/>
      <c r="E450" s="15"/>
      <c r="F450" s="15"/>
      <c r="G450" s="15"/>
      <c r="H450" s="15"/>
    </row>
    <row r="451" spans="2:8" x14ac:dyDescent="0.35">
      <c r="B451" s="15"/>
      <c r="C451" s="15"/>
      <c r="D451" s="15"/>
      <c r="E451" s="15"/>
      <c r="F451" s="15"/>
      <c r="G451" s="15"/>
      <c r="H451" s="15"/>
    </row>
    <row r="452" spans="2:8" x14ac:dyDescent="0.35">
      <c r="B452" s="15"/>
      <c r="C452" s="15"/>
      <c r="D452" s="15"/>
      <c r="E452" s="15"/>
      <c r="F452" s="15"/>
      <c r="G452" s="15"/>
      <c r="H452" s="15"/>
    </row>
    <row r="453" spans="2:8" x14ac:dyDescent="0.35">
      <c r="B453" s="15"/>
      <c r="C453" s="15"/>
      <c r="D453" s="15"/>
      <c r="E453" s="15"/>
      <c r="F453" s="15"/>
      <c r="G453" s="15"/>
      <c r="H453" s="15"/>
    </row>
    <row r="454" spans="2:8" x14ac:dyDescent="0.35">
      <c r="B454" s="15"/>
      <c r="C454" s="15"/>
      <c r="D454" s="15"/>
      <c r="E454" s="15"/>
      <c r="F454" s="15"/>
      <c r="G454" s="15"/>
      <c r="H454" s="15"/>
    </row>
    <row r="455" spans="2:8" x14ac:dyDescent="0.35">
      <c r="B455" s="15"/>
      <c r="C455" s="15"/>
      <c r="D455" s="15"/>
      <c r="E455" s="15"/>
      <c r="F455" s="15"/>
      <c r="G455" s="15"/>
      <c r="H455" s="15"/>
    </row>
    <row r="456" spans="2:8" x14ac:dyDescent="0.35">
      <c r="B456" s="15"/>
      <c r="C456" s="15"/>
      <c r="D456" s="15"/>
      <c r="E456" s="15"/>
      <c r="F456" s="15"/>
      <c r="G456" s="15"/>
      <c r="H456" s="15"/>
    </row>
    <row r="457" spans="2:8" x14ac:dyDescent="0.35">
      <c r="B457" s="15"/>
      <c r="C457" s="15"/>
      <c r="D457" s="15"/>
      <c r="E457" s="15"/>
      <c r="F457" s="15"/>
      <c r="G457" s="15"/>
      <c r="H457" s="15"/>
    </row>
    <row r="458" spans="2:8" x14ac:dyDescent="0.35">
      <c r="B458" s="15"/>
      <c r="C458" s="15"/>
      <c r="D458" s="15"/>
      <c r="E458" s="15"/>
      <c r="F458" s="15"/>
      <c r="G458" s="15"/>
      <c r="H458" s="15"/>
    </row>
    <row r="459" spans="2:8" x14ac:dyDescent="0.35">
      <c r="B459" s="15"/>
      <c r="C459" s="15"/>
      <c r="D459" s="15"/>
      <c r="E459" s="15"/>
      <c r="F459" s="15"/>
      <c r="G459" s="15"/>
      <c r="H459" s="15"/>
    </row>
    <row r="460" spans="2:8" x14ac:dyDescent="0.35">
      <c r="B460" s="15"/>
      <c r="C460" s="15"/>
      <c r="D460" s="15"/>
      <c r="E460" s="15"/>
      <c r="F460" s="15"/>
      <c r="G460" s="15"/>
      <c r="H460" s="15"/>
    </row>
    <row r="461" spans="2:8" x14ac:dyDescent="0.35">
      <c r="B461" s="15"/>
      <c r="C461" s="15"/>
      <c r="D461" s="15"/>
      <c r="E461" s="15"/>
      <c r="F461" s="15"/>
      <c r="G461" s="15"/>
      <c r="H461" s="15"/>
    </row>
    <row r="462" spans="2:8" x14ac:dyDescent="0.35">
      <c r="B462" s="15"/>
      <c r="C462" s="15"/>
      <c r="D462" s="15"/>
      <c r="E462" s="15"/>
      <c r="F462" s="15"/>
      <c r="G462" s="15"/>
      <c r="H462" s="15"/>
    </row>
    <row r="463" spans="2:8" x14ac:dyDescent="0.35">
      <c r="B463" s="15"/>
      <c r="C463" s="15"/>
      <c r="D463" s="15"/>
      <c r="E463" s="15"/>
      <c r="F463" s="15"/>
      <c r="G463" s="15"/>
      <c r="H463" s="15"/>
    </row>
    <row r="464" spans="2:8" x14ac:dyDescent="0.35">
      <c r="B464" s="15"/>
      <c r="C464" s="15"/>
      <c r="D464" s="15"/>
      <c r="E464" s="15"/>
      <c r="F464" s="15"/>
      <c r="G464" s="15"/>
      <c r="H464" s="15"/>
    </row>
    <row r="465" spans="2:8" x14ac:dyDescent="0.35">
      <c r="B465" s="15"/>
      <c r="C465" s="15"/>
      <c r="D465" s="15"/>
      <c r="E465" s="15"/>
      <c r="F465" s="15"/>
      <c r="G465" s="15"/>
      <c r="H465" s="15"/>
    </row>
    <row r="466" spans="2:8" x14ac:dyDescent="0.35">
      <c r="B466" s="15"/>
      <c r="C466" s="15"/>
      <c r="D466" s="15"/>
      <c r="E466" s="15"/>
      <c r="F466" s="15"/>
      <c r="G466" s="15"/>
      <c r="H466" s="15"/>
    </row>
    <row r="467" spans="2:8" x14ac:dyDescent="0.35">
      <c r="B467" s="15"/>
      <c r="C467" s="15"/>
      <c r="D467" s="15"/>
      <c r="E467" s="15"/>
      <c r="F467" s="15"/>
      <c r="G467" s="15"/>
      <c r="H467" s="15"/>
    </row>
    <row r="468" spans="2:8" x14ac:dyDescent="0.35">
      <c r="B468" s="15"/>
      <c r="C468" s="15"/>
      <c r="D468" s="15"/>
      <c r="E468" s="15"/>
      <c r="F468" s="15"/>
      <c r="G468" s="15"/>
      <c r="H468" s="15"/>
    </row>
    <row r="469" spans="2:8" x14ac:dyDescent="0.35">
      <c r="B469" s="15"/>
      <c r="C469" s="15"/>
      <c r="D469" s="15"/>
      <c r="E469" s="15"/>
      <c r="F469" s="15"/>
      <c r="G469" s="15"/>
      <c r="H469" s="15"/>
    </row>
    <row r="470" spans="2:8" x14ac:dyDescent="0.35">
      <c r="B470" s="15"/>
      <c r="C470" s="15"/>
      <c r="D470" s="15"/>
      <c r="E470" s="15"/>
      <c r="F470" s="15"/>
      <c r="G470" s="15"/>
      <c r="H470" s="15"/>
    </row>
    <row r="471" spans="2:8" x14ac:dyDescent="0.35">
      <c r="B471" s="15"/>
      <c r="C471" s="15"/>
      <c r="D471" s="15"/>
      <c r="E471" s="15"/>
      <c r="F471" s="15"/>
      <c r="G471" s="15"/>
      <c r="H471" s="15"/>
    </row>
    <row r="472" spans="2:8" x14ac:dyDescent="0.35">
      <c r="B472" s="15"/>
      <c r="C472" s="15"/>
      <c r="D472" s="15"/>
      <c r="E472" s="15"/>
      <c r="F472" s="15"/>
      <c r="G472" s="15"/>
      <c r="H472" s="15"/>
    </row>
    <row r="473" spans="2:8" x14ac:dyDescent="0.35">
      <c r="B473" s="15"/>
      <c r="C473" s="15"/>
      <c r="D473" s="15"/>
      <c r="E473" s="15"/>
      <c r="F473" s="15"/>
      <c r="G473" s="15"/>
      <c r="H473" s="15"/>
    </row>
    <row r="474" spans="2:8" x14ac:dyDescent="0.35">
      <c r="B474" s="15"/>
      <c r="C474" s="15"/>
      <c r="D474" s="15"/>
      <c r="E474" s="15"/>
      <c r="F474" s="15"/>
      <c r="G474" s="15"/>
      <c r="H474" s="15"/>
    </row>
    <row r="475" spans="2:8" x14ac:dyDescent="0.35">
      <c r="B475" s="15"/>
      <c r="C475" s="15"/>
      <c r="D475" s="15"/>
      <c r="E475" s="15"/>
      <c r="F475" s="15"/>
      <c r="G475" s="15"/>
      <c r="H475" s="15"/>
    </row>
    <row r="476" spans="2:8" x14ac:dyDescent="0.35">
      <c r="B476" s="15"/>
      <c r="C476" s="15"/>
      <c r="D476" s="15"/>
      <c r="E476" s="15"/>
      <c r="F476" s="15"/>
      <c r="G476" s="15"/>
      <c r="H476" s="15"/>
    </row>
    <row r="477" spans="2:8" x14ac:dyDescent="0.35">
      <c r="B477" s="15"/>
      <c r="C477" s="15"/>
      <c r="D477" s="15"/>
      <c r="E477" s="15"/>
      <c r="F477" s="15"/>
      <c r="G477" s="15"/>
      <c r="H477" s="15"/>
    </row>
    <row r="478" spans="2:8" x14ac:dyDescent="0.35">
      <c r="B478" s="15"/>
      <c r="C478" s="15"/>
      <c r="D478" s="15"/>
      <c r="E478" s="15"/>
      <c r="F478" s="15"/>
      <c r="G478" s="15"/>
      <c r="H478" s="15"/>
    </row>
    <row r="479" spans="2:8" x14ac:dyDescent="0.35">
      <c r="B479" s="15"/>
      <c r="C479" s="15"/>
      <c r="D479" s="15"/>
      <c r="E479" s="15"/>
      <c r="F479" s="15"/>
      <c r="G479" s="15"/>
      <c r="H479" s="15"/>
    </row>
    <row r="480" spans="2:8" x14ac:dyDescent="0.35">
      <c r="B480" s="15"/>
      <c r="C480" s="15"/>
      <c r="D480" s="15"/>
      <c r="E480" s="15"/>
      <c r="F480" s="15"/>
      <c r="G480" s="15"/>
      <c r="H480" s="15"/>
    </row>
    <row r="481" spans="2:8" x14ac:dyDescent="0.35">
      <c r="B481" s="15"/>
      <c r="C481" s="15"/>
      <c r="D481" s="15"/>
      <c r="E481" s="15"/>
      <c r="F481" s="15"/>
      <c r="G481" s="15"/>
      <c r="H481" s="15"/>
    </row>
    <row r="482" spans="2:8" x14ac:dyDescent="0.35">
      <c r="B482" s="15"/>
      <c r="C482" s="15"/>
      <c r="D482" s="15"/>
      <c r="E482" s="15"/>
      <c r="F482" s="15"/>
      <c r="G482" s="15"/>
      <c r="H482" s="15"/>
    </row>
    <row r="483" spans="2:8" x14ac:dyDescent="0.35">
      <c r="B483" s="15"/>
      <c r="C483" s="15"/>
      <c r="D483" s="15"/>
      <c r="E483" s="15"/>
      <c r="F483" s="15"/>
      <c r="G483" s="15"/>
      <c r="H483" s="15"/>
    </row>
    <row r="484" spans="2:8" x14ac:dyDescent="0.35">
      <c r="B484" s="15"/>
      <c r="C484" s="15"/>
      <c r="D484" s="15"/>
      <c r="E484" s="15"/>
      <c r="F484" s="15"/>
      <c r="G484" s="15"/>
      <c r="H484" s="15"/>
    </row>
    <row r="485" spans="2:8" x14ac:dyDescent="0.35">
      <c r="B485" s="15"/>
      <c r="C485" s="15"/>
      <c r="D485" s="15"/>
      <c r="E485" s="15"/>
      <c r="F485" s="15"/>
      <c r="G485" s="15"/>
      <c r="H485" s="15"/>
    </row>
    <row r="486" spans="2:8" x14ac:dyDescent="0.35">
      <c r="B486" s="15"/>
      <c r="C486" s="15"/>
      <c r="D486" s="15"/>
      <c r="E486" s="15"/>
      <c r="F486" s="15"/>
      <c r="G486" s="15"/>
      <c r="H486" s="15"/>
    </row>
    <row r="487" spans="2:8" x14ac:dyDescent="0.35">
      <c r="B487" s="15"/>
      <c r="C487" s="15"/>
      <c r="D487" s="15"/>
      <c r="E487" s="15"/>
      <c r="F487" s="15"/>
      <c r="G487" s="15"/>
      <c r="H487" s="15"/>
    </row>
    <row r="488" spans="2:8" x14ac:dyDescent="0.35">
      <c r="B488" s="15"/>
      <c r="C488" s="15"/>
      <c r="D488" s="15"/>
      <c r="E488" s="15"/>
      <c r="F488" s="15"/>
      <c r="G488" s="15"/>
      <c r="H488" s="15"/>
    </row>
    <row r="489" spans="2:8" x14ac:dyDescent="0.35">
      <c r="B489" s="15"/>
      <c r="C489" s="15"/>
      <c r="D489" s="15"/>
      <c r="E489" s="15"/>
      <c r="F489" s="15"/>
      <c r="G489" s="15"/>
      <c r="H489" s="15"/>
    </row>
    <row r="490" spans="2:8" x14ac:dyDescent="0.35">
      <c r="B490" s="15"/>
      <c r="C490" s="15"/>
      <c r="D490" s="15"/>
      <c r="E490" s="15"/>
      <c r="F490" s="15"/>
      <c r="G490" s="15"/>
      <c r="H490" s="15"/>
    </row>
    <row r="491" spans="2:8" x14ac:dyDescent="0.35">
      <c r="B491" s="15"/>
      <c r="C491" s="15"/>
      <c r="D491" s="15"/>
      <c r="E491" s="15"/>
      <c r="F491" s="15"/>
      <c r="G491" s="15"/>
      <c r="H491" s="15"/>
    </row>
    <row r="492" spans="2:8" x14ac:dyDescent="0.35">
      <c r="B492" s="15"/>
      <c r="C492" s="15"/>
      <c r="D492" s="15"/>
      <c r="E492" s="15"/>
      <c r="F492" s="15"/>
      <c r="G492" s="15"/>
      <c r="H492" s="15"/>
    </row>
    <row r="493" spans="2:8" x14ac:dyDescent="0.35">
      <c r="B493" s="15"/>
      <c r="C493" s="15"/>
      <c r="D493" s="15"/>
      <c r="E493" s="15"/>
      <c r="F493" s="15"/>
      <c r="G493" s="15"/>
      <c r="H493" s="15"/>
    </row>
    <row r="494" spans="2:8" x14ac:dyDescent="0.35">
      <c r="B494" s="15"/>
      <c r="C494" s="15"/>
      <c r="D494" s="15"/>
      <c r="E494" s="15"/>
      <c r="F494" s="15"/>
      <c r="G494" s="15"/>
      <c r="H494" s="15"/>
    </row>
    <row r="495" spans="2:8" x14ac:dyDescent="0.35">
      <c r="B495" s="15"/>
      <c r="C495" s="15"/>
      <c r="D495" s="15"/>
      <c r="E495" s="15"/>
      <c r="F495" s="15"/>
      <c r="G495" s="15"/>
      <c r="H495" s="15"/>
    </row>
    <row r="496" spans="2:8" x14ac:dyDescent="0.35">
      <c r="B496" s="15"/>
      <c r="C496" s="15"/>
      <c r="D496" s="15"/>
      <c r="E496" s="15"/>
      <c r="F496" s="15"/>
      <c r="G496" s="15"/>
      <c r="H496" s="15"/>
    </row>
    <row r="497" spans="2:8" x14ac:dyDescent="0.35">
      <c r="B497" s="15"/>
      <c r="C497" s="15"/>
      <c r="D497" s="15"/>
      <c r="E497" s="15"/>
      <c r="F497" s="15"/>
      <c r="G497" s="15"/>
      <c r="H497" s="15"/>
    </row>
    <row r="498" spans="2:8" x14ac:dyDescent="0.35">
      <c r="B498" s="15"/>
      <c r="C498" s="15"/>
      <c r="D498" s="15"/>
      <c r="E498" s="15"/>
      <c r="F498" s="15"/>
      <c r="G498" s="15"/>
      <c r="H498" s="15"/>
    </row>
    <row r="499" spans="2:8" x14ac:dyDescent="0.35">
      <c r="B499" s="15"/>
      <c r="C499" s="15"/>
      <c r="D499" s="15"/>
      <c r="E499" s="15"/>
      <c r="F499" s="15"/>
      <c r="G499" s="15"/>
      <c r="H499" s="15"/>
    </row>
    <row r="500" spans="2:8" x14ac:dyDescent="0.35">
      <c r="B500" s="15"/>
      <c r="C500" s="15"/>
      <c r="D500" s="15"/>
      <c r="E500" s="15"/>
      <c r="F500" s="15"/>
      <c r="G500" s="15"/>
      <c r="H500" s="15"/>
    </row>
    <row r="501" spans="2:8" x14ac:dyDescent="0.35">
      <c r="B501" s="15"/>
      <c r="C501" s="15"/>
      <c r="D501" s="15"/>
      <c r="E501" s="15"/>
      <c r="F501" s="15"/>
      <c r="G501" s="15"/>
      <c r="H501" s="15"/>
    </row>
    <row r="502" spans="2:8" x14ac:dyDescent="0.35">
      <c r="B502" s="15"/>
      <c r="C502" s="15"/>
      <c r="D502" s="15"/>
      <c r="E502" s="15"/>
      <c r="F502" s="15"/>
      <c r="G502" s="15"/>
      <c r="H502" s="15"/>
    </row>
    <row r="503" spans="2:8" x14ac:dyDescent="0.35">
      <c r="B503" s="15"/>
      <c r="C503" s="15"/>
      <c r="D503" s="15"/>
      <c r="E503" s="15"/>
      <c r="F503" s="15"/>
      <c r="G503" s="15"/>
      <c r="H503" s="15"/>
    </row>
    <row r="504" spans="2:8" x14ac:dyDescent="0.35">
      <c r="B504" s="15"/>
      <c r="C504" s="15"/>
      <c r="D504" s="15"/>
      <c r="E504" s="15"/>
      <c r="F504" s="15"/>
      <c r="G504" s="15"/>
      <c r="H504" s="15"/>
    </row>
    <row r="505" spans="2:8" x14ac:dyDescent="0.35">
      <c r="B505" s="15"/>
      <c r="C505" s="15"/>
      <c r="D505" s="15"/>
      <c r="E505" s="15"/>
      <c r="F505" s="15"/>
      <c r="G505" s="15"/>
      <c r="H505" s="15"/>
    </row>
    <row r="506" spans="2:8" x14ac:dyDescent="0.35">
      <c r="B506" s="15"/>
      <c r="C506" s="15"/>
      <c r="D506" s="15"/>
      <c r="E506" s="15"/>
      <c r="F506" s="15"/>
      <c r="G506" s="15"/>
      <c r="H506" s="15"/>
    </row>
    <row r="507" spans="2:8" x14ac:dyDescent="0.35">
      <c r="B507" s="15"/>
      <c r="C507" s="15"/>
      <c r="D507" s="15"/>
      <c r="E507" s="15"/>
      <c r="F507" s="15"/>
      <c r="G507" s="15"/>
      <c r="H507" s="15"/>
    </row>
    <row r="508" spans="2:8" x14ac:dyDescent="0.35">
      <c r="B508" s="15"/>
      <c r="C508" s="15"/>
      <c r="D508" s="15"/>
      <c r="E508" s="15"/>
      <c r="F508" s="15"/>
      <c r="G508" s="15"/>
      <c r="H508" s="15"/>
    </row>
    <row r="509" spans="2:8" x14ac:dyDescent="0.35">
      <c r="B509" s="15"/>
      <c r="C509" s="15"/>
      <c r="D509" s="15"/>
      <c r="E509" s="15"/>
      <c r="F509" s="15"/>
      <c r="G509" s="15"/>
      <c r="H509" s="15"/>
    </row>
    <row r="510" spans="2:8" x14ac:dyDescent="0.35">
      <c r="B510" s="15"/>
      <c r="C510" s="15"/>
      <c r="D510" s="15"/>
      <c r="E510" s="15"/>
      <c r="F510" s="15"/>
      <c r="G510" s="15"/>
      <c r="H510" s="15"/>
    </row>
    <row r="511" spans="2:8" x14ac:dyDescent="0.35">
      <c r="B511" s="15"/>
      <c r="C511" s="15"/>
      <c r="D511" s="15"/>
      <c r="E511" s="15"/>
      <c r="F511" s="15"/>
      <c r="G511" s="15"/>
      <c r="H511" s="15"/>
    </row>
    <row r="512" spans="2:8" x14ac:dyDescent="0.35">
      <c r="B512" s="15"/>
      <c r="C512" s="15"/>
      <c r="D512" s="15"/>
      <c r="E512" s="15"/>
      <c r="F512" s="15"/>
      <c r="G512" s="15"/>
      <c r="H512" s="15"/>
    </row>
    <row r="513" spans="2:8" x14ac:dyDescent="0.35">
      <c r="B513" s="15"/>
      <c r="C513" s="15"/>
      <c r="D513" s="15"/>
      <c r="E513" s="15"/>
      <c r="F513" s="15"/>
      <c r="G513" s="15"/>
      <c r="H513" s="15"/>
    </row>
  </sheetData>
  <mergeCells count="2">
    <mergeCell ref="C12:E12"/>
    <mergeCell ref="F12:H12"/>
  </mergeCells>
  <hyperlinks>
    <hyperlink ref="B10" location="'Kraken OrderBook'!B10" display="Get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K1013"/>
  <sheetViews>
    <sheetView workbookViewId="0">
      <selection activeCell="B10" sqref="B10"/>
    </sheetView>
  </sheetViews>
  <sheetFormatPr baseColWidth="10" defaultRowHeight="14.5" x14ac:dyDescent="0.35"/>
  <cols>
    <col min="3" max="3" width="11.81640625" bestFit="1" customWidth="1"/>
    <col min="10" max="10" width="17.54296875" bestFit="1" customWidth="1"/>
  </cols>
  <sheetData>
    <row r="2" spans="2:11" ht="17.5" x14ac:dyDescent="0.35">
      <c r="B2" s="13" t="s">
        <v>534</v>
      </c>
    </row>
    <row r="3" spans="2:11" x14ac:dyDescent="0.35">
      <c r="B3" t="s">
        <v>535</v>
      </c>
    </row>
    <row r="5" spans="2:11" x14ac:dyDescent="0.35">
      <c r="B5" t="s">
        <v>24</v>
      </c>
      <c r="C5" t="s">
        <v>515</v>
      </c>
    </row>
    <row r="6" spans="2:11" x14ac:dyDescent="0.35">
      <c r="C6" s="10" t="s">
        <v>1</v>
      </c>
      <c r="D6" t="s">
        <v>525</v>
      </c>
    </row>
    <row r="7" spans="2:11" x14ac:dyDescent="0.35">
      <c r="C7" t="s">
        <v>518</v>
      </c>
      <c r="J7" s="21"/>
    </row>
    <row r="8" spans="2:11" x14ac:dyDescent="0.35">
      <c r="C8" s="10">
        <v>1591567771</v>
      </c>
      <c r="D8" t="s">
        <v>539</v>
      </c>
      <c r="I8" s="20" t="s">
        <v>540</v>
      </c>
      <c r="J8" s="19">
        <f>TimestampToExcel(C8 / 1000000000)</f>
        <v>25569.00002314815</v>
      </c>
      <c r="K8" s="19"/>
    </row>
    <row r="10" spans="2:11" x14ac:dyDescent="0.35">
      <c r="B10" s="18" t="s">
        <v>19</v>
      </c>
      <c r="D10" s="16"/>
    </row>
    <row r="12" spans="2:11" ht="15" thickBot="1" x14ac:dyDescent="0.4"/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519</v>
      </c>
      <c r="F13" s="3" t="s">
        <v>536</v>
      </c>
      <c r="G13" s="3" t="s">
        <v>537</v>
      </c>
      <c r="H13" s="3" t="s">
        <v>538</v>
      </c>
    </row>
    <row r="14" spans="2:11" ht="15" thickTop="1" x14ac:dyDescent="0.35">
      <c r="B14" s="15"/>
      <c r="C14" s="15"/>
      <c r="D14" s="15"/>
      <c r="E14" s="15"/>
      <c r="F14" s="15"/>
      <c r="G14" s="15"/>
      <c r="H14" s="15"/>
    </row>
    <row r="15" spans="2:11" x14ac:dyDescent="0.35">
      <c r="B15" s="15"/>
      <c r="C15" s="15"/>
      <c r="D15" s="15"/>
      <c r="E15" s="15"/>
      <c r="F15" s="15"/>
      <c r="G15" s="15"/>
      <c r="H15" s="15"/>
    </row>
    <row r="16" spans="2:11" x14ac:dyDescent="0.35">
      <c r="B16" s="15"/>
      <c r="C16" s="15"/>
      <c r="D16" s="15"/>
      <c r="E16" s="15"/>
      <c r="F16" s="15"/>
      <c r="G16" s="15"/>
      <c r="H16" s="15"/>
    </row>
    <row r="17" spans="2:8" x14ac:dyDescent="0.35">
      <c r="B17" s="15"/>
      <c r="C17" s="15"/>
      <c r="D17" s="15"/>
      <c r="E17" s="15"/>
      <c r="F17" s="15"/>
      <c r="G17" s="15"/>
      <c r="H17" s="15"/>
    </row>
    <row r="18" spans="2:8" x14ac:dyDescent="0.35">
      <c r="B18" s="15"/>
      <c r="C18" s="15"/>
      <c r="D18" s="15"/>
      <c r="E18" s="15"/>
      <c r="F18" s="15"/>
      <c r="G18" s="15"/>
      <c r="H18" s="15"/>
    </row>
    <row r="19" spans="2:8" x14ac:dyDescent="0.35">
      <c r="B19" s="15"/>
      <c r="C19" s="15"/>
      <c r="D19" s="15"/>
      <c r="E19" s="15"/>
      <c r="F19" s="15"/>
      <c r="G19" s="15"/>
      <c r="H19" s="15"/>
    </row>
    <row r="20" spans="2:8" x14ac:dyDescent="0.35">
      <c r="B20" s="15"/>
      <c r="C20" s="15"/>
      <c r="D20" s="15"/>
      <c r="E20" s="15"/>
      <c r="F20" s="15"/>
      <c r="G20" s="15"/>
      <c r="H20" s="15"/>
    </row>
    <row r="21" spans="2:8" x14ac:dyDescent="0.35">
      <c r="B21" s="15"/>
      <c r="C21" s="15"/>
      <c r="D21" s="15"/>
      <c r="E21" s="15"/>
      <c r="F21" s="15"/>
      <c r="G21" s="15"/>
      <c r="H21" s="15"/>
    </row>
    <row r="22" spans="2:8" x14ac:dyDescent="0.35">
      <c r="B22" s="15"/>
      <c r="C22" s="15"/>
      <c r="D22" s="15"/>
      <c r="E22" s="15"/>
      <c r="F22" s="15"/>
      <c r="G22" s="15"/>
      <c r="H22" s="15"/>
    </row>
    <row r="23" spans="2:8" x14ac:dyDescent="0.35">
      <c r="B23" s="15"/>
      <c r="C23" s="15"/>
      <c r="D23" s="15"/>
      <c r="E23" s="15"/>
      <c r="F23" s="15"/>
      <c r="G23" s="15"/>
      <c r="H23" s="15"/>
    </row>
    <row r="24" spans="2:8" x14ac:dyDescent="0.35">
      <c r="B24" s="15"/>
      <c r="C24" s="15"/>
      <c r="D24" s="15"/>
      <c r="E24" s="15"/>
      <c r="F24" s="15"/>
      <c r="G24" s="15"/>
      <c r="H24" s="15"/>
    </row>
    <row r="25" spans="2:8" x14ac:dyDescent="0.35">
      <c r="B25" s="15"/>
      <c r="C25" s="15"/>
      <c r="D25" s="15"/>
      <c r="E25" s="15"/>
      <c r="F25" s="15"/>
      <c r="G25" s="15"/>
      <c r="H25" s="15"/>
    </row>
    <row r="26" spans="2:8" x14ac:dyDescent="0.35">
      <c r="B26" s="15"/>
      <c r="C26" s="15"/>
      <c r="D26" s="15"/>
      <c r="E26" s="15"/>
      <c r="F26" s="15"/>
      <c r="G26" s="15"/>
      <c r="H26" s="15"/>
    </row>
    <row r="27" spans="2:8" x14ac:dyDescent="0.35">
      <c r="B27" s="15"/>
      <c r="C27" s="15"/>
      <c r="D27" s="15"/>
      <c r="E27" s="15"/>
      <c r="F27" s="15"/>
      <c r="G27" s="15"/>
      <c r="H27" s="15"/>
    </row>
    <row r="28" spans="2:8" x14ac:dyDescent="0.35">
      <c r="B28" s="15"/>
      <c r="C28" s="15"/>
      <c r="D28" s="15"/>
      <c r="E28" s="15"/>
      <c r="F28" s="15"/>
      <c r="G28" s="15"/>
      <c r="H28" s="15"/>
    </row>
    <row r="29" spans="2:8" x14ac:dyDescent="0.35">
      <c r="B29" s="15"/>
      <c r="C29" s="15"/>
      <c r="D29" s="15"/>
      <c r="E29" s="15"/>
      <c r="F29" s="15"/>
      <c r="G29" s="15"/>
      <c r="H29" s="15"/>
    </row>
    <row r="30" spans="2:8" x14ac:dyDescent="0.35">
      <c r="B30" s="15"/>
      <c r="C30" s="15"/>
      <c r="D30" s="15"/>
      <c r="E30" s="15"/>
      <c r="F30" s="15"/>
      <c r="G30" s="15"/>
      <c r="H30" s="15"/>
    </row>
    <row r="31" spans="2:8" x14ac:dyDescent="0.35">
      <c r="B31" s="15"/>
      <c r="C31" s="15"/>
      <c r="D31" s="15"/>
      <c r="E31" s="15"/>
      <c r="F31" s="15"/>
      <c r="G31" s="15"/>
      <c r="H31" s="15"/>
    </row>
    <row r="32" spans="2:8" x14ac:dyDescent="0.35">
      <c r="B32" s="15"/>
      <c r="C32" s="15"/>
      <c r="D32" s="15"/>
      <c r="E32" s="15"/>
      <c r="F32" s="15"/>
      <c r="G32" s="15"/>
      <c r="H32" s="15"/>
    </row>
    <row r="33" spans="2:8" x14ac:dyDescent="0.35">
      <c r="B33" s="15"/>
      <c r="C33" s="15"/>
      <c r="D33" s="15"/>
      <c r="E33" s="15"/>
      <c r="F33" s="15"/>
      <c r="G33" s="15"/>
      <c r="H33" s="15"/>
    </row>
    <row r="34" spans="2:8" x14ac:dyDescent="0.35">
      <c r="B34" s="15"/>
      <c r="C34" s="15"/>
      <c r="D34" s="15"/>
      <c r="E34" s="15"/>
      <c r="F34" s="15"/>
      <c r="G34" s="15"/>
      <c r="H34" s="15"/>
    </row>
    <row r="35" spans="2:8" x14ac:dyDescent="0.35">
      <c r="B35" s="15"/>
      <c r="C35" s="15"/>
      <c r="D35" s="15"/>
      <c r="E35" s="15"/>
      <c r="F35" s="15"/>
      <c r="G35" s="15"/>
      <c r="H35" s="15"/>
    </row>
    <row r="36" spans="2:8" x14ac:dyDescent="0.35">
      <c r="B36" s="15"/>
      <c r="C36" s="15"/>
      <c r="D36" s="15"/>
      <c r="E36" s="15"/>
      <c r="F36" s="15"/>
      <c r="G36" s="15"/>
      <c r="H36" s="15"/>
    </row>
    <row r="37" spans="2:8" x14ac:dyDescent="0.35">
      <c r="B37" s="15"/>
      <c r="C37" s="15"/>
      <c r="D37" s="15"/>
      <c r="E37" s="15"/>
      <c r="F37" s="15"/>
      <c r="G37" s="15"/>
      <c r="H37" s="15"/>
    </row>
    <row r="38" spans="2:8" x14ac:dyDescent="0.35">
      <c r="B38" s="15"/>
      <c r="C38" s="15"/>
      <c r="D38" s="15"/>
      <c r="E38" s="15"/>
      <c r="F38" s="15"/>
      <c r="G38" s="15"/>
      <c r="H38" s="15"/>
    </row>
    <row r="39" spans="2:8" x14ac:dyDescent="0.35">
      <c r="B39" s="15"/>
      <c r="C39" s="15"/>
      <c r="D39" s="15"/>
      <c r="E39" s="15"/>
      <c r="F39" s="15"/>
      <c r="G39" s="15"/>
      <c r="H39" s="15"/>
    </row>
    <row r="40" spans="2:8" x14ac:dyDescent="0.35">
      <c r="B40" s="15"/>
      <c r="C40" s="15"/>
      <c r="D40" s="15"/>
      <c r="E40" s="15"/>
      <c r="F40" s="15"/>
      <c r="G40" s="15"/>
      <c r="H40" s="15"/>
    </row>
    <row r="41" spans="2:8" x14ac:dyDescent="0.35">
      <c r="B41" s="15"/>
      <c r="C41" s="15"/>
      <c r="D41" s="15"/>
      <c r="E41" s="15"/>
      <c r="F41" s="15"/>
      <c r="G41" s="15"/>
      <c r="H41" s="15"/>
    </row>
    <row r="42" spans="2:8" x14ac:dyDescent="0.35">
      <c r="B42" s="15"/>
      <c r="C42" s="15"/>
      <c r="D42" s="15"/>
      <c r="E42" s="15"/>
      <c r="F42" s="15"/>
      <c r="G42" s="15"/>
      <c r="H42" s="15"/>
    </row>
    <row r="43" spans="2:8" x14ac:dyDescent="0.35">
      <c r="B43" s="15"/>
      <c r="C43" s="15"/>
      <c r="D43" s="15"/>
      <c r="E43" s="15"/>
      <c r="F43" s="15"/>
      <c r="G43" s="15"/>
      <c r="H43" s="15"/>
    </row>
    <row r="44" spans="2:8" x14ac:dyDescent="0.35">
      <c r="B44" s="15"/>
      <c r="C44" s="15"/>
      <c r="D44" s="15"/>
      <c r="E44" s="15"/>
      <c r="F44" s="15"/>
      <c r="G44" s="15"/>
      <c r="H44" s="15"/>
    </row>
    <row r="45" spans="2:8" x14ac:dyDescent="0.35">
      <c r="B45" s="15"/>
      <c r="C45" s="15"/>
      <c r="D45" s="15"/>
      <c r="E45" s="15"/>
      <c r="F45" s="15"/>
      <c r="G45" s="15"/>
      <c r="H45" s="15"/>
    </row>
    <row r="46" spans="2:8" x14ac:dyDescent="0.35">
      <c r="B46" s="15"/>
      <c r="C46" s="15"/>
      <c r="D46" s="15"/>
      <c r="E46" s="15"/>
      <c r="F46" s="15"/>
      <c r="G46" s="15"/>
      <c r="H46" s="15"/>
    </row>
    <row r="47" spans="2:8" x14ac:dyDescent="0.35">
      <c r="B47" s="15"/>
      <c r="C47" s="15"/>
      <c r="D47" s="15"/>
      <c r="E47" s="15"/>
      <c r="F47" s="15"/>
      <c r="G47" s="15"/>
      <c r="H47" s="15"/>
    </row>
    <row r="48" spans="2:8" x14ac:dyDescent="0.35">
      <c r="B48" s="15"/>
      <c r="C48" s="15"/>
      <c r="D48" s="15"/>
      <c r="E48" s="15"/>
      <c r="F48" s="15"/>
      <c r="G48" s="15"/>
      <c r="H48" s="15"/>
    </row>
    <row r="49" spans="2:8" x14ac:dyDescent="0.35">
      <c r="B49" s="15"/>
      <c r="C49" s="15"/>
      <c r="D49" s="15"/>
      <c r="E49" s="15"/>
      <c r="F49" s="15"/>
      <c r="G49" s="15"/>
      <c r="H49" s="15"/>
    </row>
    <row r="50" spans="2:8" x14ac:dyDescent="0.35">
      <c r="B50" s="15"/>
      <c r="C50" s="15"/>
      <c r="D50" s="15"/>
      <c r="E50" s="15"/>
      <c r="F50" s="15"/>
      <c r="G50" s="15"/>
      <c r="H50" s="15"/>
    </row>
    <row r="51" spans="2:8" x14ac:dyDescent="0.35">
      <c r="B51" s="15"/>
      <c r="C51" s="15"/>
      <c r="D51" s="15"/>
      <c r="E51" s="15"/>
      <c r="F51" s="15"/>
      <c r="G51" s="15"/>
      <c r="H51" s="15"/>
    </row>
    <row r="52" spans="2:8" x14ac:dyDescent="0.35">
      <c r="B52" s="15"/>
      <c r="C52" s="15"/>
      <c r="D52" s="15"/>
      <c r="E52" s="15"/>
      <c r="F52" s="15"/>
      <c r="G52" s="15"/>
      <c r="H52" s="15"/>
    </row>
    <row r="53" spans="2:8" x14ac:dyDescent="0.35">
      <c r="B53" s="15"/>
      <c r="C53" s="15"/>
      <c r="D53" s="15"/>
      <c r="E53" s="15"/>
      <c r="F53" s="15"/>
      <c r="G53" s="15"/>
      <c r="H53" s="15"/>
    </row>
    <row r="54" spans="2:8" x14ac:dyDescent="0.35">
      <c r="B54" s="15"/>
      <c r="C54" s="15"/>
      <c r="D54" s="15"/>
      <c r="E54" s="15"/>
      <c r="F54" s="15"/>
      <c r="G54" s="15"/>
      <c r="H54" s="15"/>
    </row>
    <row r="55" spans="2:8" x14ac:dyDescent="0.35">
      <c r="B55" s="15"/>
      <c r="C55" s="15"/>
      <c r="D55" s="15"/>
      <c r="E55" s="15"/>
      <c r="F55" s="15"/>
      <c r="G55" s="15"/>
      <c r="H55" s="15"/>
    </row>
    <row r="56" spans="2:8" x14ac:dyDescent="0.35">
      <c r="B56" s="15"/>
      <c r="C56" s="15"/>
      <c r="D56" s="15"/>
      <c r="E56" s="15"/>
      <c r="F56" s="15"/>
      <c r="G56" s="15"/>
      <c r="H56" s="15"/>
    </row>
    <row r="57" spans="2:8" x14ac:dyDescent="0.35">
      <c r="B57" s="15"/>
      <c r="C57" s="15"/>
      <c r="D57" s="15"/>
      <c r="E57" s="15"/>
      <c r="F57" s="15"/>
      <c r="G57" s="15"/>
      <c r="H57" s="15"/>
    </row>
    <row r="58" spans="2:8" x14ac:dyDescent="0.35">
      <c r="B58" s="15"/>
      <c r="C58" s="15"/>
      <c r="D58" s="15"/>
      <c r="E58" s="15"/>
      <c r="F58" s="15"/>
      <c r="G58" s="15"/>
      <c r="H58" s="15"/>
    </row>
    <row r="59" spans="2:8" x14ac:dyDescent="0.35">
      <c r="B59" s="15"/>
      <c r="C59" s="15"/>
      <c r="D59" s="15"/>
      <c r="E59" s="15"/>
      <c r="F59" s="15"/>
      <c r="G59" s="15"/>
      <c r="H59" s="15"/>
    </row>
    <row r="60" spans="2:8" x14ac:dyDescent="0.35">
      <c r="B60" s="15"/>
      <c r="C60" s="15"/>
      <c r="D60" s="15"/>
      <c r="E60" s="15"/>
      <c r="F60" s="15"/>
      <c r="G60" s="15"/>
      <c r="H60" s="15"/>
    </row>
    <row r="61" spans="2:8" x14ac:dyDescent="0.35">
      <c r="B61" s="15"/>
      <c r="C61" s="15"/>
      <c r="D61" s="15"/>
      <c r="E61" s="15"/>
      <c r="F61" s="15"/>
      <c r="G61" s="15"/>
      <c r="H61" s="15"/>
    </row>
    <row r="62" spans="2:8" x14ac:dyDescent="0.35">
      <c r="B62" s="15"/>
      <c r="C62" s="15"/>
      <c r="D62" s="15"/>
      <c r="E62" s="15"/>
      <c r="F62" s="15"/>
      <c r="G62" s="15"/>
      <c r="H62" s="15"/>
    </row>
    <row r="63" spans="2:8" x14ac:dyDescent="0.35">
      <c r="B63" s="15"/>
      <c r="C63" s="15"/>
      <c r="D63" s="15"/>
      <c r="E63" s="15"/>
      <c r="F63" s="15"/>
      <c r="G63" s="15"/>
      <c r="H63" s="15"/>
    </row>
    <row r="64" spans="2:8" x14ac:dyDescent="0.35">
      <c r="B64" s="15"/>
      <c r="C64" s="15"/>
      <c r="D64" s="15"/>
      <c r="E64" s="15"/>
      <c r="F64" s="15"/>
      <c r="G64" s="15"/>
      <c r="H64" s="15"/>
    </row>
    <row r="65" spans="2:8" x14ac:dyDescent="0.35">
      <c r="B65" s="15"/>
      <c r="C65" s="15"/>
      <c r="D65" s="15"/>
      <c r="E65" s="15"/>
      <c r="F65" s="15"/>
      <c r="G65" s="15"/>
      <c r="H65" s="15"/>
    </row>
    <row r="66" spans="2:8" x14ac:dyDescent="0.35">
      <c r="B66" s="15"/>
      <c r="C66" s="15"/>
      <c r="D66" s="15"/>
      <c r="E66" s="15"/>
      <c r="F66" s="15"/>
      <c r="G66" s="15"/>
      <c r="H66" s="15"/>
    </row>
    <row r="67" spans="2:8" x14ac:dyDescent="0.35">
      <c r="B67" s="15"/>
      <c r="C67" s="15"/>
      <c r="D67" s="15"/>
      <c r="E67" s="15"/>
      <c r="F67" s="15"/>
      <c r="G67" s="15"/>
      <c r="H67" s="15"/>
    </row>
    <row r="68" spans="2:8" x14ac:dyDescent="0.35">
      <c r="B68" s="15"/>
      <c r="C68" s="15"/>
      <c r="D68" s="15"/>
      <c r="E68" s="15"/>
      <c r="F68" s="15"/>
      <c r="G68" s="15"/>
      <c r="H68" s="15"/>
    </row>
    <row r="69" spans="2:8" x14ac:dyDescent="0.35">
      <c r="B69" s="15"/>
      <c r="C69" s="15"/>
      <c r="D69" s="15"/>
      <c r="E69" s="15"/>
      <c r="F69" s="15"/>
      <c r="G69" s="15"/>
      <c r="H69" s="15"/>
    </row>
    <row r="70" spans="2:8" x14ac:dyDescent="0.35">
      <c r="B70" s="15"/>
      <c r="C70" s="15"/>
      <c r="D70" s="15"/>
      <c r="E70" s="15"/>
      <c r="F70" s="15"/>
      <c r="G70" s="15"/>
      <c r="H70" s="15"/>
    </row>
    <row r="71" spans="2:8" x14ac:dyDescent="0.35">
      <c r="B71" s="15"/>
      <c r="C71" s="15"/>
      <c r="D71" s="15"/>
      <c r="E71" s="15"/>
      <c r="F71" s="15"/>
      <c r="G71" s="15"/>
      <c r="H71" s="15"/>
    </row>
    <row r="72" spans="2:8" x14ac:dyDescent="0.35">
      <c r="B72" s="15"/>
      <c r="C72" s="15"/>
      <c r="D72" s="15"/>
      <c r="E72" s="15"/>
      <c r="F72" s="15"/>
      <c r="G72" s="15"/>
      <c r="H72" s="15"/>
    </row>
    <row r="73" spans="2:8" x14ac:dyDescent="0.35">
      <c r="B73" s="15"/>
      <c r="C73" s="15"/>
      <c r="D73" s="15"/>
      <c r="E73" s="15"/>
      <c r="F73" s="15"/>
      <c r="G73" s="15"/>
      <c r="H73" s="15"/>
    </row>
    <row r="74" spans="2:8" x14ac:dyDescent="0.35">
      <c r="B74" s="15"/>
      <c r="C74" s="15"/>
      <c r="D74" s="15"/>
      <c r="E74" s="15"/>
      <c r="F74" s="15"/>
      <c r="G74" s="15"/>
      <c r="H74" s="15"/>
    </row>
    <row r="75" spans="2:8" x14ac:dyDescent="0.35">
      <c r="B75" s="15"/>
      <c r="C75" s="15"/>
      <c r="D75" s="15"/>
      <c r="E75" s="15"/>
      <c r="F75" s="15"/>
      <c r="G75" s="15"/>
      <c r="H75" s="15"/>
    </row>
    <row r="76" spans="2:8" x14ac:dyDescent="0.35">
      <c r="B76" s="15"/>
      <c r="C76" s="15"/>
      <c r="D76" s="15"/>
      <c r="E76" s="15"/>
      <c r="F76" s="15"/>
      <c r="G76" s="15"/>
      <c r="H76" s="15"/>
    </row>
    <row r="77" spans="2:8" x14ac:dyDescent="0.35">
      <c r="B77" s="15"/>
      <c r="C77" s="15"/>
      <c r="D77" s="15"/>
      <c r="E77" s="15"/>
      <c r="F77" s="15"/>
      <c r="G77" s="15"/>
      <c r="H77" s="15"/>
    </row>
    <row r="78" spans="2:8" x14ac:dyDescent="0.35">
      <c r="B78" s="15"/>
      <c r="C78" s="15"/>
      <c r="D78" s="15"/>
      <c r="E78" s="15"/>
      <c r="F78" s="15"/>
      <c r="G78" s="15"/>
      <c r="H78" s="15"/>
    </row>
    <row r="79" spans="2:8" x14ac:dyDescent="0.35">
      <c r="B79" s="15"/>
      <c r="C79" s="15"/>
      <c r="D79" s="15"/>
      <c r="E79" s="15"/>
      <c r="F79" s="15"/>
      <c r="G79" s="15"/>
      <c r="H79" s="15"/>
    </row>
    <row r="80" spans="2:8" x14ac:dyDescent="0.35">
      <c r="B80" s="15"/>
      <c r="C80" s="15"/>
      <c r="D80" s="15"/>
      <c r="E80" s="15"/>
      <c r="F80" s="15"/>
      <c r="G80" s="15"/>
      <c r="H80" s="15"/>
    </row>
    <row r="81" spans="2:8" x14ac:dyDescent="0.35">
      <c r="B81" s="15"/>
      <c r="C81" s="15"/>
      <c r="D81" s="15"/>
      <c r="E81" s="15"/>
      <c r="F81" s="15"/>
      <c r="G81" s="15"/>
      <c r="H81" s="15"/>
    </row>
    <row r="82" spans="2:8" x14ac:dyDescent="0.35">
      <c r="B82" s="15"/>
      <c r="C82" s="15"/>
      <c r="D82" s="15"/>
      <c r="E82" s="15"/>
      <c r="F82" s="15"/>
      <c r="G82" s="15"/>
      <c r="H82" s="15"/>
    </row>
    <row r="83" spans="2:8" x14ac:dyDescent="0.35">
      <c r="B83" s="15"/>
      <c r="C83" s="15"/>
      <c r="D83" s="15"/>
      <c r="E83" s="15"/>
      <c r="F83" s="15"/>
      <c r="G83" s="15"/>
      <c r="H83" s="15"/>
    </row>
    <row r="84" spans="2:8" x14ac:dyDescent="0.35">
      <c r="B84" s="15"/>
      <c r="C84" s="15"/>
      <c r="D84" s="15"/>
      <c r="E84" s="15"/>
      <c r="F84" s="15"/>
      <c r="G84" s="15"/>
      <c r="H84" s="15"/>
    </row>
    <row r="85" spans="2:8" x14ac:dyDescent="0.35">
      <c r="B85" s="15"/>
      <c r="C85" s="15"/>
      <c r="D85" s="15"/>
      <c r="E85" s="15"/>
      <c r="F85" s="15"/>
      <c r="G85" s="15"/>
      <c r="H85" s="15"/>
    </row>
    <row r="86" spans="2:8" x14ac:dyDescent="0.35">
      <c r="B86" s="15"/>
      <c r="C86" s="15"/>
      <c r="D86" s="15"/>
      <c r="E86" s="15"/>
      <c r="F86" s="15"/>
      <c r="G86" s="15"/>
      <c r="H86" s="15"/>
    </row>
    <row r="87" spans="2:8" x14ac:dyDescent="0.35">
      <c r="B87" s="15"/>
      <c r="C87" s="15"/>
      <c r="D87" s="15"/>
      <c r="E87" s="15"/>
      <c r="F87" s="15"/>
      <c r="G87" s="15"/>
      <c r="H87" s="15"/>
    </row>
    <row r="88" spans="2:8" x14ac:dyDescent="0.35">
      <c r="B88" s="15"/>
      <c r="C88" s="15"/>
      <c r="D88" s="15"/>
      <c r="E88" s="15"/>
      <c r="F88" s="15"/>
      <c r="G88" s="15"/>
      <c r="H88" s="15"/>
    </row>
    <row r="89" spans="2:8" x14ac:dyDescent="0.35">
      <c r="B89" s="15"/>
      <c r="C89" s="15"/>
      <c r="D89" s="15"/>
      <c r="E89" s="15"/>
      <c r="F89" s="15"/>
      <c r="G89" s="15"/>
      <c r="H89" s="15"/>
    </row>
    <row r="90" spans="2:8" x14ac:dyDescent="0.35">
      <c r="B90" s="15"/>
      <c r="C90" s="15"/>
      <c r="D90" s="15"/>
      <c r="E90" s="15"/>
      <c r="F90" s="15"/>
      <c r="G90" s="15"/>
      <c r="H90" s="15"/>
    </row>
    <row r="91" spans="2:8" x14ac:dyDescent="0.35">
      <c r="B91" s="15"/>
      <c r="C91" s="15"/>
      <c r="D91" s="15"/>
      <c r="E91" s="15"/>
      <c r="F91" s="15"/>
      <c r="G91" s="15"/>
      <c r="H91" s="15"/>
    </row>
    <row r="92" spans="2:8" x14ac:dyDescent="0.35">
      <c r="B92" s="15"/>
      <c r="C92" s="15"/>
      <c r="D92" s="15"/>
      <c r="E92" s="15"/>
      <c r="F92" s="15"/>
      <c r="G92" s="15"/>
      <c r="H92" s="15"/>
    </row>
    <row r="93" spans="2:8" x14ac:dyDescent="0.35">
      <c r="B93" s="15"/>
      <c r="C93" s="15"/>
      <c r="D93" s="15"/>
      <c r="E93" s="15"/>
      <c r="F93" s="15"/>
      <c r="G93" s="15"/>
      <c r="H93" s="15"/>
    </row>
    <row r="94" spans="2:8" x14ac:dyDescent="0.35">
      <c r="B94" s="15"/>
      <c r="C94" s="15"/>
      <c r="D94" s="15"/>
      <c r="E94" s="15"/>
      <c r="F94" s="15"/>
      <c r="G94" s="15"/>
      <c r="H94" s="15"/>
    </row>
    <row r="95" spans="2:8" x14ac:dyDescent="0.35">
      <c r="B95" s="15"/>
      <c r="C95" s="15"/>
      <c r="D95" s="15"/>
      <c r="E95" s="15"/>
      <c r="F95" s="15"/>
      <c r="G95" s="15"/>
      <c r="H95" s="15"/>
    </row>
    <row r="96" spans="2:8" x14ac:dyDescent="0.35">
      <c r="B96" s="15"/>
      <c r="C96" s="15"/>
      <c r="D96" s="15"/>
      <c r="E96" s="15"/>
      <c r="F96" s="15"/>
      <c r="G96" s="15"/>
      <c r="H96" s="15"/>
    </row>
    <row r="97" spans="2:8" x14ac:dyDescent="0.35">
      <c r="B97" s="15"/>
      <c r="C97" s="15"/>
      <c r="D97" s="15"/>
      <c r="E97" s="15"/>
      <c r="F97" s="15"/>
      <c r="G97" s="15"/>
      <c r="H97" s="15"/>
    </row>
    <row r="98" spans="2:8" x14ac:dyDescent="0.35">
      <c r="B98" s="15"/>
      <c r="C98" s="15"/>
      <c r="D98" s="15"/>
      <c r="E98" s="15"/>
      <c r="F98" s="15"/>
      <c r="G98" s="15"/>
      <c r="H98" s="15"/>
    </row>
    <row r="99" spans="2:8" x14ac:dyDescent="0.35">
      <c r="B99" s="15"/>
      <c r="C99" s="15"/>
      <c r="D99" s="15"/>
      <c r="E99" s="15"/>
      <c r="F99" s="15"/>
      <c r="G99" s="15"/>
      <c r="H99" s="15"/>
    </row>
    <row r="100" spans="2:8" x14ac:dyDescent="0.35">
      <c r="B100" s="15"/>
      <c r="C100" s="15"/>
      <c r="D100" s="15"/>
      <c r="E100" s="15"/>
      <c r="F100" s="15"/>
      <c r="G100" s="15"/>
      <c r="H100" s="15"/>
    </row>
    <row r="101" spans="2:8" x14ac:dyDescent="0.35">
      <c r="B101" s="15"/>
      <c r="C101" s="15"/>
      <c r="D101" s="15"/>
      <c r="E101" s="15"/>
      <c r="F101" s="15"/>
      <c r="G101" s="15"/>
      <c r="H101" s="15"/>
    </row>
    <row r="102" spans="2:8" x14ac:dyDescent="0.35">
      <c r="B102" s="15"/>
      <c r="C102" s="15"/>
      <c r="D102" s="15"/>
      <c r="E102" s="15"/>
      <c r="F102" s="15"/>
      <c r="G102" s="15"/>
      <c r="H102" s="15"/>
    </row>
    <row r="103" spans="2:8" x14ac:dyDescent="0.35">
      <c r="B103" s="15"/>
      <c r="C103" s="15"/>
      <c r="D103" s="15"/>
      <c r="E103" s="15"/>
      <c r="F103" s="15"/>
      <c r="G103" s="15"/>
      <c r="H103" s="15"/>
    </row>
    <row r="104" spans="2:8" x14ac:dyDescent="0.35">
      <c r="B104" s="15"/>
      <c r="C104" s="15"/>
      <c r="D104" s="15"/>
      <c r="E104" s="15"/>
      <c r="F104" s="15"/>
      <c r="G104" s="15"/>
      <c r="H104" s="15"/>
    </row>
    <row r="105" spans="2:8" x14ac:dyDescent="0.35">
      <c r="B105" s="15"/>
      <c r="C105" s="15"/>
      <c r="D105" s="15"/>
      <c r="E105" s="15"/>
      <c r="F105" s="15"/>
      <c r="G105" s="15"/>
      <c r="H105" s="15"/>
    </row>
    <row r="106" spans="2:8" x14ac:dyDescent="0.35">
      <c r="B106" s="15"/>
      <c r="C106" s="15"/>
      <c r="D106" s="15"/>
      <c r="E106" s="15"/>
      <c r="F106" s="15"/>
      <c r="G106" s="15"/>
      <c r="H106" s="15"/>
    </row>
    <row r="107" spans="2:8" x14ac:dyDescent="0.35">
      <c r="B107" s="15"/>
      <c r="C107" s="15"/>
      <c r="D107" s="15"/>
      <c r="E107" s="15"/>
      <c r="F107" s="15"/>
      <c r="G107" s="15"/>
      <c r="H107" s="15"/>
    </row>
    <row r="108" spans="2:8" x14ac:dyDescent="0.35">
      <c r="B108" s="15"/>
      <c r="C108" s="15"/>
      <c r="D108" s="15"/>
      <c r="E108" s="15"/>
      <c r="F108" s="15"/>
      <c r="G108" s="15"/>
      <c r="H108" s="15"/>
    </row>
    <row r="109" spans="2:8" x14ac:dyDescent="0.35">
      <c r="B109" s="15"/>
      <c r="C109" s="15"/>
      <c r="D109" s="15"/>
      <c r="E109" s="15"/>
      <c r="F109" s="15"/>
      <c r="G109" s="15"/>
      <c r="H109" s="15"/>
    </row>
    <row r="110" spans="2:8" x14ac:dyDescent="0.35">
      <c r="B110" s="15"/>
      <c r="C110" s="15"/>
      <c r="D110" s="15"/>
      <c r="E110" s="15"/>
      <c r="F110" s="15"/>
      <c r="G110" s="15"/>
      <c r="H110" s="15"/>
    </row>
    <row r="111" spans="2:8" x14ac:dyDescent="0.35">
      <c r="B111" s="15"/>
      <c r="C111" s="15"/>
      <c r="D111" s="15"/>
      <c r="E111" s="15"/>
      <c r="F111" s="15"/>
      <c r="G111" s="15"/>
      <c r="H111" s="15"/>
    </row>
    <row r="112" spans="2:8" x14ac:dyDescent="0.35">
      <c r="B112" s="15"/>
      <c r="C112" s="15"/>
      <c r="D112" s="15"/>
      <c r="E112" s="15"/>
      <c r="F112" s="15"/>
      <c r="G112" s="15"/>
      <c r="H112" s="15"/>
    </row>
    <row r="113" spans="2:8" x14ac:dyDescent="0.35">
      <c r="B113" s="15"/>
      <c r="C113" s="15"/>
      <c r="D113" s="15"/>
      <c r="E113" s="15"/>
      <c r="F113" s="15"/>
      <c r="G113" s="15"/>
      <c r="H113" s="15"/>
    </row>
    <row r="114" spans="2:8" x14ac:dyDescent="0.35">
      <c r="B114" s="15"/>
      <c r="C114" s="15"/>
      <c r="D114" s="15"/>
      <c r="E114" s="15"/>
      <c r="F114" s="15"/>
      <c r="G114" s="15"/>
      <c r="H114" s="15"/>
    </row>
    <row r="115" spans="2:8" x14ac:dyDescent="0.35">
      <c r="B115" s="15"/>
      <c r="C115" s="15"/>
      <c r="D115" s="15"/>
      <c r="E115" s="15"/>
      <c r="F115" s="15"/>
      <c r="G115" s="15"/>
      <c r="H115" s="15"/>
    </row>
    <row r="116" spans="2:8" x14ac:dyDescent="0.35">
      <c r="B116" s="15"/>
      <c r="C116" s="15"/>
      <c r="D116" s="15"/>
      <c r="E116" s="15"/>
      <c r="F116" s="15"/>
      <c r="G116" s="15"/>
      <c r="H116" s="15"/>
    </row>
    <row r="117" spans="2:8" x14ac:dyDescent="0.35">
      <c r="B117" s="15"/>
      <c r="C117" s="15"/>
      <c r="D117" s="15"/>
      <c r="E117" s="15"/>
      <c r="F117" s="15"/>
      <c r="G117" s="15"/>
      <c r="H117" s="15"/>
    </row>
    <row r="118" spans="2:8" x14ac:dyDescent="0.35">
      <c r="B118" s="15"/>
      <c r="C118" s="15"/>
      <c r="D118" s="15"/>
      <c r="E118" s="15"/>
      <c r="F118" s="15"/>
      <c r="G118" s="15"/>
      <c r="H118" s="15"/>
    </row>
    <row r="119" spans="2:8" x14ac:dyDescent="0.35">
      <c r="B119" s="15"/>
      <c r="C119" s="15"/>
      <c r="D119" s="15"/>
      <c r="E119" s="15"/>
      <c r="F119" s="15"/>
      <c r="G119" s="15"/>
      <c r="H119" s="15"/>
    </row>
    <row r="120" spans="2:8" x14ac:dyDescent="0.35">
      <c r="B120" s="15"/>
      <c r="C120" s="15"/>
      <c r="D120" s="15"/>
      <c r="E120" s="15"/>
      <c r="F120" s="15"/>
      <c r="G120" s="15"/>
      <c r="H120" s="15"/>
    </row>
    <row r="121" spans="2:8" x14ac:dyDescent="0.35">
      <c r="B121" s="15"/>
      <c r="C121" s="15"/>
      <c r="D121" s="15"/>
      <c r="E121" s="15"/>
      <c r="F121" s="15"/>
      <c r="G121" s="15"/>
      <c r="H121" s="15"/>
    </row>
    <row r="122" spans="2:8" x14ac:dyDescent="0.35">
      <c r="B122" s="15"/>
      <c r="C122" s="15"/>
      <c r="D122" s="15"/>
      <c r="E122" s="15"/>
      <c r="F122" s="15"/>
      <c r="G122" s="15"/>
      <c r="H122" s="15"/>
    </row>
    <row r="123" spans="2:8" x14ac:dyDescent="0.35">
      <c r="B123" s="15"/>
      <c r="C123" s="15"/>
      <c r="D123" s="15"/>
      <c r="E123" s="15"/>
      <c r="F123" s="15"/>
      <c r="G123" s="15"/>
      <c r="H123" s="15"/>
    </row>
    <row r="124" spans="2:8" x14ac:dyDescent="0.35">
      <c r="B124" s="15"/>
      <c r="C124" s="15"/>
      <c r="D124" s="15"/>
      <c r="E124" s="15"/>
      <c r="F124" s="15"/>
      <c r="G124" s="15"/>
      <c r="H124" s="15"/>
    </row>
    <row r="125" spans="2:8" x14ac:dyDescent="0.35">
      <c r="B125" s="15"/>
      <c r="C125" s="15"/>
      <c r="D125" s="15"/>
      <c r="E125" s="15"/>
      <c r="F125" s="15"/>
      <c r="G125" s="15"/>
      <c r="H125" s="15"/>
    </row>
    <row r="126" spans="2:8" x14ac:dyDescent="0.35">
      <c r="B126" s="15"/>
      <c r="C126" s="15"/>
      <c r="D126" s="15"/>
      <c r="E126" s="15"/>
      <c r="F126" s="15"/>
      <c r="G126" s="15"/>
      <c r="H126" s="15"/>
    </row>
    <row r="127" spans="2:8" x14ac:dyDescent="0.35">
      <c r="B127" s="15"/>
      <c r="C127" s="15"/>
      <c r="D127" s="15"/>
      <c r="E127" s="15"/>
      <c r="F127" s="15"/>
      <c r="G127" s="15"/>
      <c r="H127" s="15"/>
    </row>
    <row r="128" spans="2:8" x14ac:dyDescent="0.35">
      <c r="B128" s="15"/>
      <c r="C128" s="15"/>
      <c r="D128" s="15"/>
      <c r="E128" s="15"/>
      <c r="F128" s="15"/>
      <c r="G128" s="15"/>
      <c r="H128" s="15"/>
    </row>
    <row r="129" spans="2:8" x14ac:dyDescent="0.35">
      <c r="B129" s="15"/>
      <c r="C129" s="15"/>
      <c r="D129" s="15"/>
      <c r="E129" s="15"/>
      <c r="F129" s="15"/>
      <c r="G129" s="15"/>
      <c r="H129" s="15"/>
    </row>
    <row r="130" spans="2:8" x14ac:dyDescent="0.35">
      <c r="B130" s="15"/>
      <c r="C130" s="15"/>
      <c r="D130" s="15"/>
      <c r="E130" s="15"/>
      <c r="F130" s="15"/>
      <c r="G130" s="15"/>
      <c r="H130" s="15"/>
    </row>
    <row r="131" spans="2:8" x14ac:dyDescent="0.35">
      <c r="B131" s="15"/>
      <c r="C131" s="15"/>
      <c r="D131" s="15"/>
      <c r="E131" s="15"/>
      <c r="F131" s="15"/>
      <c r="G131" s="15"/>
      <c r="H131" s="15"/>
    </row>
    <row r="132" spans="2:8" x14ac:dyDescent="0.35">
      <c r="B132" s="15"/>
      <c r="C132" s="15"/>
      <c r="D132" s="15"/>
      <c r="E132" s="15"/>
      <c r="F132" s="15"/>
      <c r="G132" s="15"/>
      <c r="H132" s="15"/>
    </row>
    <row r="133" spans="2:8" x14ac:dyDescent="0.35">
      <c r="B133" s="15"/>
      <c r="C133" s="15"/>
      <c r="D133" s="15"/>
      <c r="E133" s="15"/>
      <c r="F133" s="15"/>
      <c r="G133" s="15"/>
      <c r="H133" s="15"/>
    </row>
    <row r="134" spans="2:8" x14ac:dyDescent="0.35">
      <c r="B134" s="15"/>
      <c r="C134" s="15"/>
      <c r="D134" s="15"/>
      <c r="E134" s="15"/>
      <c r="F134" s="15"/>
      <c r="G134" s="15"/>
      <c r="H134" s="15"/>
    </row>
    <row r="135" spans="2:8" x14ac:dyDescent="0.35">
      <c r="B135" s="15"/>
      <c r="C135" s="15"/>
      <c r="D135" s="15"/>
      <c r="E135" s="15"/>
      <c r="F135" s="15"/>
      <c r="G135" s="15"/>
      <c r="H135" s="15"/>
    </row>
    <row r="136" spans="2:8" x14ac:dyDescent="0.35">
      <c r="B136" s="15"/>
      <c r="C136" s="15"/>
      <c r="D136" s="15"/>
      <c r="E136" s="15"/>
      <c r="F136" s="15"/>
      <c r="G136" s="15"/>
      <c r="H136" s="15"/>
    </row>
    <row r="137" spans="2:8" x14ac:dyDescent="0.35">
      <c r="B137" s="15"/>
      <c r="C137" s="15"/>
      <c r="D137" s="15"/>
      <c r="E137" s="15"/>
      <c r="F137" s="15"/>
      <c r="G137" s="15"/>
      <c r="H137" s="15"/>
    </row>
    <row r="138" spans="2:8" x14ac:dyDescent="0.35">
      <c r="B138" s="15"/>
      <c r="C138" s="15"/>
      <c r="D138" s="15"/>
      <c r="E138" s="15"/>
      <c r="F138" s="15"/>
      <c r="G138" s="15"/>
      <c r="H138" s="15"/>
    </row>
    <row r="139" spans="2:8" x14ac:dyDescent="0.35">
      <c r="B139" s="15"/>
      <c r="C139" s="15"/>
      <c r="D139" s="15"/>
      <c r="E139" s="15"/>
      <c r="F139" s="15"/>
      <c r="G139" s="15"/>
      <c r="H139" s="15"/>
    </row>
    <row r="140" spans="2:8" x14ac:dyDescent="0.35">
      <c r="B140" s="15"/>
      <c r="C140" s="15"/>
      <c r="D140" s="15"/>
      <c r="E140" s="15"/>
      <c r="F140" s="15"/>
      <c r="G140" s="15"/>
      <c r="H140" s="15"/>
    </row>
    <row r="141" spans="2:8" x14ac:dyDescent="0.35">
      <c r="B141" s="15"/>
      <c r="C141" s="15"/>
      <c r="D141" s="15"/>
      <c r="E141" s="15"/>
      <c r="F141" s="15"/>
      <c r="G141" s="15"/>
      <c r="H141" s="15"/>
    </row>
    <row r="142" spans="2:8" x14ac:dyDescent="0.35">
      <c r="B142" s="15"/>
      <c r="C142" s="15"/>
      <c r="D142" s="15"/>
      <c r="E142" s="15"/>
      <c r="F142" s="15"/>
      <c r="G142" s="15"/>
      <c r="H142" s="15"/>
    </row>
    <row r="143" spans="2:8" x14ac:dyDescent="0.35">
      <c r="B143" s="15"/>
      <c r="C143" s="15"/>
      <c r="D143" s="15"/>
      <c r="E143" s="15"/>
      <c r="F143" s="15"/>
      <c r="G143" s="15"/>
      <c r="H143" s="15"/>
    </row>
    <row r="144" spans="2:8" x14ac:dyDescent="0.35">
      <c r="B144" s="15"/>
      <c r="C144" s="15"/>
      <c r="D144" s="15"/>
      <c r="E144" s="15"/>
      <c r="F144" s="15"/>
      <c r="G144" s="15"/>
      <c r="H144" s="15"/>
    </row>
    <row r="145" spans="2:8" x14ac:dyDescent="0.35">
      <c r="B145" s="15"/>
      <c r="C145" s="15"/>
      <c r="D145" s="15"/>
      <c r="E145" s="15"/>
      <c r="F145" s="15"/>
      <c r="G145" s="15"/>
      <c r="H145" s="15"/>
    </row>
    <row r="146" spans="2:8" x14ac:dyDescent="0.35">
      <c r="B146" s="15"/>
      <c r="C146" s="15"/>
      <c r="D146" s="15"/>
      <c r="E146" s="15"/>
      <c r="F146" s="15"/>
      <c r="G146" s="15"/>
      <c r="H146" s="15"/>
    </row>
    <row r="147" spans="2:8" x14ac:dyDescent="0.35">
      <c r="B147" s="15"/>
      <c r="C147" s="15"/>
      <c r="D147" s="15"/>
      <c r="E147" s="15"/>
      <c r="F147" s="15"/>
      <c r="G147" s="15"/>
      <c r="H147" s="15"/>
    </row>
    <row r="148" spans="2:8" x14ac:dyDescent="0.35">
      <c r="B148" s="15"/>
      <c r="C148" s="15"/>
      <c r="D148" s="15"/>
      <c r="E148" s="15"/>
      <c r="F148" s="15"/>
      <c r="G148" s="15"/>
      <c r="H148" s="15"/>
    </row>
    <row r="149" spans="2:8" x14ac:dyDescent="0.35">
      <c r="B149" s="15"/>
      <c r="C149" s="15"/>
      <c r="D149" s="15"/>
      <c r="E149" s="15"/>
      <c r="F149" s="15"/>
      <c r="G149" s="15"/>
      <c r="H149" s="15"/>
    </row>
    <row r="150" spans="2:8" x14ac:dyDescent="0.35">
      <c r="B150" s="15"/>
      <c r="C150" s="15"/>
      <c r="D150" s="15"/>
      <c r="E150" s="15"/>
      <c r="F150" s="15"/>
      <c r="G150" s="15"/>
      <c r="H150" s="15"/>
    </row>
    <row r="151" spans="2:8" x14ac:dyDescent="0.35">
      <c r="B151" s="15"/>
      <c r="C151" s="15"/>
      <c r="D151" s="15"/>
      <c r="E151" s="15"/>
      <c r="F151" s="15"/>
      <c r="G151" s="15"/>
      <c r="H151" s="15"/>
    </row>
    <row r="152" spans="2:8" x14ac:dyDescent="0.35">
      <c r="B152" s="15"/>
      <c r="C152" s="15"/>
      <c r="D152" s="15"/>
      <c r="E152" s="15"/>
      <c r="F152" s="15"/>
      <c r="G152" s="15"/>
      <c r="H152" s="15"/>
    </row>
    <row r="153" spans="2:8" x14ac:dyDescent="0.35">
      <c r="B153" s="15"/>
      <c r="C153" s="15"/>
      <c r="D153" s="15"/>
      <c r="E153" s="15"/>
      <c r="F153" s="15"/>
      <c r="G153" s="15"/>
      <c r="H153" s="15"/>
    </row>
    <row r="154" spans="2:8" x14ac:dyDescent="0.35">
      <c r="B154" s="15"/>
      <c r="C154" s="15"/>
      <c r="D154" s="15"/>
      <c r="E154" s="15"/>
      <c r="F154" s="15"/>
      <c r="G154" s="15"/>
      <c r="H154" s="15"/>
    </row>
    <row r="155" spans="2:8" x14ac:dyDescent="0.35">
      <c r="B155" s="15"/>
      <c r="C155" s="15"/>
      <c r="D155" s="15"/>
      <c r="E155" s="15"/>
      <c r="F155" s="15"/>
      <c r="G155" s="15"/>
      <c r="H155" s="15"/>
    </row>
    <row r="156" spans="2:8" x14ac:dyDescent="0.35">
      <c r="B156" s="15"/>
      <c r="C156" s="15"/>
      <c r="D156" s="15"/>
      <c r="E156" s="15"/>
      <c r="F156" s="15"/>
      <c r="G156" s="15"/>
      <c r="H156" s="15"/>
    </row>
    <row r="157" spans="2:8" x14ac:dyDescent="0.35">
      <c r="B157" s="15"/>
      <c r="C157" s="15"/>
      <c r="D157" s="15"/>
      <c r="E157" s="15"/>
      <c r="F157" s="15"/>
      <c r="G157" s="15"/>
      <c r="H157" s="15"/>
    </row>
    <row r="158" spans="2:8" x14ac:dyDescent="0.35">
      <c r="B158" s="15"/>
      <c r="C158" s="15"/>
      <c r="D158" s="15"/>
      <c r="E158" s="15"/>
      <c r="F158" s="15"/>
      <c r="G158" s="15"/>
      <c r="H158" s="15"/>
    </row>
    <row r="159" spans="2:8" x14ac:dyDescent="0.35">
      <c r="B159" s="15"/>
      <c r="C159" s="15"/>
      <c r="D159" s="15"/>
      <c r="E159" s="15"/>
      <c r="F159" s="15"/>
      <c r="G159" s="15"/>
      <c r="H159" s="15"/>
    </row>
    <row r="160" spans="2:8" x14ac:dyDescent="0.35">
      <c r="B160" s="15"/>
      <c r="C160" s="15"/>
      <c r="D160" s="15"/>
      <c r="E160" s="15"/>
      <c r="F160" s="15"/>
      <c r="G160" s="15"/>
      <c r="H160" s="15"/>
    </row>
    <row r="161" spans="2:8" x14ac:dyDescent="0.35">
      <c r="B161" s="15"/>
      <c r="C161" s="15"/>
      <c r="D161" s="15"/>
      <c r="E161" s="15"/>
      <c r="F161" s="15"/>
      <c r="G161" s="15"/>
      <c r="H161" s="15"/>
    </row>
    <row r="162" spans="2:8" x14ac:dyDescent="0.35">
      <c r="B162" s="15"/>
      <c r="C162" s="15"/>
      <c r="D162" s="15"/>
      <c r="E162" s="15"/>
      <c r="F162" s="15"/>
      <c r="G162" s="15"/>
      <c r="H162" s="15"/>
    </row>
    <row r="163" spans="2:8" x14ac:dyDescent="0.35">
      <c r="B163" s="15"/>
      <c r="C163" s="15"/>
      <c r="D163" s="15"/>
      <c r="E163" s="15"/>
      <c r="F163" s="15"/>
      <c r="G163" s="15"/>
      <c r="H163" s="15"/>
    </row>
    <row r="164" spans="2:8" x14ac:dyDescent="0.35">
      <c r="B164" s="15"/>
      <c r="C164" s="15"/>
      <c r="D164" s="15"/>
      <c r="E164" s="15"/>
      <c r="F164" s="15"/>
      <c r="G164" s="15"/>
      <c r="H164" s="15"/>
    </row>
    <row r="165" spans="2:8" x14ac:dyDescent="0.35">
      <c r="B165" s="15"/>
      <c r="C165" s="15"/>
      <c r="D165" s="15"/>
      <c r="E165" s="15"/>
      <c r="F165" s="15"/>
      <c r="G165" s="15"/>
      <c r="H165" s="15"/>
    </row>
    <row r="166" spans="2:8" x14ac:dyDescent="0.35">
      <c r="B166" s="15"/>
      <c r="C166" s="15"/>
      <c r="D166" s="15"/>
      <c r="E166" s="15"/>
      <c r="F166" s="15"/>
      <c r="G166" s="15"/>
      <c r="H166" s="15"/>
    </row>
    <row r="167" spans="2:8" x14ac:dyDescent="0.35">
      <c r="B167" s="15"/>
      <c r="C167" s="15"/>
      <c r="D167" s="15"/>
      <c r="E167" s="15"/>
      <c r="F167" s="15"/>
      <c r="G167" s="15"/>
      <c r="H167" s="15"/>
    </row>
    <row r="168" spans="2:8" x14ac:dyDescent="0.35">
      <c r="B168" s="15"/>
      <c r="C168" s="15"/>
      <c r="D168" s="15"/>
      <c r="E168" s="15"/>
      <c r="F168" s="15"/>
      <c r="G168" s="15"/>
      <c r="H168" s="15"/>
    </row>
    <row r="169" spans="2:8" x14ac:dyDescent="0.35">
      <c r="B169" s="15"/>
      <c r="C169" s="15"/>
      <c r="D169" s="15"/>
      <c r="E169" s="15"/>
      <c r="F169" s="15"/>
      <c r="G169" s="15"/>
      <c r="H169" s="15"/>
    </row>
    <row r="170" spans="2:8" x14ac:dyDescent="0.35">
      <c r="B170" s="15"/>
      <c r="C170" s="15"/>
      <c r="D170" s="15"/>
      <c r="E170" s="15"/>
      <c r="F170" s="15"/>
      <c r="G170" s="15"/>
      <c r="H170" s="15"/>
    </row>
    <row r="171" spans="2:8" x14ac:dyDescent="0.35">
      <c r="B171" s="15"/>
      <c r="C171" s="15"/>
      <c r="D171" s="15"/>
      <c r="E171" s="15"/>
      <c r="F171" s="15"/>
      <c r="G171" s="15"/>
      <c r="H171" s="15"/>
    </row>
    <row r="172" spans="2:8" x14ac:dyDescent="0.35">
      <c r="B172" s="15"/>
      <c r="C172" s="15"/>
      <c r="D172" s="15"/>
      <c r="E172" s="15"/>
      <c r="F172" s="15"/>
      <c r="G172" s="15"/>
      <c r="H172" s="15"/>
    </row>
    <row r="173" spans="2:8" x14ac:dyDescent="0.35">
      <c r="B173" s="15"/>
      <c r="C173" s="15"/>
      <c r="D173" s="15"/>
      <c r="E173" s="15"/>
      <c r="F173" s="15"/>
      <c r="G173" s="15"/>
      <c r="H173" s="15"/>
    </row>
    <row r="174" spans="2:8" x14ac:dyDescent="0.35">
      <c r="B174" s="15"/>
      <c r="C174" s="15"/>
      <c r="D174" s="15"/>
      <c r="E174" s="15"/>
      <c r="F174" s="15"/>
      <c r="G174" s="15"/>
      <c r="H174" s="15"/>
    </row>
    <row r="175" spans="2:8" x14ac:dyDescent="0.35">
      <c r="B175" s="15"/>
      <c r="C175" s="15"/>
      <c r="D175" s="15"/>
      <c r="E175" s="15"/>
      <c r="F175" s="15"/>
      <c r="G175" s="15"/>
      <c r="H175" s="15"/>
    </row>
    <row r="176" spans="2:8" x14ac:dyDescent="0.35">
      <c r="B176" s="15"/>
      <c r="C176" s="15"/>
      <c r="D176" s="15"/>
      <c r="E176" s="15"/>
      <c r="F176" s="15"/>
      <c r="G176" s="15"/>
      <c r="H176" s="15"/>
    </row>
    <row r="177" spans="2:8" x14ac:dyDescent="0.35">
      <c r="B177" s="15"/>
      <c r="C177" s="15"/>
      <c r="D177" s="15"/>
      <c r="E177" s="15"/>
      <c r="F177" s="15"/>
      <c r="G177" s="15"/>
      <c r="H177" s="15"/>
    </row>
    <row r="178" spans="2:8" x14ac:dyDescent="0.35">
      <c r="B178" s="15"/>
      <c r="C178" s="15"/>
      <c r="D178" s="15"/>
      <c r="E178" s="15"/>
      <c r="F178" s="15"/>
      <c r="G178" s="15"/>
      <c r="H178" s="15"/>
    </row>
    <row r="179" spans="2:8" x14ac:dyDescent="0.35">
      <c r="B179" s="15"/>
      <c r="C179" s="15"/>
      <c r="D179" s="15"/>
      <c r="E179" s="15"/>
      <c r="F179" s="15"/>
      <c r="G179" s="15"/>
      <c r="H179" s="15"/>
    </row>
    <row r="180" spans="2:8" x14ac:dyDescent="0.35">
      <c r="B180" s="15"/>
      <c r="C180" s="15"/>
      <c r="D180" s="15"/>
      <c r="E180" s="15"/>
      <c r="F180" s="15"/>
      <c r="G180" s="15"/>
      <c r="H180" s="15"/>
    </row>
    <row r="181" spans="2:8" x14ac:dyDescent="0.35">
      <c r="B181" s="15"/>
      <c r="C181" s="15"/>
      <c r="D181" s="15"/>
      <c r="E181" s="15"/>
      <c r="F181" s="15"/>
      <c r="G181" s="15"/>
      <c r="H181" s="15"/>
    </row>
    <row r="182" spans="2:8" x14ac:dyDescent="0.35">
      <c r="B182" s="15"/>
      <c r="C182" s="15"/>
      <c r="D182" s="15"/>
      <c r="E182" s="15"/>
      <c r="F182" s="15"/>
      <c r="G182" s="15"/>
      <c r="H182" s="15"/>
    </row>
    <row r="183" spans="2:8" x14ac:dyDescent="0.35">
      <c r="B183" s="15"/>
      <c r="C183" s="15"/>
      <c r="D183" s="15"/>
      <c r="E183" s="15"/>
      <c r="F183" s="15"/>
      <c r="G183" s="15"/>
      <c r="H183" s="15"/>
    </row>
    <row r="184" spans="2:8" x14ac:dyDescent="0.35">
      <c r="B184" s="15"/>
      <c r="C184" s="15"/>
      <c r="D184" s="15"/>
      <c r="E184" s="15"/>
      <c r="F184" s="15"/>
      <c r="G184" s="15"/>
      <c r="H184" s="15"/>
    </row>
    <row r="185" spans="2:8" x14ac:dyDescent="0.35">
      <c r="B185" s="15"/>
      <c r="C185" s="15"/>
      <c r="D185" s="15"/>
      <c r="E185" s="15"/>
      <c r="F185" s="15"/>
      <c r="G185" s="15"/>
      <c r="H185" s="15"/>
    </row>
    <row r="186" spans="2:8" x14ac:dyDescent="0.35">
      <c r="B186" s="15"/>
      <c r="C186" s="15"/>
      <c r="D186" s="15"/>
      <c r="E186" s="15"/>
      <c r="F186" s="15"/>
      <c r="G186" s="15"/>
      <c r="H186" s="15"/>
    </row>
    <row r="187" spans="2:8" x14ac:dyDescent="0.35">
      <c r="B187" s="15"/>
      <c r="C187" s="15"/>
      <c r="D187" s="15"/>
      <c r="E187" s="15"/>
      <c r="F187" s="15"/>
      <c r="G187" s="15"/>
      <c r="H187" s="15"/>
    </row>
    <row r="188" spans="2:8" x14ac:dyDescent="0.35">
      <c r="B188" s="15"/>
      <c r="C188" s="15"/>
      <c r="D188" s="15"/>
      <c r="E188" s="15"/>
      <c r="F188" s="15"/>
      <c r="G188" s="15"/>
      <c r="H188" s="15"/>
    </row>
    <row r="189" spans="2:8" x14ac:dyDescent="0.35">
      <c r="B189" s="15"/>
      <c r="C189" s="15"/>
      <c r="D189" s="15"/>
      <c r="E189" s="15"/>
      <c r="F189" s="15"/>
      <c r="G189" s="15"/>
      <c r="H189" s="15"/>
    </row>
    <row r="190" spans="2:8" x14ac:dyDescent="0.35">
      <c r="B190" s="15"/>
      <c r="C190" s="15"/>
      <c r="D190" s="15"/>
      <c r="E190" s="15"/>
      <c r="F190" s="15"/>
      <c r="G190" s="15"/>
      <c r="H190" s="15"/>
    </row>
    <row r="191" spans="2:8" x14ac:dyDescent="0.35">
      <c r="B191" s="15"/>
      <c r="C191" s="15"/>
      <c r="D191" s="15"/>
      <c r="E191" s="15"/>
      <c r="F191" s="15"/>
      <c r="G191" s="15"/>
      <c r="H191" s="15"/>
    </row>
    <row r="192" spans="2:8" x14ac:dyDescent="0.35">
      <c r="B192" s="15"/>
      <c r="C192" s="15"/>
      <c r="D192" s="15"/>
      <c r="E192" s="15"/>
      <c r="F192" s="15"/>
      <c r="G192" s="15"/>
      <c r="H192" s="15"/>
    </row>
    <row r="193" spans="2:8" x14ac:dyDescent="0.35">
      <c r="B193" s="15"/>
      <c r="C193" s="15"/>
      <c r="D193" s="15"/>
      <c r="E193" s="15"/>
      <c r="F193" s="15"/>
      <c r="G193" s="15"/>
      <c r="H193" s="15"/>
    </row>
    <row r="194" spans="2:8" x14ac:dyDescent="0.35">
      <c r="B194" s="15"/>
      <c r="C194" s="15"/>
      <c r="D194" s="15"/>
      <c r="E194" s="15"/>
      <c r="F194" s="15"/>
      <c r="G194" s="15"/>
      <c r="H194" s="15"/>
    </row>
    <row r="195" spans="2:8" x14ac:dyDescent="0.35">
      <c r="B195" s="15"/>
      <c r="C195" s="15"/>
      <c r="D195" s="15"/>
      <c r="E195" s="15"/>
      <c r="F195" s="15"/>
      <c r="G195" s="15"/>
      <c r="H195" s="15"/>
    </row>
    <row r="196" spans="2:8" x14ac:dyDescent="0.35">
      <c r="B196" s="15"/>
      <c r="C196" s="15"/>
      <c r="D196" s="15"/>
      <c r="E196" s="15"/>
      <c r="F196" s="15"/>
      <c r="G196" s="15"/>
      <c r="H196" s="15"/>
    </row>
    <row r="197" spans="2:8" x14ac:dyDescent="0.35">
      <c r="B197" s="15"/>
      <c r="C197" s="15"/>
      <c r="D197" s="15"/>
      <c r="E197" s="15"/>
      <c r="F197" s="15"/>
      <c r="G197" s="15"/>
      <c r="H197" s="15"/>
    </row>
    <row r="198" spans="2:8" x14ac:dyDescent="0.35">
      <c r="B198" s="15"/>
      <c r="C198" s="15"/>
      <c r="D198" s="15"/>
      <c r="E198" s="15"/>
      <c r="F198" s="15"/>
      <c r="G198" s="15"/>
      <c r="H198" s="15"/>
    </row>
    <row r="199" spans="2:8" x14ac:dyDescent="0.35">
      <c r="B199" s="15"/>
      <c r="C199" s="15"/>
      <c r="D199" s="15"/>
      <c r="E199" s="15"/>
      <c r="F199" s="15"/>
      <c r="G199" s="15"/>
      <c r="H199" s="15"/>
    </row>
    <row r="200" spans="2:8" x14ac:dyDescent="0.35">
      <c r="B200" s="15"/>
      <c r="C200" s="15"/>
      <c r="D200" s="15"/>
      <c r="E200" s="15"/>
      <c r="F200" s="15"/>
      <c r="G200" s="15"/>
      <c r="H200" s="15"/>
    </row>
    <row r="201" spans="2:8" x14ac:dyDescent="0.35">
      <c r="B201" s="15"/>
      <c r="C201" s="15"/>
      <c r="D201" s="15"/>
      <c r="E201" s="15"/>
      <c r="F201" s="15"/>
      <c r="G201" s="15"/>
      <c r="H201" s="15"/>
    </row>
    <row r="202" spans="2:8" x14ac:dyDescent="0.35">
      <c r="B202" s="15"/>
      <c r="C202" s="15"/>
      <c r="D202" s="15"/>
      <c r="E202" s="15"/>
      <c r="F202" s="15"/>
      <c r="G202" s="15"/>
      <c r="H202" s="15"/>
    </row>
    <row r="203" spans="2:8" x14ac:dyDescent="0.35">
      <c r="B203" s="15"/>
      <c r="C203" s="15"/>
      <c r="D203" s="15"/>
      <c r="E203" s="15"/>
      <c r="F203" s="15"/>
      <c r="G203" s="15"/>
      <c r="H203" s="15"/>
    </row>
    <row r="204" spans="2:8" x14ac:dyDescent="0.35">
      <c r="B204" s="15"/>
      <c r="C204" s="15"/>
      <c r="D204" s="15"/>
      <c r="E204" s="15"/>
      <c r="F204" s="15"/>
      <c r="G204" s="15"/>
      <c r="H204" s="15"/>
    </row>
    <row r="205" spans="2:8" x14ac:dyDescent="0.35">
      <c r="B205" s="15"/>
      <c r="C205" s="15"/>
      <c r="D205" s="15"/>
      <c r="E205" s="15"/>
      <c r="F205" s="15"/>
      <c r="G205" s="15"/>
      <c r="H205" s="15"/>
    </row>
    <row r="206" spans="2:8" x14ac:dyDescent="0.35">
      <c r="B206" s="15"/>
      <c r="C206" s="15"/>
      <c r="D206" s="15"/>
      <c r="E206" s="15"/>
      <c r="F206" s="15"/>
      <c r="G206" s="15"/>
      <c r="H206" s="15"/>
    </row>
    <row r="207" spans="2:8" x14ac:dyDescent="0.35">
      <c r="B207" s="15"/>
      <c r="C207" s="15"/>
      <c r="D207" s="15"/>
      <c r="E207" s="15"/>
      <c r="F207" s="15"/>
      <c r="G207" s="15"/>
      <c r="H207" s="15"/>
    </row>
    <row r="208" spans="2:8" x14ac:dyDescent="0.35">
      <c r="B208" s="15"/>
      <c r="C208" s="15"/>
      <c r="D208" s="15"/>
      <c r="E208" s="15"/>
      <c r="F208" s="15"/>
      <c r="G208" s="15"/>
      <c r="H208" s="15"/>
    </row>
    <row r="209" spans="2:8" x14ac:dyDescent="0.35">
      <c r="B209" s="15"/>
      <c r="C209" s="15"/>
      <c r="D209" s="15"/>
      <c r="E209" s="15"/>
      <c r="F209" s="15"/>
      <c r="G209" s="15"/>
      <c r="H209" s="15"/>
    </row>
    <row r="210" spans="2:8" x14ac:dyDescent="0.35">
      <c r="B210" s="15"/>
      <c r="C210" s="15"/>
      <c r="D210" s="15"/>
      <c r="E210" s="15"/>
      <c r="F210" s="15"/>
      <c r="G210" s="15"/>
      <c r="H210" s="15"/>
    </row>
    <row r="211" spans="2:8" x14ac:dyDescent="0.35">
      <c r="B211" s="15"/>
      <c r="C211" s="15"/>
      <c r="D211" s="15"/>
      <c r="E211" s="15"/>
      <c r="F211" s="15"/>
      <c r="G211" s="15"/>
      <c r="H211" s="15"/>
    </row>
    <row r="212" spans="2:8" x14ac:dyDescent="0.35">
      <c r="B212" s="15"/>
      <c r="C212" s="15"/>
      <c r="D212" s="15"/>
      <c r="E212" s="15"/>
      <c r="F212" s="15"/>
      <c r="G212" s="15"/>
      <c r="H212" s="15"/>
    </row>
    <row r="213" spans="2:8" x14ac:dyDescent="0.35">
      <c r="B213" s="15"/>
      <c r="C213" s="15"/>
      <c r="D213" s="15"/>
      <c r="E213" s="15"/>
      <c r="F213" s="15"/>
      <c r="G213" s="15"/>
      <c r="H213" s="15"/>
    </row>
    <row r="214" spans="2:8" x14ac:dyDescent="0.35">
      <c r="B214" s="15"/>
      <c r="C214" s="15"/>
      <c r="D214" s="15"/>
      <c r="E214" s="15"/>
      <c r="F214" s="15"/>
      <c r="G214" s="15"/>
      <c r="H214" s="15"/>
    </row>
    <row r="215" spans="2:8" x14ac:dyDescent="0.35">
      <c r="B215" s="15"/>
      <c r="C215" s="15"/>
      <c r="D215" s="15"/>
      <c r="E215" s="15"/>
      <c r="F215" s="15"/>
      <c r="G215" s="15"/>
      <c r="H215" s="15"/>
    </row>
    <row r="216" spans="2:8" x14ac:dyDescent="0.35">
      <c r="B216" s="15"/>
      <c r="C216" s="15"/>
      <c r="D216" s="15"/>
      <c r="E216" s="15"/>
      <c r="F216" s="15"/>
      <c r="G216" s="15"/>
      <c r="H216" s="15"/>
    </row>
    <row r="217" spans="2:8" x14ac:dyDescent="0.35">
      <c r="B217" s="15"/>
      <c r="C217" s="15"/>
      <c r="D217" s="15"/>
      <c r="E217" s="15"/>
      <c r="F217" s="15"/>
      <c r="G217" s="15"/>
      <c r="H217" s="15"/>
    </row>
    <row r="218" spans="2:8" x14ac:dyDescent="0.35">
      <c r="B218" s="15"/>
      <c r="C218" s="15"/>
      <c r="D218" s="15"/>
      <c r="E218" s="15"/>
      <c r="F218" s="15"/>
      <c r="G218" s="15"/>
      <c r="H218" s="15"/>
    </row>
    <row r="219" spans="2:8" x14ac:dyDescent="0.35">
      <c r="B219" s="15"/>
      <c r="C219" s="15"/>
      <c r="D219" s="15"/>
      <c r="E219" s="15"/>
      <c r="F219" s="15"/>
      <c r="G219" s="15"/>
      <c r="H219" s="15"/>
    </row>
    <row r="220" spans="2:8" x14ac:dyDescent="0.35">
      <c r="B220" s="15"/>
      <c r="C220" s="15"/>
      <c r="D220" s="15"/>
      <c r="E220" s="15"/>
      <c r="F220" s="15"/>
      <c r="G220" s="15"/>
      <c r="H220" s="15"/>
    </row>
    <row r="221" spans="2:8" x14ac:dyDescent="0.35">
      <c r="B221" s="15"/>
      <c r="C221" s="15"/>
      <c r="D221" s="15"/>
      <c r="E221" s="15"/>
      <c r="F221" s="15"/>
      <c r="G221" s="15"/>
      <c r="H221" s="15"/>
    </row>
    <row r="222" spans="2:8" x14ac:dyDescent="0.35">
      <c r="B222" s="15"/>
      <c r="C222" s="15"/>
      <c r="D222" s="15"/>
      <c r="E222" s="15"/>
      <c r="F222" s="15"/>
      <c r="G222" s="15"/>
      <c r="H222" s="15"/>
    </row>
    <row r="223" spans="2:8" x14ac:dyDescent="0.35">
      <c r="B223" s="15"/>
      <c r="C223" s="15"/>
      <c r="D223" s="15"/>
      <c r="E223" s="15"/>
      <c r="F223" s="15"/>
      <c r="G223" s="15"/>
      <c r="H223" s="15"/>
    </row>
    <row r="224" spans="2:8" x14ac:dyDescent="0.35">
      <c r="B224" s="15"/>
      <c r="C224" s="15"/>
      <c r="D224" s="15"/>
      <c r="E224" s="15"/>
      <c r="F224" s="15"/>
      <c r="G224" s="15"/>
      <c r="H224" s="15"/>
    </row>
    <row r="225" spans="2:8" x14ac:dyDescent="0.35">
      <c r="B225" s="15"/>
      <c r="C225" s="15"/>
      <c r="D225" s="15"/>
      <c r="E225" s="15"/>
      <c r="F225" s="15"/>
      <c r="G225" s="15"/>
      <c r="H225" s="15"/>
    </row>
    <row r="226" spans="2:8" x14ac:dyDescent="0.35">
      <c r="B226" s="15"/>
      <c r="C226" s="15"/>
      <c r="D226" s="15"/>
      <c r="E226" s="15"/>
      <c r="F226" s="15"/>
      <c r="G226" s="15"/>
      <c r="H226" s="15"/>
    </row>
    <row r="227" spans="2:8" x14ac:dyDescent="0.35">
      <c r="B227" s="15"/>
      <c r="C227" s="15"/>
      <c r="D227" s="15"/>
      <c r="E227" s="15"/>
      <c r="F227" s="15"/>
      <c r="G227" s="15"/>
      <c r="H227" s="15"/>
    </row>
    <row r="228" spans="2:8" x14ac:dyDescent="0.35">
      <c r="B228" s="15"/>
      <c r="C228" s="15"/>
      <c r="D228" s="15"/>
      <c r="E228" s="15"/>
      <c r="F228" s="15"/>
      <c r="G228" s="15"/>
      <c r="H228" s="15"/>
    </row>
    <row r="229" spans="2:8" x14ac:dyDescent="0.35">
      <c r="B229" s="15"/>
      <c r="C229" s="15"/>
      <c r="D229" s="15"/>
      <c r="E229" s="15"/>
      <c r="F229" s="15"/>
      <c r="G229" s="15"/>
      <c r="H229" s="15"/>
    </row>
    <row r="230" spans="2:8" x14ac:dyDescent="0.35">
      <c r="B230" s="15"/>
      <c r="C230" s="15"/>
      <c r="D230" s="15"/>
      <c r="E230" s="15"/>
      <c r="F230" s="15"/>
      <c r="G230" s="15"/>
      <c r="H230" s="15"/>
    </row>
    <row r="231" spans="2:8" x14ac:dyDescent="0.35">
      <c r="B231" s="15"/>
      <c r="C231" s="15"/>
      <c r="D231" s="15"/>
      <c r="E231" s="15"/>
      <c r="F231" s="15"/>
      <c r="G231" s="15"/>
      <c r="H231" s="15"/>
    </row>
    <row r="232" spans="2:8" x14ac:dyDescent="0.35">
      <c r="B232" s="15"/>
      <c r="C232" s="15"/>
      <c r="D232" s="15"/>
      <c r="E232" s="15"/>
      <c r="F232" s="15"/>
      <c r="G232" s="15"/>
      <c r="H232" s="15"/>
    </row>
    <row r="233" spans="2:8" x14ac:dyDescent="0.35">
      <c r="B233" s="15"/>
      <c r="C233" s="15"/>
      <c r="D233" s="15"/>
      <c r="E233" s="15"/>
      <c r="F233" s="15"/>
      <c r="G233" s="15"/>
      <c r="H233" s="15"/>
    </row>
    <row r="234" spans="2:8" x14ac:dyDescent="0.35">
      <c r="B234" s="15"/>
      <c r="C234" s="15"/>
      <c r="D234" s="15"/>
      <c r="E234" s="15"/>
      <c r="F234" s="15"/>
      <c r="G234" s="15"/>
      <c r="H234" s="15"/>
    </row>
    <row r="235" spans="2:8" x14ac:dyDescent="0.35">
      <c r="B235" s="15"/>
      <c r="C235" s="15"/>
      <c r="D235" s="15"/>
      <c r="E235" s="15"/>
      <c r="F235" s="15"/>
      <c r="G235" s="15"/>
      <c r="H235" s="15"/>
    </row>
    <row r="236" spans="2:8" x14ac:dyDescent="0.35">
      <c r="B236" s="15"/>
      <c r="C236" s="15"/>
      <c r="D236" s="15"/>
      <c r="E236" s="15"/>
      <c r="F236" s="15"/>
      <c r="G236" s="15"/>
      <c r="H236" s="15"/>
    </row>
    <row r="237" spans="2:8" x14ac:dyDescent="0.35">
      <c r="B237" s="15"/>
      <c r="C237" s="15"/>
      <c r="D237" s="15"/>
      <c r="E237" s="15"/>
      <c r="F237" s="15"/>
      <c r="G237" s="15"/>
      <c r="H237" s="15"/>
    </row>
    <row r="238" spans="2:8" x14ac:dyDescent="0.35">
      <c r="B238" s="15"/>
      <c r="C238" s="15"/>
      <c r="D238" s="15"/>
      <c r="E238" s="15"/>
      <c r="F238" s="15"/>
      <c r="G238" s="15"/>
      <c r="H238" s="15"/>
    </row>
    <row r="239" spans="2:8" x14ac:dyDescent="0.35">
      <c r="B239" s="15"/>
      <c r="C239" s="15"/>
      <c r="D239" s="15"/>
      <c r="E239" s="15"/>
      <c r="F239" s="15"/>
      <c r="G239" s="15"/>
      <c r="H239" s="15"/>
    </row>
    <row r="240" spans="2:8" x14ac:dyDescent="0.35">
      <c r="B240" s="15"/>
      <c r="C240" s="15"/>
      <c r="D240" s="15"/>
      <c r="E240" s="15"/>
      <c r="F240" s="15"/>
      <c r="G240" s="15"/>
      <c r="H240" s="15"/>
    </row>
    <row r="241" spans="2:8" x14ac:dyDescent="0.35">
      <c r="B241" s="15"/>
      <c r="C241" s="15"/>
      <c r="D241" s="15"/>
      <c r="E241" s="15"/>
      <c r="F241" s="15"/>
      <c r="G241" s="15"/>
      <c r="H241" s="15"/>
    </row>
    <row r="242" spans="2:8" x14ac:dyDescent="0.35">
      <c r="B242" s="15"/>
      <c r="C242" s="15"/>
      <c r="D242" s="15"/>
      <c r="E242" s="15"/>
      <c r="F242" s="15"/>
      <c r="G242" s="15"/>
      <c r="H242" s="15"/>
    </row>
    <row r="243" spans="2:8" x14ac:dyDescent="0.35">
      <c r="B243" s="15"/>
      <c r="C243" s="15"/>
      <c r="D243" s="15"/>
      <c r="E243" s="15"/>
      <c r="F243" s="15"/>
      <c r="G243" s="15"/>
      <c r="H243" s="15"/>
    </row>
    <row r="244" spans="2:8" x14ac:dyDescent="0.35">
      <c r="B244" s="15"/>
      <c r="C244" s="15"/>
      <c r="D244" s="15"/>
      <c r="E244" s="15"/>
      <c r="F244" s="15"/>
      <c r="G244" s="15"/>
      <c r="H244" s="15"/>
    </row>
    <row r="245" spans="2:8" x14ac:dyDescent="0.35">
      <c r="B245" s="15"/>
      <c r="C245" s="15"/>
      <c r="D245" s="15"/>
      <c r="E245" s="15"/>
      <c r="F245" s="15"/>
      <c r="G245" s="15"/>
      <c r="H245" s="15"/>
    </row>
    <row r="246" spans="2:8" x14ac:dyDescent="0.35">
      <c r="B246" s="15"/>
      <c r="C246" s="15"/>
      <c r="D246" s="15"/>
      <c r="E246" s="15"/>
      <c r="F246" s="15"/>
      <c r="G246" s="15"/>
      <c r="H246" s="15"/>
    </row>
    <row r="247" spans="2:8" x14ac:dyDescent="0.35">
      <c r="B247" s="15"/>
      <c r="C247" s="15"/>
      <c r="D247" s="15"/>
      <c r="E247" s="15"/>
      <c r="F247" s="15"/>
      <c r="G247" s="15"/>
      <c r="H247" s="15"/>
    </row>
    <row r="248" spans="2:8" x14ac:dyDescent="0.35">
      <c r="B248" s="15"/>
      <c r="C248" s="15"/>
      <c r="D248" s="15"/>
      <c r="E248" s="15"/>
      <c r="F248" s="15"/>
      <c r="G248" s="15"/>
      <c r="H248" s="15"/>
    </row>
    <row r="249" spans="2:8" x14ac:dyDescent="0.35">
      <c r="B249" s="15"/>
      <c r="C249" s="15"/>
      <c r="D249" s="15"/>
      <c r="E249" s="15"/>
      <c r="F249" s="15"/>
      <c r="G249" s="15"/>
      <c r="H249" s="15"/>
    </row>
    <row r="250" spans="2:8" x14ac:dyDescent="0.35">
      <c r="B250" s="15"/>
      <c r="C250" s="15"/>
      <c r="D250" s="15"/>
      <c r="E250" s="15"/>
      <c r="F250" s="15"/>
      <c r="G250" s="15"/>
      <c r="H250" s="15"/>
    </row>
    <row r="251" spans="2:8" x14ac:dyDescent="0.35">
      <c r="B251" s="15"/>
      <c r="C251" s="15"/>
      <c r="D251" s="15"/>
      <c r="E251" s="15"/>
      <c r="F251" s="15"/>
      <c r="G251" s="15"/>
      <c r="H251" s="15"/>
    </row>
    <row r="252" spans="2:8" x14ac:dyDescent="0.35">
      <c r="B252" s="15"/>
      <c r="C252" s="15"/>
      <c r="D252" s="15"/>
      <c r="E252" s="15"/>
      <c r="F252" s="15"/>
      <c r="G252" s="15"/>
      <c r="H252" s="15"/>
    </row>
    <row r="253" spans="2:8" x14ac:dyDescent="0.35">
      <c r="B253" s="15"/>
      <c r="C253" s="15"/>
      <c r="D253" s="15"/>
      <c r="E253" s="15"/>
      <c r="F253" s="15"/>
      <c r="G253" s="15"/>
      <c r="H253" s="15"/>
    </row>
    <row r="254" spans="2:8" x14ac:dyDescent="0.35">
      <c r="B254" s="15"/>
      <c r="C254" s="15"/>
      <c r="D254" s="15"/>
      <c r="E254" s="15"/>
      <c r="F254" s="15"/>
      <c r="G254" s="15"/>
      <c r="H254" s="15"/>
    </row>
    <row r="255" spans="2:8" x14ac:dyDescent="0.35">
      <c r="B255" s="15"/>
      <c r="C255" s="15"/>
      <c r="D255" s="15"/>
      <c r="E255" s="15"/>
      <c r="F255" s="15"/>
      <c r="G255" s="15"/>
      <c r="H255" s="15"/>
    </row>
    <row r="256" spans="2:8" x14ac:dyDescent="0.35">
      <c r="B256" s="15"/>
      <c r="C256" s="15"/>
      <c r="D256" s="15"/>
      <c r="E256" s="15"/>
      <c r="F256" s="15"/>
      <c r="G256" s="15"/>
      <c r="H256" s="15"/>
    </row>
    <row r="257" spans="2:8" x14ac:dyDescent="0.35">
      <c r="B257" s="15"/>
      <c r="C257" s="15"/>
      <c r="D257" s="15"/>
      <c r="E257" s="15"/>
      <c r="F257" s="15"/>
      <c r="G257" s="15"/>
      <c r="H257" s="15"/>
    </row>
    <row r="258" spans="2:8" x14ac:dyDescent="0.35">
      <c r="B258" s="15"/>
      <c r="C258" s="15"/>
      <c r="D258" s="15"/>
      <c r="E258" s="15"/>
      <c r="F258" s="15"/>
      <c r="G258" s="15"/>
      <c r="H258" s="15"/>
    </row>
    <row r="259" spans="2:8" x14ac:dyDescent="0.35">
      <c r="B259" s="15"/>
      <c r="C259" s="15"/>
      <c r="D259" s="15"/>
      <c r="E259" s="15"/>
      <c r="F259" s="15"/>
      <c r="G259" s="15"/>
      <c r="H259" s="15"/>
    </row>
    <row r="260" spans="2:8" x14ac:dyDescent="0.35">
      <c r="B260" s="15"/>
      <c r="C260" s="15"/>
      <c r="D260" s="15"/>
      <c r="E260" s="15"/>
      <c r="F260" s="15"/>
      <c r="G260" s="15"/>
      <c r="H260" s="15"/>
    </row>
    <row r="261" spans="2:8" x14ac:dyDescent="0.35">
      <c r="B261" s="15"/>
      <c r="C261" s="15"/>
      <c r="D261" s="15"/>
      <c r="E261" s="15"/>
      <c r="F261" s="15"/>
      <c r="G261" s="15"/>
      <c r="H261" s="15"/>
    </row>
    <row r="262" spans="2:8" x14ac:dyDescent="0.35">
      <c r="B262" s="15"/>
      <c r="C262" s="15"/>
      <c r="D262" s="15"/>
      <c r="E262" s="15"/>
      <c r="F262" s="15"/>
      <c r="G262" s="15"/>
      <c r="H262" s="15"/>
    </row>
    <row r="263" spans="2:8" x14ac:dyDescent="0.35">
      <c r="B263" s="15"/>
      <c r="C263" s="15"/>
      <c r="D263" s="15"/>
      <c r="E263" s="15"/>
      <c r="F263" s="15"/>
      <c r="G263" s="15"/>
      <c r="H263" s="15"/>
    </row>
    <row r="264" spans="2:8" x14ac:dyDescent="0.35">
      <c r="B264" s="15"/>
      <c r="C264" s="15"/>
      <c r="D264" s="15"/>
      <c r="E264" s="15"/>
      <c r="F264" s="15"/>
      <c r="G264" s="15"/>
      <c r="H264" s="15"/>
    </row>
    <row r="265" spans="2:8" x14ac:dyDescent="0.35">
      <c r="B265" s="15"/>
      <c r="C265" s="15"/>
      <c r="D265" s="15"/>
      <c r="E265" s="15"/>
      <c r="F265" s="15"/>
      <c r="G265" s="15"/>
      <c r="H265" s="15"/>
    </row>
    <row r="266" spans="2:8" x14ac:dyDescent="0.35">
      <c r="B266" s="15"/>
      <c r="C266" s="15"/>
      <c r="D266" s="15"/>
      <c r="E266" s="15"/>
      <c r="F266" s="15"/>
      <c r="G266" s="15"/>
      <c r="H266" s="15"/>
    </row>
    <row r="267" spans="2:8" x14ac:dyDescent="0.35">
      <c r="B267" s="15"/>
      <c r="C267" s="15"/>
      <c r="D267" s="15"/>
      <c r="E267" s="15"/>
      <c r="F267" s="15"/>
      <c r="G267" s="15"/>
      <c r="H267" s="15"/>
    </row>
    <row r="268" spans="2:8" x14ac:dyDescent="0.35">
      <c r="B268" s="15"/>
      <c r="C268" s="15"/>
      <c r="D268" s="15"/>
      <c r="E268" s="15"/>
      <c r="F268" s="15"/>
      <c r="G268" s="15"/>
      <c r="H268" s="15"/>
    </row>
    <row r="269" spans="2:8" x14ac:dyDescent="0.35">
      <c r="B269" s="15"/>
      <c r="C269" s="15"/>
      <c r="D269" s="15"/>
      <c r="E269" s="15"/>
      <c r="F269" s="15"/>
      <c r="G269" s="15"/>
      <c r="H269" s="15"/>
    </row>
    <row r="270" spans="2:8" x14ac:dyDescent="0.35">
      <c r="B270" s="15"/>
      <c r="C270" s="15"/>
      <c r="D270" s="15"/>
      <c r="E270" s="15"/>
      <c r="F270" s="15"/>
      <c r="G270" s="15"/>
      <c r="H270" s="15"/>
    </row>
    <row r="271" spans="2:8" x14ac:dyDescent="0.35">
      <c r="B271" s="15"/>
      <c r="C271" s="15"/>
      <c r="D271" s="15"/>
      <c r="E271" s="15"/>
      <c r="F271" s="15"/>
      <c r="G271" s="15"/>
      <c r="H271" s="15"/>
    </row>
    <row r="272" spans="2:8" x14ac:dyDescent="0.35">
      <c r="B272" s="15"/>
      <c r="C272" s="15"/>
      <c r="D272" s="15"/>
      <c r="E272" s="15"/>
      <c r="F272" s="15"/>
      <c r="G272" s="15"/>
      <c r="H272" s="15"/>
    </row>
    <row r="273" spans="2:8" x14ac:dyDescent="0.35">
      <c r="B273" s="15"/>
      <c r="C273" s="15"/>
      <c r="D273" s="15"/>
      <c r="E273" s="15"/>
      <c r="F273" s="15"/>
      <c r="G273" s="15"/>
      <c r="H273" s="15"/>
    </row>
    <row r="274" spans="2:8" x14ac:dyDescent="0.35">
      <c r="B274" s="15"/>
      <c r="C274" s="15"/>
      <c r="D274" s="15"/>
      <c r="E274" s="15"/>
      <c r="F274" s="15"/>
      <c r="G274" s="15"/>
      <c r="H274" s="15"/>
    </row>
    <row r="275" spans="2:8" x14ac:dyDescent="0.35">
      <c r="B275" s="15"/>
      <c r="C275" s="15"/>
      <c r="D275" s="15"/>
      <c r="E275" s="15"/>
      <c r="F275" s="15"/>
      <c r="G275" s="15"/>
      <c r="H275" s="15"/>
    </row>
    <row r="276" spans="2:8" x14ac:dyDescent="0.35">
      <c r="B276" s="15"/>
      <c r="C276" s="15"/>
      <c r="D276" s="15"/>
      <c r="E276" s="15"/>
      <c r="F276" s="15"/>
      <c r="G276" s="15"/>
      <c r="H276" s="15"/>
    </row>
    <row r="277" spans="2:8" x14ac:dyDescent="0.35">
      <c r="B277" s="15"/>
      <c r="C277" s="15"/>
      <c r="D277" s="15"/>
      <c r="E277" s="15"/>
      <c r="F277" s="15"/>
      <c r="G277" s="15"/>
      <c r="H277" s="15"/>
    </row>
    <row r="278" spans="2:8" x14ac:dyDescent="0.35">
      <c r="B278" s="15"/>
      <c r="C278" s="15"/>
      <c r="D278" s="15"/>
      <c r="E278" s="15"/>
      <c r="F278" s="15"/>
      <c r="G278" s="15"/>
      <c r="H278" s="15"/>
    </row>
    <row r="279" spans="2:8" x14ac:dyDescent="0.35">
      <c r="B279" s="15"/>
      <c r="C279" s="15"/>
      <c r="D279" s="15"/>
      <c r="E279" s="15"/>
      <c r="F279" s="15"/>
      <c r="G279" s="15"/>
      <c r="H279" s="15"/>
    </row>
    <row r="280" spans="2:8" x14ac:dyDescent="0.35">
      <c r="B280" s="15"/>
      <c r="C280" s="15"/>
      <c r="D280" s="15"/>
      <c r="E280" s="15"/>
      <c r="F280" s="15"/>
      <c r="G280" s="15"/>
      <c r="H280" s="15"/>
    </row>
    <row r="281" spans="2:8" x14ac:dyDescent="0.35">
      <c r="B281" s="15"/>
      <c r="C281" s="15"/>
      <c r="D281" s="15"/>
      <c r="E281" s="15"/>
      <c r="F281" s="15"/>
      <c r="G281" s="15"/>
      <c r="H281" s="15"/>
    </row>
    <row r="282" spans="2:8" x14ac:dyDescent="0.35">
      <c r="B282" s="15"/>
      <c r="C282" s="15"/>
      <c r="D282" s="15"/>
      <c r="E282" s="15"/>
      <c r="F282" s="15"/>
      <c r="G282" s="15"/>
      <c r="H282" s="15"/>
    </row>
    <row r="283" spans="2:8" x14ac:dyDescent="0.35">
      <c r="B283" s="15"/>
      <c r="C283" s="15"/>
      <c r="D283" s="15"/>
      <c r="E283" s="15"/>
      <c r="F283" s="15"/>
      <c r="G283" s="15"/>
      <c r="H283" s="15"/>
    </row>
    <row r="284" spans="2:8" x14ac:dyDescent="0.35">
      <c r="B284" s="15"/>
      <c r="C284" s="15"/>
      <c r="D284" s="15"/>
      <c r="E284" s="15"/>
      <c r="F284" s="15"/>
      <c r="G284" s="15"/>
      <c r="H284" s="15"/>
    </row>
    <row r="285" spans="2:8" x14ac:dyDescent="0.35">
      <c r="B285" s="15"/>
      <c r="C285" s="15"/>
      <c r="D285" s="15"/>
      <c r="E285" s="15"/>
      <c r="F285" s="15"/>
      <c r="G285" s="15"/>
      <c r="H285" s="15"/>
    </row>
    <row r="286" spans="2:8" x14ac:dyDescent="0.35">
      <c r="B286" s="15"/>
      <c r="C286" s="15"/>
      <c r="D286" s="15"/>
      <c r="E286" s="15"/>
      <c r="F286" s="15"/>
      <c r="G286" s="15"/>
      <c r="H286" s="15"/>
    </row>
    <row r="287" spans="2:8" x14ac:dyDescent="0.35">
      <c r="B287" s="15"/>
      <c r="C287" s="15"/>
      <c r="D287" s="15"/>
      <c r="E287" s="15"/>
      <c r="F287" s="15"/>
      <c r="G287" s="15"/>
      <c r="H287" s="15"/>
    </row>
    <row r="288" spans="2:8" x14ac:dyDescent="0.35">
      <c r="B288" s="15"/>
      <c r="C288" s="15"/>
      <c r="D288" s="15"/>
      <c r="E288" s="15"/>
      <c r="F288" s="15"/>
      <c r="G288" s="15"/>
      <c r="H288" s="15"/>
    </row>
    <row r="289" spans="2:8" x14ac:dyDescent="0.35">
      <c r="B289" s="15"/>
      <c r="C289" s="15"/>
      <c r="D289" s="15"/>
      <c r="E289" s="15"/>
      <c r="F289" s="15"/>
      <c r="G289" s="15"/>
      <c r="H289" s="15"/>
    </row>
    <row r="290" spans="2:8" x14ac:dyDescent="0.35">
      <c r="B290" s="15"/>
      <c r="C290" s="15"/>
      <c r="D290" s="15"/>
      <c r="E290" s="15"/>
      <c r="F290" s="15"/>
      <c r="G290" s="15"/>
      <c r="H290" s="15"/>
    </row>
    <row r="291" spans="2:8" x14ac:dyDescent="0.35">
      <c r="B291" s="15"/>
      <c r="C291" s="15"/>
      <c r="D291" s="15"/>
      <c r="E291" s="15"/>
      <c r="F291" s="15"/>
      <c r="G291" s="15"/>
      <c r="H291" s="15"/>
    </row>
    <row r="292" spans="2:8" x14ac:dyDescent="0.35">
      <c r="B292" s="15"/>
      <c r="C292" s="15"/>
      <c r="D292" s="15"/>
      <c r="E292" s="15"/>
      <c r="F292" s="15"/>
      <c r="G292" s="15"/>
      <c r="H292" s="15"/>
    </row>
    <row r="293" spans="2:8" x14ac:dyDescent="0.35">
      <c r="B293" s="15"/>
      <c r="C293" s="15"/>
      <c r="D293" s="15"/>
      <c r="E293" s="15"/>
      <c r="F293" s="15"/>
      <c r="G293" s="15"/>
      <c r="H293" s="15"/>
    </row>
    <row r="294" spans="2:8" x14ac:dyDescent="0.35">
      <c r="B294" s="15"/>
      <c r="C294" s="15"/>
      <c r="D294" s="15"/>
      <c r="E294" s="15"/>
      <c r="F294" s="15"/>
      <c r="G294" s="15"/>
      <c r="H294" s="15"/>
    </row>
    <row r="295" spans="2:8" x14ac:dyDescent="0.35">
      <c r="B295" s="15"/>
      <c r="C295" s="15"/>
      <c r="D295" s="15"/>
      <c r="E295" s="15"/>
      <c r="F295" s="15"/>
      <c r="G295" s="15"/>
      <c r="H295" s="15"/>
    </row>
    <row r="296" spans="2:8" x14ac:dyDescent="0.35">
      <c r="B296" s="15"/>
      <c r="C296" s="15"/>
      <c r="D296" s="15"/>
      <c r="E296" s="15"/>
      <c r="F296" s="15"/>
      <c r="G296" s="15"/>
      <c r="H296" s="15"/>
    </row>
    <row r="297" spans="2:8" x14ac:dyDescent="0.35">
      <c r="B297" s="15"/>
      <c r="C297" s="15"/>
      <c r="D297" s="15"/>
      <c r="E297" s="15"/>
      <c r="F297" s="15"/>
      <c r="G297" s="15"/>
      <c r="H297" s="15"/>
    </row>
    <row r="298" spans="2:8" x14ac:dyDescent="0.35">
      <c r="B298" s="15"/>
      <c r="C298" s="15"/>
      <c r="D298" s="15"/>
      <c r="E298" s="15"/>
      <c r="F298" s="15"/>
      <c r="G298" s="15"/>
      <c r="H298" s="15"/>
    </row>
    <row r="299" spans="2:8" x14ac:dyDescent="0.35">
      <c r="B299" s="15"/>
      <c r="C299" s="15"/>
      <c r="D299" s="15"/>
      <c r="E299" s="15"/>
      <c r="F299" s="15"/>
      <c r="G299" s="15"/>
      <c r="H299" s="15"/>
    </row>
    <row r="300" spans="2:8" x14ac:dyDescent="0.35">
      <c r="B300" s="15"/>
      <c r="C300" s="15"/>
      <c r="D300" s="15"/>
      <c r="E300" s="15"/>
      <c r="F300" s="15"/>
      <c r="G300" s="15"/>
      <c r="H300" s="15"/>
    </row>
    <row r="301" spans="2:8" x14ac:dyDescent="0.35">
      <c r="B301" s="15"/>
      <c r="C301" s="15"/>
      <c r="D301" s="15"/>
      <c r="E301" s="15"/>
      <c r="F301" s="15"/>
      <c r="G301" s="15"/>
      <c r="H301" s="15"/>
    </row>
    <row r="302" spans="2:8" x14ac:dyDescent="0.35">
      <c r="B302" s="15"/>
      <c r="C302" s="15"/>
      <c r="D302" s="15"/>
      <c r="E302" s="15"/>
      <c r="F302" s="15"/>
      <c r="G302" s="15"/>
      <c r="H302" s="15"/>
    </row>
    <row r="303" spans="2:8" x14ac:dyDescent="0.35">
      <c r="B303" s="15"/>
      <c r="C303" s="15"/>
      <c r="D303" s="15"/>
      <c r="E303" s="15"/>
      <c r="F303" s="15"/>
      <c r="G303" s="15"/>
      <c r="H303" s="15"/>
    </row>
    <row r="304" spans="2:8" x14ac:dyDescent="0.35">
      <c r="B304" s="15"/>
      <c r="C304" s="15"/>
      <c r="D304" s="15"/>
      <c r="E304" s="15"/>
      <c r="F304" s="15"/>
      <c r="G304" s="15"/>
      <c r="H304" s="15"/>
    </row>
    <row r="305" spans="2:8" x14ac:dyDescent="0.35">
      <c r="B305" s="15"/>
      <c r="C305" s="15"/>
      <c r="D305" s="15"/>
      <c r="E305" s="15"/>
      <c r="F305" s="15"/>
      <c r="G305" s="15"/>
      <c r="H305" s="15"/>
    </row>
    <row r="306" spans="2:8" x14ac:dyDescent="0.35">
      <c r="B306" s="15"/>
      <c r="C306" s="15"/>
      <c r="D306" s="15"/>
      <c r="E306" s="15"/>
      <c r="F306" s="15"/>
      <c r="G306" s="15"/>
      <c r="H306" s="15"/>
    </row>
    <row r="307" spans="2:8" x14ac:dyDescent="0.35">
      <c r="B307" s="15"/>
      <c r="C307" s="15"/>
      <c r="D307" s="15"/>
      <c r="E307" s="15"/>
      <c r="F307" s="15"/>
      <c r="G307" s="15"/>
      <c r="H307" s="15"/>
    </row>
    <row r="308" spans="2:8" x14ac:dyDescent="0.35">
      <c r="B308" s="15"/>
      <c r="C308" s="15"/>
      <c r="D308" s="15"/>
      <c r="E308" s="15"/>
      <c r="F308" s="15"/>
      <c r="G308" s="15"/>
      <c r="H308" s="15"/>
    </row>
    <row r="309" spans="2:8" x14ac:dyDescent="0.35">
      <c r="B309" s="15"/>
      <c r="C309" s="15"/>
      <c r="D309" s="15"/>
      <c r="E309" s="15"/>
      <c r="F309" s="15"/>
      <c r="G309" s="15"/>
      <c r="H309" s="15"/>
    </row>
    <row r="310" spans="2:8" x14ac:dyDescent="0.35">
      <c r="B310" s="15"/>
      <c r="C310" s="15"/>
      <c r="D310" s="15"/>
      <c r="E310" s="15"/>
      <c r="F310" s="15"/>
      <c r="G310" s="15"/>
      <c r="H310" s="15"/>
    </row>
    <row r="311" spans="2:8" x14ac:dyDescent="0.35">
      <c r="B311" s="15"/>
      <c r="C311" s="15"/>
      <c r="D311" s="15"/>
      <c r="E311" s="15"/>
      <c r="F311" s="15"/>
      <c r="G311" s="15"/>
      <c r="H311" s="15"/>
    </row>
    <row r="312" spans="2:8" x14ac:dyDescent="0.35">
      <c r="B312" s="15"/>
      <c r="C312" s="15"/>
      <c r="D312" s="15"/>
      <c r="E312" s="15"/>
      <c r="F312" s="15"/>
      <c r="G312" s="15"/>
      <c r="H312" s="15"/>
    </row>
    <row r="313" spans="2:8" x14ac:dyDescent="0.35">
      <c r="B313" s="15"/>
      <c r="C313" s="15"/>
      <c r="D313" s="15"/>
      <c r="E313" s="15"/>
      <c r="F313" s="15"/>
      <c r="G313" s="15"/>
      <c r="H313" s="15"/>
    </row>
    <row r="314" spans="2:8" x14ac:dyDescent="0.35">
      <c r="B314" s="15"/>
      <c r="C314" s="15"/>
      <c r="D314" s="15"/>
      <c r="E314" s="15"/>
      <c r="F314" s="15"/>
      <c r="G314" s="15"/>
      <c r="H314" s="15"/>
    </row>
    <row r="315" spans="2:8" x14ac:dyDescent="0.35">
      <c r="B315" s="15"/>
      <c r="C315" s="15"/>
      <c r="D315" s="15"/>
      <c r="E315" s="15"/>
      <c r="F315" s="15"/>
      <c r="G315" s="15"/>
      <c r="H315" s="15"/>
    </row>
    <row r="316" spans="2:8" x14ac:dyDescent="0.35">
      <c r="B316" s="15"/>
      <c r="C316" s="15"/>
      <c r="D316" s="15"/>
      <c r="E316" s="15"/>
      <c r="F316" s="15"/>
      <c r="G316" s="15"/>
      <c r="H316" s="15"/>
    </row>
    <row r="317" spans="2:8" x14ac:dyDescent="0.35">
      <c r="B317" s="15"/>
      <c r="C317" s="15"/>
      <c r="D317" s="15"/>
      <c r="E317" s="15"/>
      <c r="F317" s="15"/>
      <c r="G317" s="15"/>
      <c r="H317" s="15"/>
    </row>
    <row r="318" spans="2:8" x14ac:dyDescent="0.35">
      <c r="B318" s="15"/>
      <c r="C318" s="15"/>
      <c r="D318" s="15"/>
      <c r="E318" s="15"/>
      <c r="F318" s="15"/>
      <c r="G318" s="15"/>
      <c r="H318" s="15"/>
    </row>
    <row r="319" spans="2:8" x14ac:dyDescent="0.35">
      <c r="B319" s="15"/>
      <c r="C319" s="15"/>
      <c r="D319" s="15"/>
      <c r="E319" s="15"/>
      <c r="F319" s="15"/>
      <c r="G319" s="15"/>
      <c r="H319" s="15"/>
    </row>
    <row r="320" spans="2:8" x14ac:dyDescent="0.35">
      <c r="B320" s="15"/>
      <c r="C320" s="15"/>
      <c r="D320" s="15"/>
      <c r="E320" s="15"/>
      <c r="F320" s="15"/>
      <c r="G320" s="15"/>
      <c r="H320" s="15"/>
    </row>
    <row r="321" spans="2:8" x14ac:dyDescent="0.35">
      <c r="B321" s="15"/>
      <c r="C321" s="15"/>
      <c r="D321" s="15"/>
      <c r="E321" s="15"/>
      <c r="F321" s="15"/>
      <c r="G321" s="15"/>
      <c r="H321" s="15"/>
    </row>
    <row r="322" spans="2:8" x14ac:dyDescent="0.35">
      <c r="B322" s="15"/>
      <c r="C322" s="15"/>
      <c r="D322" s="15"/>
      <c r="E322" s="15"/>
      <c r="F322" s="15"/>
      <c r="G322" s="15"/>
      <c r="H322" s="15"/>
    </row>
    <row r="323" spans="2:8" x14ac:dyDescent="0.35">
      <c r="B323" s="15"/>
      <c r="C323" s="15"/>
      <c r="D323" s="15"/>
      <c r="E323" s="15"/>
      <c r="F323" s="15"/>
      <c r="G323" s="15"/>
      <c r="H323" s="15"/>
    </row>
    <row r="324" spans="2:8" x14ac:dyDescent="0.35">
      <c r="B324" s="15"/>
      <c r="C324" s="15"/>
      <c r="D324" s="15"/>
      <c r="E324" s="15"/>
      <c r="F324" s="15"/>
      <c r="G324" s="15"/>
      <c r="H324" s="15"/>
    </row>
    <row r="325" spans="2:8" x14ac:dyDescent="0.35">
      <c r="B325" s="15"/>
      <c r="C325" s="15"/>
      <c r="D325" s="15"/>
      <c r="E325" s="15"/>
      <c r="F325" s="15"/>
      <c r="G325" s="15"/>
      <c r="H325" s="15"/>
    </row>
    <row r="326" spans="2:8" x14ac:dyDescent="0.35">
      <c r="B326" s="15"/>
      <c r="C326" s="15"/>
      <c r="D326" s="15"/>
      <c r="E326" s="15"/>
      <c r="F326" s="15"/>
      <c r="G326" s="15"/>
      <c r="H326" s="15"/>
    </row>
    <row r="327" spans="2:8" x14ac:dyDescent="0.35">
      <c r="B327" s="15"/>
      <c r="C327" s="15"/>
      <c r="D327" s="15"/>
      <c r="E327" s="15"/>
      <c r="F327" s="15"/>
      <c r="G327" s="15"/>
      <c r="H327" s="15"/>
    </row>
    <row r="328" spans="2:8" x14ac:dyDescent="0.35">
      <c r="B328" s="15"/>
      <c r="C328" s="15"/>
      <c r="D328" s="15"/>
      <c r="E328" s="15"/>
      <c r="F328" s="15"/>
      <c r="G328" s="15"/>
      <c r="H328" s="15"/>
    </row>
    <row r="329" spans="2:8" x14ac:dyDescent="0.35">
      <c r="B329" s="15"/>
      <c r="C329" s="15"/>
      <c r="D329" s="15"/>
      <c r="E329" s="15"/>
      <c r="F329" s="15"/>
      <c r="G329" s="15"/>
      <c r="H329" s="15"/>
    </row>
    <row r="330" spans="2:8" x14ac:dyDescent="0.35">
      <c r="B330" s="15"/>
      <c r="C330" s="15"/>
      <c r="D330" s="15"/>
      <c r="E330" s="15"/>
      <c r="F330" s="15"/>
      <c r="G330" s="15"/>
      <c r="H330" s="15"/>
    </row>
    <row r="331" spans="2:8" x14ac:dyDescent="0.35">
      <c r="B331" s="15"/>
      <c r="C331" s="15"/>
      <c r="D331" s="15"/>
      <c r="E331" s="15"/>
      <c r="F331" s="15"/>
      <c r="G331" s="15"/>
      <c r="H331" s="15"/>
    </row>
    <row r="332" spans="2:8" x14ac:dyDescent="0.35">
      <c r="B332" s="15"/>
      <c r="C332" s="15"/>
      <c r="D332" s="15"/>
      <c r="E332" s="15"/>
      <c r="F332" s="15"/>
      <c r="G332" s="15"/>
      <c r="H332" s="15"/>
    </row>
    <row r="333" spans="2:8" x14ac:dyDescent="0.35">
      <c r="B333" s="15"/>
      <c r="C333" s="15"/>
      <c r="D333" s="15"/>
      <c r="E333" s="15"/>
      <c r="F333" s="15"/>
      <c r="G333" s="15"/>
      <c r="H333" s="15"/>
    </row>
    <row r="334" spans="2:8" x14ac:dyDescent="0.35">
      <c r="B334" s="15"/>
      <c r="C334" s="15"/>
      <c r="D334" s="15"/>
      <c r="E334" s="15"/>
      <c r="F334" s="15"/>
      <c r="G334" s="15"/>
      <c r="H334" s="15"/>
    </row>
    <row r="335" spans="2:8" x14ac:dyDescent="0.35">
      <c r="B335" s="15"/>
      <c r="C335" s="15"/>
      <c r="D335" s="15"/>
      <c r="E335" s="15"/>
      <c r="F335" s="15"/>
      <c r="G335" s="15"/>
      <c r="H335" s="15"/>
    </row>
    <row r="336" spans="2:8" x14ac:dyDescent="0.35">
      <c r="B336" s="15"/>
      <c r="C336" s="15"/>
      <c r="D336" s="15"/>
      <c r="E336" s="15"/>
      <c r="F336" s="15"/>
      <c r="G336" s="15"/>
      <c r="H336" s="15"/>
    </row>
    <row r="337" spans="2:8" x14ac:dyDescent="0.35">
      <c r="B337" s="15"/>
      <c r="C337" s="15"/>
      <c r="D337" s="15"/>
      <c r="E337" s="15"/>
      <c r="F337" s="15"/>
      <c r="G337" s="15"/>
      <c r="H337" s="15"/>
    </row>
    <row r="338" spans="2:8" x14ac:dyDescent="0.35">
      <c r="B338" s="15"/>
      <c r="C338" s="15"/>
      <c r="D338" s="15"/>
      <c r="E338" s="15"/>
      <c r="F338" s="15"/>
      <c r="G338" s="15"/>
      <c r="H338" s="15"/>
    </row>
    <row r="339" spans="2:8" x14ac:dyDescent="0.35">
      <c r="B339" s="15"/>
      <c r="C339" s="15"/>
      <c r="D339" s="15"/>
      <c r="E339" s="15"/>
      <c r="F339" s="15"/>
      <c r="G339" s="15"/>
      <c r="H339" s="15"/>
    </row>
    <row r="340" spans="2:8" x14ac:dyDescent="0.35">
      <c r="B340" s="15"/>
      <c r="C340" s="15"/>
      <c r="D340" s="15"/>
      <c r="E340" s="15"/>
      <c r="F340" s="15"/>
      <c r="G340" s="15"/>
      <c r="H340" s="15"/>
    </row>
    <row r="341" spans="2:8" x14ac:dyDescent="0.35">
      <c r="B341" s="15"/>
      <c r="C341" s="15"/>
      <c r="D341" s="15"/>
      <c r="E341" s="15"/>
      <c r="F341" s="15"/>
      <c r="G341" s="15"/>
      <c r="H341" s="15"/>
    </row>
    <row r="342" spans="2:8" x14ac:dyDescent="0.35">
      <c r="B342" s="15"/>
      <c r="C342" s="15"/>
      <c r="D342" s="15"/>
      <c r="E342" s="15"/>
      <c r="F342" s="15"/>
      <c r="G342" s="15"/>
      <c r="H342" s="15"/>
    </row>
    <row r="343" spans="2:8" x14ac:dyDescent="0.35">
      <c r="B343" s="15"/>
      <c r="C343" s="15"/>
      <c r="D343" s="15"/>
      <c r="E343" s="15"/>
      <c r="F343" s="15"/>
      <c r="G343" s="15"/>
      <c r="H343" s="15"/>
    </row>
    <row r="344" spans="2:8" x14ac:dyDescent="0.35">
      <c r="B344" s="15"/>
      <c r="C344" s="15"/>
      <c r="D344" s="15"/>
      <c r="E344" s="15"/>
      <c r="F344" s="15"/>
      <c r="G344" s="15"/>
      <c r="H344" s="15"/>
    </row>
    <row r="345" spans="2:8" x14ac:dyDescent="0.35">
      <c r="B345" s="15"/>
      <c r="C345" s="15"/>
      <c r="D345" s="15"/>
      <c r="E345" s="15"/>
      <c r="F345" s="15"/>
      <c r="G345" s="15"/>
      <c r="H345" s="15"/>
    </row>
    <row r="346" spans="2:8" x14ac:dyDescent="0.35">
      <c r="B346" s="15"/>
      <c r="C346" s="15"/>
      <c r="D346" s="15"/>
      <c r="E346" s="15"/>
      <c r="F346" s="15"/>
      <c r="G346" s="15"/>
      <c r="H346" s="15"/>
    </row>
    <row r="347" spans="2:8" x14ac:dyDescent="0.35">
      <c r="B347" s="15"/>
      <c r="C347" s="15"/>
      <c r="D347" s="15"/>
      <c r="E347" s="15"/>
      <c r="F347" s="15"/>
      <c r="G347" s="15"/>
      <c r="H347" s="15"/>
    </row>
    <row r="348" spans="2:8" x14ac:dyDescent="0.35">
      <c r="B348" s="15"/>
      <c r="C348" s="15"/>
      <c r="D348" s="15"/>
      <c r="E348" s="15"/>
      <c r="F348" s="15"/>
      <c r="G348" s="15"/>
      <c r="H348" s="15"/>
    </row>
    <row r="349" spans="2:8" x14ac:dyDescent="0.35">
      <c r="B349" s="15"/>
      <c r="C349" s="15"/>
      <c r="D349" s="15"/>
      <c r="E349" s="15"/>
      <c r="F349" s="15"/>
      <c r="G349" s="15"/>
      <c r="H349" s="15"/>
    </row>
    <row r="350" spans="2:8" x14ac:dyDescent="0.35">
      <c r="B350" s="15"/>
      <c r="C350" s="15"/>
      <c r="D350" s="15"/>
      <c r="E350" s="15"/>
      <c r="F350" s="15"/>
      <c r="G350" s="15"/>
      <c r="H350" s="15"/>
    </row>
    <row r="351" spans="2:8" x14ac:dyDescent="0.35">
      <c r="B351" s="15"/>
      <c r="C351" s="15"/>
      <c r="D351" s="15"/>
      <c r="E351" s="15"/>
      <c r="F351" s="15"/>
      <c r="G351" s="15"/>
      <c r="H351" s="15"/>
    </row>
    <row r="352" spans="2:8" x14ac:dyDescent="0.35">
      <c r="B352" s="15"/>
      <c r="C352" s="15"/>
      <c r="D352" s="15"/>
      <c r="E352" s="15"/>
      <c r="F352" s="15"/>
      <c r="G352" s="15"/>
      <c r="H352" s="15"/>
    </row>
    <row r="353" spans="2:8" x14ac:dyDescent="0.35">
      <c r="B353" s="15"/>
      <c r="C353" s="15"/>
      <c r="D353" s="15"/>
      <c r="E353" s="15"/>
      <c r="F353" s="15"/>
      <c r="G353" s="15"/>
      <c r="H353" s="15"/>
    </row>
    <row r="354" spans="2:8" x14ac:dyDescent="0.35">
      <c r="B354" s="15"/>
      <c r="C354" s="15"/>
      <c r="D354" s="15"/>
      <c r="E354" s="15"/>
      <c r="F354" s="15"/>
      <c r="G354" s="15"/>
      <c r="H354" s="15"/>
    </row>
    <row r="355" spans="2:8" x14ac:dyDescent="0.35">
      <c r="B355" s="15"/>
      <c r="C355" s="15"/>
      <c r="D355" s="15"/>
      <c r="E355" s="15"/>
      <c r="F355" s="15"/>
      <c r="G355" s="15"/>
      <c r="H355" s="15"/>
    </row>
    <row r="356" spans="2:8" x14ac:dyDescent="0.35">
      <c r="B356" s="15"/>
      <c r="C356" s="15"/>
      <c r="D356" s="15"/>
      <c r="E356" s="15"/>
      <c r="F356" s="15"/>
      <c r="G356" s="15"/>
      <c r="H356" s="15"/>
    </row>
    <row r="357" spans="2:8" x14ac:dyDescent="0.35">
      <c r="B357" s="15"/>
      <c r="C357" s="15"/>
      <c r="D357" s="15"/>
      <c r="E357" s="15"/>
      <c r="F357" s="15"/>
      <c r="G357" s="15"/>
      <c r="H357" s="15"/>
    </row>
    <row r="358" spans="2:8" x14ac:dyDescent="0.35">
      <c r="B358" s="15"/>
      <c r="C358" s="15"/>
      <c r="D358" s="15"/>
      <c r="E358" s="15"/>
      <c r="F358" s="15"/>
      <c r="G358" s="15"/>
      <c r="H358" s="15"/>
    </row>
    <row r="359" spans="2:8" x14ac:dyDescent="0.35">
      <c r="B359" s="15"/>
      <c r="C359" s="15"/>
      <c r="D359" s="15"/>
      <c r="E359" s="15"/>
      <c r="F359" s="15"/>
      <c r="G359" s="15"/>
      <c r="H359" s="15"/>
    </row>
    <row r="360" spans="2:8" x14ac:dyDescent="0.35">
      <c r="B360" s="15"/>
      <c r="C360" s="15"/>
      <c r="D360" s="15"/>
      <c r="E360" s="15"/>
      <c r="F360" s="15"/>
      <c r="G360" s="15"/>
      <c r="H360" s="15"/>
    </row>
    <row r="361" spans="2:8" x14ac:dyDescent="0.35">
      <c r="B361" s="15"/>
      <c r="C361" s="15"/>
      <c r="D361" s="15"/>
      <c r="E361" s="15"/>
      <c r="F361" s="15"/>
      <c r="G361" s="15"/>
      <c r="H361" s="15"/>
    </row>
    <row r="362" spans="2:8" x14ac:dyDescent="0.35">
      <c r="B362" s="15"/>
      <c r="C362" s="15"/>
      <c r="D362" s="15"/>
      <c r="E362" s="15"/>
      <c r="F362" s="15"/>
      <c r="G362" s="15"/>
      <c r="H362" s="15"/>
    </row>
    <row r="363" spans="2:8" x14ac:dyDescent="0.35">
      <c r="B363" s="15"/>
      <c r="C363" s="15"/>
      <c r="D363" s="15"/>
      <c r="E363" s="15"/>
      <c r="F363" s="15"/>
      <c r="G363" s="15"/>
      <c r="H363" s="15"/>
    </row>
    <row r="364" spans="2:8" x14ac:dyDescent="0.35">
      <c r="B364" s="15"/>
      <c r="C364" s="15"/>
      <c r="D364" s="15"/>
      <c r="E364" s="15"/>
      <c r="F364" s="15"/>
      <c r="G364" s="15"/>
      <c r="H364" s="15"/>
    </row>
    <row r="365" spans="2:8" x14ac:dyDescent="0.35">
      <c r="B365" s="15"/>
      <c r="C365" s="15"/>
      <c r="D365" s="15"/>
      <c r="E365" s="15"/>
      <c r="F365" s="15"/>
      <c r="G365" s="15"/>
      <c r="H365" s="15"/>
    </row>
    <row r="366" spans="2:8" x14ac:dyDescent="0.35">
      <c r="B366" s="15"/>
      <c r="C366" s="15"/>
      <c r="D366" s="15"/>
      <c r="E366" s="15"/>
      <c r="F366" s="15"/>
      <c r="G366" s="15"/>
      <c r="H366" s="15"/>
    </row>
    <row r="367" spans="2:8" x14ac:dyDescent="0.35">
      <c r="B367" s="15"/>
      <c r="C367" s="15"/>
      <c r="D367" s="15"/>
      <c r="E367" s="15"/>
      <c r="F367" s="15"/>
      <c r="G367" s="15"/>
      <c r="H367" s="15"/>
    </row>
    <row r="368" spans="2:8" x14ac:dyDescent="0.35">
      <c r="B368" s="15"/>
      <c r="C368" s="15"/>
      <c r="D368" s="15"/>
      <c r="E368" s="15"/>
      <c r="F368" s="15"/>
      <c r="G368" s="15"/>
      <c r="H368" s="15"/>
    </row>
    <row r="369" spans="2:8" x14ac:dyDescent="0.35">
      <c r="B369" s="15"/>
      <c r="C369" s="15"/>
      <c r="D369" s="15"/>
      <c r="E369" s="15"/>
      <c r="F369" s="15"/>
      <c r="G369" s="15"/>
      <c r="H369" s="15"/>
    </row>
    <row r="370" spans="2:8" x14ac:dyDescent="0.35">
      <c r="B370" s="15"/>
      <c r="C370" s="15"/>
      <c r="D370" s="15"/>
      <c r="E370" s="15"/>
      <c r="F370" s="15"/>
      <c r="G370" s="15"/>
      <c r="H370" s="15"/>
    </row>
    <row r="371" spans="2:8" x14ac:dyDescent="0.35">
      <c r="B371" s="15"/>
      <c r="C371" s="15"/>
      <c r="D371" s="15"/>
      <c r="E371" s="15"/>
      <c r="F371" s="15"/>
      <c r="G371" s="15"/>
      <c r="H371" s="15"/>
    </row>
    <row r="372" spans="2:8" x14ac:dyDescent="0.35">
      <c r="B372" s="15"/>
      <c r="C372" s="15"/>
      <c r="D372" s="15"/>
      <c r="E372" s="15"/>
      <c r="F372" s="15"/>
      <c r="G372" s="15"/>
      <c r="H372" s="15"/>
    </row>
    <row r="373" spans="2:8" x14ac:dyDescent="0.35">
      <c r="B373" s="15"/>
      <c r="C373" s="15"/>
      <c r="D373" s="15"/>
      <c r="E373" s="15"/>
      <c r="F373" s="15"/>
      <c r="G373" s="15"/>
      <c r="H373" s="15"/>
    </row>
    <row r="374" spans="2:8" x14ac:dyDescent="0.35">
      <c r="B374" s="15"/>
      <c r="C374" s="15"/>
      <c r="D374" s="15"/>
      <c r="E374" s="15"/>
      <c r="F374" s="15"/>
      <c r="G374" s="15"/>
      <c r="H374" s="15"/>
    </row>
    <row r="375" spans="2:8" x14ac:dyDescent="0.35">
      <c r="B375" s="15"/>
      <c r="C375" s="15"/>
      <c r="D375" s="15"/>
      <c r="E375" s="15"/>
      <c r="F375" s="15"/>
      <c r="G375" s="15"/>
      <c r="H375" s="15"/>
    </row>
    <row r="376" spans="2:8" x14ac:dyDescent="0.35">
      <c r="B376" s="15"/>
      <c r="C376" s="15"/>
      <c r="D376" s="15"/>
      <c r="E376" s="15"/>
      <c r="F376" s="15"/>
      <c r="G376" s="15"/>
      <c r="H376" s="15"/>
    </row>
    <row r="377" spans="2:8" x14ac:dyDescent="0.35">
      <c r="B377" s="15"/>
      <c r="C377" s="15"/>
      <c r="D377" s="15"/>
      <c r="E377" s="15"/>
      <c r="F377" s="15"/>
      <c r="G377" s="15"/>
      <c r="H377" s="15"/>
    </row>
    <row r="378" spans="2:8" x14ac:dyDescent="0.35">
      <c r="B378" s="15"/>
      <c r="C378" s="15"/>
      <c r="D378" s="15"/>
      <c r="E378" s="15"/>
      <c r="F378" s="15"/>
      <c r="G378" s="15"/>
      <c r="H378" s="15"/>
    </row>
    <row r="379" spans="2:8" x14ac:dyDescent="0.35">
      <c r="B379" s="15"/>
      <c r="C379" s="15"/>
      <c r="D379" s="15"/>
      <c r="E379" s="15"/>
      <c r="F379" s="15"/>
      <c r="G379" s="15"/>
      <c r="H379" s="15"/>
    </row>
    <row r="380" spans="2:8" x14ac:dyDescent="0.35">
      <c r="B380" s="15"/>
      <c r="C380" s="15"/>
      <c r="D380" s="15"/>
      <c r="E380" s="15"/>
      <c r="F380" s="15"/>
      <c r="G380" s="15"/>
      <c r="H380" s="15"/>
    </row>
    <row r="381" spans="2:8" x14ac:dyDescent="0.35">
      <c r="B381" s="15"/>
      <c r="C381" s="15"/>
      <c r="D381" s="15"/>
      <c r="E381" s="15"/>
      <c r="F381" s="15"/>
      <c r="G381" s="15"/>
      <c r="H381" s="15"/>
    </row>
    <row r="382" spans="2:8" x14ac:dyDescent="0.35">
      <c r="B382" s="15"/>
      <c r="C382" s="15"/>
      <c r="D382" s="15"/>
      <c r="E382" s="15"/>
      <c r="F382" s="15"/>
      <c r="G382" s="15"/>
      <c r="H382" s="15"/>
    </row>
    <row r="383" spans="2:8" x14ac:dyDescent="0.35">
      <c r="B383" s="15"/>
      <c r="C383" s="15"/>
      <c r="D383" s="15"/>
      <c r="E383" s="15"/>
      <c r="F383" s="15"/>
      <c r="G383" s="15"/>
      <c r="H383" s="15"/>
    </row>
    <row r="384" spans="2:8" x14ac:dyDescent="0.35">
      <c r="B384" s="15"/>
      <c r="C384" s="15"/>
      <c r="D384" s="15"/>
      <c r="E384" s="15"/>
      <c r="F384" s="15"/>
      <c r="G384" s="15"/>
      <c r="H384" s="15"/>
    </row>
    <row r="385" spans="2:8" x14ac:dyDescent="0.35">
      <c r="B385" s="15"/>
      <c r="C385" s="15"/>
      <c r="D385" s="15"/>
      <c r="E385" s="15"/>
      <c r="F385" s="15"/>
      <c r="G385" s="15"/>
      <c r="H385" s="15"/>
    </row>
    <row r="386" spans="2:8" x14ac:dyDescent="0.35">
      <c r="B386" s="15"/>
      <c r="C386" s="15"/>
      <c r="D386" s="15"/>
      <c r="E386" s="15"/>
      <c r="F386" s="15"/>
      <c r="G386" s="15"/>
      <c r="H386" s="15"/>
    </row>
    <row r="387" spans="2:8" x14ac:dyDescent="0.35">
      <c r="B387" s="15"/>
      <c r="C387" s="15"/>
      <c r="D387" s="15"/>
      <c r="E387" s="15"/>
      <c r="F387" s="15"/>
      <c r="G387" s="15"/>
      <c r="H387" s="15"/>
    </row>
    <row r="388" spans="2:8" x14ac:dyDescent="0.35">
      <c r="B388" s="15"/>
      <c r="C388" s="15"/>
      <c r="D388" s="15"/>
      <c r="E388" s="15"/>
      <c r="F388" s="15"/>
      <c r="G388" s="15"/>
      <c r="H388" s="15"/>
    </row>
    <row r="389" spans="2:8" x14ac:dyDescent="0.35">
      <c r="B389" s="15"/>
      <c r="C389" s="15"/>
      <c r="D389" s="15"/>
      <c r="E389" s="15"/>
      <c r="F389" s="15"/>
      <c r="G389" s="15"/>
      <c r="H389" s="15"/>
    </row>
    <row r="390" spans="2:8" x14ac:dyDescent="0.35">
      <c r="B390" s="15"/>
      <c r="C390" s="15"/>
      <c r="D390" s="15"/>
      <c r="E390" s="15"/>
      <c r="F390" s="15"/>
      <c r="G390" s="15"/>
      <c r="H390" s="15"/>
    </row>
    <row r="391" spans="2:8" x14ac:dyDescent="0.35">
      <c r="B391" s="15"/>
      <c r="C391" s="15"/>
      <c r="D391" s="15"/>
      <c r="E391" s="15"/>
      <c r="F391" s="15"/>
      <c r="G391" s="15"/>
      <c r="H391" s="15"/>
    </row>
    <row r="392" spans="2:8" x14ac:dyDescent="0.35">
      <c r="B392" s="15"/>
      <c r="C392" s="15"/>
      <c r="D392" s="15"/>
      <c r="E392" s="15"/>
      <c r="F392" s="15"/>
      <c r="G392" s="15"/>
      <c r="H392" s="15"/>
    </row>
    <row r="393" spans="2:8" x14ac:dyDescent="0.35">
      <c r="B393" s="15"/>
      <c r="C393" s="15"/>
      <c r="D393" s="15"/>
      <c r="E393" s="15"/>
      <c r="F393" s="15"/>
      <c r="G393" s="15"/>
      <c r="H393" s="15"/>
    </row>
    <row r="394" spans="2:8" x14ac:dyDescent="0.35">
      <c r="B394" s="15"/>
      <c r="C394" s="15"/>
      <c r="D394" s="15"/>
      <c r="E394" s="15"/>
      <c r="F394" s="15"/>
      <c r="G394" s="15"/>
      <c r="H394" s="15"/>
    </row>
    <row r="395" spans="2:8" x14ac:dyDescent="0.35">
      <c r="B395" s="15"/>
      <c r="C395" s="15"/>
      <c r="D395" s="15"/>
      <c r="E395" s="15"/>
      <c r="F395" s="15"/>
      <c r="G395" s="15"/>
      <c r="H395" s="15"/>
    </row>
    <row r="396" spans="2:8" x14ac:dyDescent="0.35">
      <c r="B396" s="15"/>
      <c r="C396" s="15"/>
      <c r="D396" s="15"/>
      <c r="E396" s="15"/>
      <c r="F396" s="15"/>
      <c r="G396" s="15"/>
      <c r="H396" s="15"/>
    </row>
    <row r="397" spans="2:8" x14ac:dyDescent="0.35">
      <c r="B397" s="15"/>
      <c r="C397" s="15"/>
      <c r="D397" s="15"/>
      <c r="E397" s="15"/>
      <c r="F397" s="15"/>
      <c r="G397" s="15"/>
      <c r="H397" s="15"/>
    </row>
    <row r="398" spans="2:8" x14ac:dyDescent="0.35">
      <c r="B398" s="15"/>
      <c r="C398" s="15"/>
      <c r="D398" s="15"/>
      <c r="E398" s="15"/>
      <c r="F398" s="15"/>
      <c r="G398" s="15"/>
      <c r="H398" s="15"/>
    </row>
    <row r="399" spans="2:8" x14ac:dyDescent="0.35">
      <c r="B399" s="15"/>
      <c r="C399" s="15"/>
      <c r="D399" s="15"/>
      <c r="E399" s="15"/>
      <c r="F399" s="15"/>
      <c r="G399" s="15"/>
      <c r="H399" s="15"/>
    </row>
    <row r="400" spans="2:8" x14ac:dyDescent="0.35">
      <c r="B400" s="15"/>
      <c r="C400" s="15"/>
      <c r="D400" s="15"/>
      <c r="E400" s="15"/>
      <c r="F400" s="15"/>
      <c r="G400" s="15"/>
      <c r="H400" s="15"/>
    </row>
    <row r="401" spans="2:8" x14ac:dyDescent="0.35">
      <c r="B401" s="15"/>
      <c r="C401" s="15"/>
      <c r="D401" s="15"/>
      <c r="E401" s="15"/>
      <c r="F401" s="15"/>
      <c r="G401" s="15"/>
      <c r="H401" s="15"/>
    </row>
    <row r="402" spans="2:8" x14ac:dyDescent="0.35">
      <c r="B402" s="15"/>
      <c r="C402" s="15"/>
      <c r="D402" s="15"/>
      <c r="E402" s="15"/>
      <c r="F402" s="15"/>
      <c r="G402" s="15"/>
      <c r="H402" s="15"/>
    </row>
    <row r="403" spans="2:8" x14ac:dyDescent="0.35">
      <c r="B403" s="15"/>
      <c r="C403" s="15"/>
      <c r="D403" s="15"/>
      <c r="E403" s="15"/>
      <c r="F403" s="15"/>
      <c r="G403" s="15"/>
      <c r="H403" s="15"/>
    </row>
    <row r="404" spans="2:8" x14ac:dyDescent="0.35">
      <c r="B404" s="15"/>
      <c r="C404" s="15"/>
      <c r="D404" s="15"/>
      <c r="E404" s="15"/>
      <c r="F404" s="15"/>
      <c r="G404" s="15"/>
      <c r="H404" s="15"/>
    </row>
    <row r="405" spans="2:8" x14ac:dyDescent="0.35">
      <c r="B405" s="15"/>
      <c r="C405" s="15"/>
      <c r="D405" s="15"/>
      <c r="E405" s="15"/>
      <c r="F405" s="15"/>
      <c r="G405" s="15"/>
      <c r="H405" s="15"/>
    </row>
    <row r="406" spans="2:8" x14ac:dyDescent="0.35">
      <c r="B406" s="15"/>
      <c r="C406" s="15"/>
      <c r="D406" s="15"/>
      <c r="E406" s="15"/>
      <c r="F406" s="15"/>
      <c r="G406" s="15"/>
      <c r="H406" s="15"/>
    </row>
    <row r="407" spans="2:8" x14ac:dyDescent="0.35">
      <c r="B407" s="15"/>
      <c r="C407" s="15"/>
      <c r="D407" s="15"/>
      <c r="E407" s="15"/>
      <c r="F407" s="15"/>
      <c r="G407" s="15"/>
      <c r="H407" s="15"/>
    </row>
    <row r="408" spans="2:8" x14ac:dyDescent="0.35">
      <c r="B408" s="15"/>
      <c r="C408" s="15"/>
      <c r="D408" s="15"/>
      <c r="E408" s="15"/>
      <c r="F408" s="15"/>
      <c r="G408" s="15"/>
      <c r="H408" s="15"/>
    </row>
    <row r="409" spans="2:8" x14ac:dyDescent="0.35">
      <c r="B409" s="15"/>
      <c r="C409" s="15"/>
      <c r="D409" s="15"/>
      <c r="E409" s="15"/>
      <c r="F409" s="15"/>
      <c r="G409" s="15"/>
      <c r="H409" s="15"/>
    </row>
    <row r="410" spans="2:8" x14ac:dyDescent="0.35">
      <c r="B410" s="15"/>
      <c r="C410" s="15"/>
      <c r="D410" s="15"/>
      <c r="E410" s="15"/>
      <c r="F410" s="15"/>
      <c r="G410" s="15"/>
      <c r="H410" s="15"/>
    </row>
    <row r="411" spans="2:8" x14ac:dyDescent="0.35">
      <c r="B411" s="15"/>
      <c r="C411" s="15"/>
      <c r="D411" s="15"/>
      <c r="E411" s="15"/>
      <c r="F411" s="15"/>
      <c r="G411" s="15"/>
      <c r="H411" s="15"/>
    </row>
    <row r="412" spans="2:8" x14ac:dyDescent="0.35">
      <c r="B412" s="15"/>
      <c r="C412" s="15"/>
      <c r="D412" s="15"/>
      <c r="E412" s="15"/>
      <c r="F412" s="15"/>
      <c r="G412" s="15"/>
      <c r="H412" s="15"/>
    </row>
    <row r="413" spans="2:8" x14ac:dyDescent="0.35">
      <c r="B413" s="15"/>
      <c r="C413" s="15"/>
      <c r="D413" s="15"/>
      <c r="E413" s="15"/>
      <c r="F413" s="15"/>
      <c r="G413" s="15"/>
      <c r="H413" s="15"/>
    </row>
    <row r="414" spans="2:8" x14ac:dyDescent="0.35">
      <c r="B414" s="15"/>
      <c r="C414" s="15"/>
      <c r="D414" s="15"/>
      <c r="E414" s="15"/>
      <c r="F414" s="15"/>
      <c r="G414" s="15"/>
      <c r="H414" s="15"/>
    </row>
    <row r="415" spans="2:8" x14ac:dyDescent="0.35">
      <c r="B415" s="15"/>
      <c r="C415" s="15"/>
      <c r="D415" s="15"/>
      <c r="E415" s="15"/>
      <c r="F415" s="15"/>
      <c r="G415" s="15"/>
      <c r="H415" s="15"/>
    </row>
    <row r="416" spans="2:8" x14ac:dyDescent="0.35">
      <c r="B416" s="15"/>
      <c r="C416" s="15"/>
      <c r="D416" s="15"/>
      <c r="E416" s="15"/>
      <c r="F416" s="15"/>
      <c r="G416" s="15"/>
      <c r="H416" s="15"/>
    </row>
    <row r="417" spans="2:8" x14ac:dyDescent="0.35">
      <c r="B417" s="15"/>
      <c r="C417" s="15"/>
      <c r="D417" s="15"/>
      <c r="E417" s="15"/>
      <c r="F417" s="15"/>
      <c r="G417" s="15"/>
      <c r="H417" s="15"/>
    </row>
    <row r="418" spans="2:8" x14ac:dyDescent="0.35">
      <c r="B418" s="15"/>
      <c r="C418" s="15"/>
      <c r="D418" s="15"/>
      <c r="E418" s="15"/>
      <c r="F418" s="15"/>
      <c r="G418" s="15"/>
      <c r="H418" s="15"/>
    </row>
    <row r="419" spans="2:8" x14ac:dyDescent="0.35">
      <c r="B419" s="15"/>
      <c r="C419" s="15"/>
      <c r="D419" s="15"/>
      <c r="E419" s="15"/>
      <c r="F419" s="15"/>
      <c r="G419" s="15"/>
      <c r="H419" s="15"/>
    </row>
    <row r="420" spans="2:8" x14ac:dyDescent="0.35">
      <c r="B420" s="15"/>
      <c r="C420" s="15"/>
      <c r="D420" s="15"/>
      <c r="E420" s="15"/>
      <c r="F420" s="15"/>
      <c r="G420" s="15"/>
      <c r="H420" s="15"/>
    </row>
    <row r="421" spans="2:8" x14ac:dyDescent="0.35">
      <c r="B421" s="15"/>
      <c r="C421" s="15"/>
      <c r="D421" s="15"/>
      <c r="E421" s="15"/>
      <c r="F421" s="15"/>
      <c r="G421" s="15"/>
      <c r="H421" s="15"/>
    </row>
    <row r="422" spans="2:8" x14ac:dyDescent="0.35">
      <c r="B422" s="15"/>
      <c r="C422" s="15"/>
      <c r="D422" s="15"/>
      <c r="E422" s="15"/>
      <c r="F422" s="15"/>
      <c r="G422" s="15"/>
      <c r="H422" s="15"/>
    </row>
    <row r="423" spans="2:8" x14ac:dyDescent="0.35">
      <c r="B423" s="15"/>
      <c r="C423" s="15"/>
      <c r="D423" s="15"/>
      <c r="E423" s="15"/>
      <c r="F423" s="15"/>
      <c r="G423" s="15"/>
      <c r="H423" s="15"/>
    </row>
    <row r="424" spans="2:8" x14ac:dyDescent="0.35">
      <c r="B424" s="15"/>
      <c r="C424" s="15"/>
      <c r="D424" s="15"/>
      <c r="E424" s="15"/>
      <c r="F424" s="15"/>
      <c r="G424" s="15"/>
      <c r="H424" s="15"/>
    </row>
    <row r="425" spans="2:8" x14ac:dyDescent="0.35">
      <c r="B425" s="15"/>
      <c r="C425" s="15"/>
      <c r="D425" s="15"/>
      <c r="E425" s="15"/>
      <c r="F425" s="15"/>
      <c r="G425" s="15"/>
      <c r="H425" s="15"/>
    </row>
    <row r="426" spans="2:8" x14ac:dyDescent="0.35">
      <c r="B426" s="15"/>
      <c r="C426" s="15"/>
      <c r="D426" s="15"/>
      <c r="E426" s="15"/>
      <c r="F426" s="15"/>
      <c r="G426" s="15"/>
      <c r="H426" s="15"/>
    </row>
    <row r="427" spans="2:8" x14ac:dyDescent="0.35">
      <c r="B427" s="15"/>
      <c r="C427" s="15"/>
      <c r="D427" s="15"/>
      <c r="E427" s="15"/>
      <c r="F427" s="15"/>
      <c r="G427" s="15"/>
      <c r="H427" s="15"/>
    </row>
    <row r="428" spans="2:8" x14ac:dyDescent="0.35">
      <c r="B428" s="15"/>
      <c r="C428" s="15"/>
      <c r="D428" s="15"/>
      <c r="E428" s="15"/>
      <c r="F428" s="15"/>
      <c r="G428" s="15"/>
      <c r="H428" s="15"/>
    </row>
    <row r="429" spans="2:8" x14ac:dyDescent="0.35">
      <c r="B429" s="15"/>
      <c r="C429" s="15"/>
      <c r="D429" s="15"/>
      <c r="E429" s="15"/>
      <c r="F429" s="15"/>
      <c r="G429" s="15"/>
      <c r="H429" s="15"/>
    </row>
    <row r="430" spans="2:8" x14ac:dyDescent="0.35">
      <c r="B430" s="15"/>
      <c r="C430" s="15"/>
      <c r="D430" s="15"/>
      <c r="E430" s="15"/>
      <c r="F430" s="15"/>
      <c r="G430" s="15"/>
      <c r="H430" s="15"/>
    </row>
    <row r="431" spans="2:8" x14ac:dyDescent="0.35">
      <c r="B431" s="15"/>
      <c r="C431" s="15"/>
      <c r="D431" s="15"/>
      <c r="E431" s="15"/>
      <c r="F431" s="15"/>
      <c r="G431" s="15"/>
      <c r="H431" s="15"/>
    </row>
    <row r="432" spans="2:8" x14ac:dyDescent="0.35">
      <c r="B432" s="15"/>
      <c r="C432" s="15"/>
      <c r="D432" s="15"/>
      <c r="E432" s="15"/>
      <c r="F432" s="15"/>
      <c r="G432" s="15"/>
      <c r="H432" s="15"/>
    </row>
    <row r="433" spans="2:8" x14ac:dyDescent="0.35">
      <c r="B433" s="15"/>
      <c r="C433" s="15"/>
      <c r="D433" s="15"/>
      <c r="E433" s="15"/>
      <c r="F433" s="15"/>
      <c r="G433" s="15"/>
      <c r="H433" s="15"/>
    </row>
    <row r="434" spans="2:8" x14ac:dyDescent="0.35">
      <c r="B434" s="15"/>
      <c r="C434" s="15"/>
      <c r="D434" s="15"/>
      <c r="E434" s="15"/>
      <c r="F434" s="15"/>
      <c r="G434" s="15"/>
      <c r="H434" s="15"/>
    </row>
    <row r="435" spans="2:8" x14ac:dyDescent="0.35">
      <c r="B435" s="15"/>
      <c r="C435" s="15"/>
      <c r="D435" s="15"/>
      <c r="E435" s="15"/>
      <c r="F435" s="15"/>
      <c r="G435" s="15"/>
      <c r="H435" s="15"/>
    </row>
    <row r="436" spans="2:8" x14ac:dyDescent="0.35">
      <c r="B436" s="15"/>
      <c r="C436" s="15"/>
      <c r="D436" s="15"/>
      <c r="E436" s="15"/>
      <c r="F436" s="15"/>
      <c r="G436" s="15"/>
      <c r="H436" s="15"/>
    </row>
    <row r="437" spans="2:8" x14ac:dyDescent="0.35">
      <c r="B437" s="15"/>
      <c r="C437" s="15"/>
      <c r="D437" s="15"/>
      <c r="E437" s="15"/>
      <c r="F437" s="15"/>
      <c r="G437" s="15"/>
      <c r="H437" s="15"/>
    </row>
    <row r="438" spans="2:8" x14ac:dyDescent="0.35">
      <c r="B438" s="15"/>
      <c r="C438" s="15"/>
      <c r="D438" s="15"/>
      <c r="E438" s="15"/>
      <c r="F438" s="15"/>
      <c r="G438" s="15"/>
      <c r="H438" s="15"/>
    </row>
    <row r="439" spans="2:8" x14ac:dyDescent="0.35">
      <c r="B439" s="15"/>
      <c r="C439" s="15"/>
      <c r="D439" s="15"/>
      <c r="E439" s="15"/>
      <c r="F439" s="15"/>
      <c r="G439" s="15"/>
      <c r="H439" s="15"/>
    </row>
    <row r="440" spans="2:8" x14ac:dyDescent="0.35">
      <c r="B440" s="15"/>
      <c r="C440" s="15"/>
      <c r="D440" s="15"/>
      <c r="E440" s="15"/>
      <c r="F440" s="15"/>
      <c r="G440" s="15"/>
      <c r="H440" s="15"/>
    </row>
    <row r="441" spans="2:8" x14ac:dyDescent="0.35">
      <c r="B441" s="15"/>
      <c r="C441" s="15"/>
      <c r="D441" s="15"/>
      <c r="E441" s="15"/>
      <c r="F441" s="15"/>
      <c r="G441" s="15"/>
      <c r="H441" s="15"/>
    </row>
    <row r="442" spans="2:8" x14ac:dyDescent="0.35">
      <c r="B442" s="15"/>
      <c r="C442" s="15"/>
      <c r="D442" s="15"/>
      <c r="E442" s="15"/>
      <c r="F442" s="15"/>
      <c r="G442" s="15"/>
      <c r="H442" s="15"/>
    </row>
    <row r="443" spans="2:8" x14ac:dyDescent="0.35">
      <c r="B443" s="15"/>
      <c r="C443" s="15"/>
      <c r="D443" s="15"/>
      <c r="E443" s="15"/>
      <c r="F443" s="15"/>
      <c r="G443" s="15"/>
      <c r="H443" s="15"/>
    </row>
    <row r="444" spans="2:8" x14ac:dyDescent="0.35">
      <c r="B444" s="15"/>
      <c r="C444" s="15"/>
      <c r="D444" s="15"/>
      <c r="E444" s="15"/>
      <c r="F444" s="15"/>
      <c r="G444" s="15"/>
      <c r="H444" s="15"/>
    </row>
    <row r="445" spans="2:8" x14ac:dyDescent="0.35">
      <c r="B445" s="15"/>
      <c r="C445" s="15"/>
      <c r="D445" s="15"/>
      <c r="E445" s="15"/>
      <c r="F445" s="15"/>
      <c r="G445" s="15"/>
      <c r="H445" s="15"/>
    </row>
    <row r="446" spans="2:8" x14ac:dyDescent="0.35">
      <c r="B446" s="15"/>
      <c r="C446" s="15"/>
      <c r="D446" s="15"/>
      <c r="E446" s="15"/>
      <c r="F446" s="15"/>
      <c r="G446" s="15"/>
      <c r="H446" s="15"/>
    </row>
    <row r="447" spans="2:8" x14ac:dyDescent="0.35">
      <c r="B447" s="15"/>
      <c r="C447" s="15"/>
      <c r="D447" s="15"/>
      <c r="E447" s="15"/>
      <c r="F447" s="15"/>
      <c r="G447" s="15"/>
      <c r="H447" s="15"/>
    </row>
    <row r="448" spans="2:8" x14ac:dyDescent="0.35">
      <c r="B448" s="15"/>
      <c r="C448" s="15"/>
      <c r="D448" s="15"/>
      <c r="E448" s="15"/>
      <c r="F448" s="15"/>
      <c r="G448" s="15"/>
      <c r="H448" s="15"/>
    </row>
    <row r="449" spans="2:8" x14ac:dyDescent="0.35">
      <c r="B449" s="15"/>
      <c r="C449" s="15"/>
      <c r="D449" s="15"/>
      <c r="E449" s="15"/>
      <c r="F449" s="15"/>
      <c r="G449" s="15"/>
      <c r="H449" s="15"/>
    </row>
    <row r="450" spans="2:8" x14ac:dyDescent="0.35">
      <c r="B450" s="15"/>
      <c r="C450" s="15"/>
      <c r="D450" s="15"/>
      <c r="E450" s="15"/>
      <c r="F450" s="15"/>
      <c r="G450" s="15"/>
      <c r="H450" s="15"/>
    </row>
    <row r="451" spans="2:8" x14ac:dyDescent="0.35">
      <c r="B451" s="15"/>
      <c r="C451" s="15"/>
      <c r="D451" s="15"/>
      <c r="E451" s="15"/>
      <c r="F451" s="15"/>
      <c r="G451" s="15"/>
      <c r="H451" s="15"/>
    </row>
    <row r="452" spans="2:8" x14ac:dyDescent="0.35">
      <c r="B452" s="15"/>
      <c r="C452" s="15"/>
      <c r="D452" s="15"/>
      <c r="E452" s="15"/>
      <c r="F452" s="15"/>
      <c r="G452" s="15"/>
      <c r="H452" s="15"/>
    </row>
    <row r="453" spans="2:8" x14ac:dyDescent="0.35">
      <c r="B453" s="15"/>
      <c r="C453" s="15"/>
      <c r="D453" s="15"/>
      <c r="E453" s="15"/>
      <c r="F453" s="15"/>
      <c r="G453" s="15"/>
      <c r="H453" s="15"/>
    </row>
    <row r="454" spans="2:8" x14ac:dyDescent="0.35">
      <c r="B454" s="15"/>
      <c r="C454" s="15"/>
      <c r="D454" s="15"/>
      <c r="E454" s="15"/>
      <c r="F454" s="15"/>
      <c r="G454" s="15"/>
      <c r="H454" s="15"/>
    </row>
    <row r="455" spans="2:8" x14ac:dyDescent="0.35">
      <c r="B455" s="15"/>
      <c r="C455" s="15"/>
      <c r="D455" s="15"/>
      <c r="E455" s="15"/>
      <c r="F455" s="15"/>
      <c r="G455" s="15"/>
      <c r="H455" s="15"/>
    </row>
    <row r="456" spans="2:8" x14ac:dyDescent="0.35">
      <c r="B456" s="15"/>
      <c r="C456" s="15"/>
      <c r="D456" s="15"/>
      <c r="E456" s="15"/>
      <c r="F456" s="15"/>
      <c r="G456" s="15"/>
      <c r="H456" s="15"/>
    </row>
    <row r="457" spans="2:8" x14ac:dyDescent="0.35">
      <c r="B457" s="15"/>
      <c r="C457" s="15"/>
      <c r="D457" s="15"/>
      <c r="E457" s="15"/>
      <c r="F457" s="15"/>
      <c r="G457" s="15"/>
      <c r="H457" s="15"/>
    </row>
    <row r="458" spans="2:8" x14ac:dyDescent="0.35">
      <c r="B458" s="15"/>
      <c r="C458" s="15"/>
      <c r="D458" s="15"/>
      <c r="E458" s="15"/>
      <c r="F458" s="15"/>
      <c r="G458" s="15"/>
      <c r="H458" s="15"/>
    </row>
    <row r="459" spans="2:8" x14ac:dyDescent="0.35">
      <c r="B459" s="15"/>
      <c r="C459" s="15"/>
      <c r="D459" s="15"/>
      <c r="E459" s="15"/>
      <c r="F459" s="15"/>
      <c r="G459" s="15"/>
      <c r="H459" s="15"/>
    </row>
    <row r="460" spans="2:8" x14ac:dyDescent="0.35">
      <c r="B460" s="15"/>
      <c r="C460" s="15"/>
      <c r="D460" s="15"/>
      <c r="E460" s="15"/>
      <c r="F460" s="15"/>
      <c r="G460" s="15"/>
      <c r="H460" s="15"/>
    </row>
    <row r="461" spans="2:8" x14ac:dyDescent="0.35">
      <c r="B461" s="15"/>
      <c r="C461" s="15"/>
      <c r="D461" s="15"/>
      <c r="E461" s="15"/>
      <c r="F461" s="15"/>
      <c r="G461" s="15"/>
      <c r="H461" s="15"/>
    </row>
    <row r="462" spans="2:8" x14ac:dyDescent="0.35">
      <c r="B462" s="15"/>
      <c r="C462" s="15"/>
      <c r="D462" s="15"/>
      <c r="E462" s="15"/>
      <c r="F462" s="15"/>
      <c r="G462" s="15"/>
      <c r="H462" s="15"/>
    </row>
    <row r="463" spans="2:8" x14ac:dyDescent="0.35">
      <c r="B463" s="15"/>
      <c r="C463" s="15"/>
      <c r="D463" s="15"/>
      <c r="E463" s="15"/>
      <c r="F463" s="15"/>
      <c r="G463" s="15"/>
      <c r="H463" s="15"/>
    </row>
    <row r="464" spans="2:8" x14ac:dyDescent="0.35">
      <c r="B464" s="15"/>
      <c r="C464" s="15"/>
      <c r="D464" s="15"/>
      <c r="E464" s="15"/>
      <c r="F464" s="15"/>
      <c r="G464" s="15"/>
      <c r="H464" s="15"/>
    </row>
    <row r="465" spans="2:8" x14ac:dyDescent="0.35">
      <c r="B465" s="15"/>
      <c r="C465" s="15"/>
      <c r="D465" s="15"/>
      <c r="E465" s="15"/>
      <c r="F465" s="15"/>
      <c r="G465" s="15"/>
      <c r="H465" s="15"/>
    </row>
    <row r="466" spans="2:8" x14ac:dyDescent="0.35">
      <c r="B466" s="15"/>
      <c r="C466" s="15"/>
      <c r="D466" s="15"/>
      <c r="E466" s="15"/>
      <c r="F466" s="15"/>
      <c r="G466" s="15"/>
      <c r="H466" s="15"/>
    </row>
    <row r="467" spans="2:8" x14ac:dyDescent="0.35">
      <c r="B467" s="15"/>
      <c r="C467" s="15"/>
      <c r="D467" s="15"/>
      <c r="E467" s="15"/>
      <c r="F467" s="15"/>
      <c r="G467" s="15"/>
      <c r="H467" s="15"/>
    </row>
    <row r="468" spans="2:8" x14ac:dyDescent="0.35">
      <c r="B468" s="15"/>
      <c r="C468" s="15"/>
      <c r="D468" s="15"/>
      <c r="E468" s="15"/>
      <c r="F468" s="15"/>
      <c r="G468" s="15"/>
      <c r="H468" s="15"/>
    </row>
    <row r="469" spans="2:8" x14ac:dyDescent="0.35">
      <c r="B469" s="15"/>
      <c r="C469" s="15"/>
      <c r="D469" s="15"/>
      <c r="E469" s="15"/>
      <c r="F469" s="15"/>
      <c r="G469" s="15"/>
      <c r="H469" s="15"/>
    </row>
    <row r="470" spans="2:8" x14ac:dyDescent="0.35">
      <c r="B470" s="15"/>
      <c r="C470" s="15"/>
      <c r="D470" s="15"/>
      <c r="E470" s="15"/>
      <c r="F470" s="15"/>
      <c r="G470" s="15"/>
      <c r="H470" s="15"/>
    </row>
    <row r="471" spans="2:8" x14ac:dyDescent="0.35">
      <c r="B471" s="15"/>
      <c r="C471" s="15"/>
      <c r="D471" s="15"/>
      <c r="E471" s="15"/>
      <c r="F471" s="15"/>
      <c r="G471" s="15"/>
      <c r="H471" s="15"/>
    </row>
    <row r="472" spans="2:8" x14ac:dyDescent="0.35">
      <c r="B472" s="15"/>
      <c r="C472" s="15"/>
      <c r="D472" s="15"/>
      <c r="E472" s="15"/>
      <c r="F472" s="15"/>
      <c r="G472" s="15"/>
      <c r="H472" s="15"/>
    </row>
    <row r="473" spans="2:8" x14ac:dyDescent="0.35">
      <c r="B473" s="15"/>
      <c r="C473" s="15"/>
      <c r="D473" s="15"/>
      <c r="E473" s="15"/>
      <c r="F473" s="15"/>
      <c r="G473" s="15"/>
      <c r="H473" s="15"/>
    </row>
    <row r="474" spans="2:8" x14ac:dyDescent="0.35">
      <c r="B474" s="15"/>
      <c r="C474" s="15"/>
      <c r="D474" s="15"/>
      <c r="E474" s="15"/>
      <c r="F474" s="15"/>
      <c r="G474" s="15"/>
      <c r="H474" s="15"/>
    </row>
    <row r="475" spans="2:8" x14ac:dyDescent="0.35">
      <c r="B475" s="15"/>
      <c r="C475" s="15"/>
      <c r="D475" s="15"/>
      <c r="E475" s="15"/>
      <c r="F475" s="15"/>
      <c r="G475" s="15"/>
      <c r="H475" s="15"/>
    </row>
    <row r="476" spans="2:8" x14ac:dyDescent="0.35">
      <c r="B476" s="15"/>
      <c r="C476" s="15"/>
      <c r="D476" s="15"/>
      <c r="E476" s="15"/>
      <c r="F476" s="15"/>
      <c r="G476" s="15"/>
      <c r="H476" s="15"/>
    </row>
    <row r="477" spans="2:8" x14ac:dyDescent="0.35">
      <c r="B477" s="15"/>
      <c r="C477" s="15"/>
      <c r="D477" s="15"/>
      <c r="E477" s="15"/>
      <c r="F477" s="15"/>
      <c r="G477" s="15"/>
      <c r="H477" s="15"/>
    </row>
    <row r="478" spans="2:8" x14ac:dyDescent="0.35">
      <c r="B478" s="15"/>
      <c r="C478" s="15"/>
      <c r="D478" s="15"/>
      <c r="E478" s="15"/>
      <c r="F478" s="15"/>
      <c r="G478" s="15"/>
      <c r="H478" s="15"/>
    </row>
    <row r="479" spans="2:8" x14ac:dyDescent="0.35">
      <c r="B479" s="15"/>
      <c r="C479" s="15"/>
      <c r="D479" s="15"/>
      <c r="E479" s="15"/>
      <c r="F479" s="15"/>
      <c r="G479" s="15"/>
      <c r="H479" s="15"/>
    </row>
    <row r="480" spans="2:8" x14ac:dyDescent="0.35">
      <c r="B480" s="15"/>
      <c r="C480" s="15"/>
      <c r="D480" s="15"/>
      <c r="E480" s="15"/>
      <c r="F480" s="15"/>
      <c r="G480" s="15"/>
      <c r="H480" s="15"/>
    </row>
    <row r="481" spans="2:8" x14ac:dyDescent="0.35">
      <c r="B481" s="15"/>
      <c r="C481" s="15"/>
      <c r="D481" s="15"/>
      <c r="E481" s="15"/>
      <c r="F481" s="15"/>
      <c r="G481" s="15"/>
      <c r="H481" s="15"/>
    </row>
    <row r="482" spans="2:8" x14ac:dyDescent="0.35">
      <c r="B482" s="15"/>
      <c r="C482" s="15"/>
      <c r="D482" s="15"/>
      <c r="E482" s="15"/>
      <c r="F482" s="15"/>
      <c r="G482" s="15"/>
      <c r="H482" s="15"/>
    </row>
    <row r="483" spans="2:8" x14ac:dyDescent="0.35">
      <c r="B483" s="15"/>
      <c r="C483" s="15"/>
      <c r="D483" s="15"/>
      <c r="E483" s="15"/>
      <c r="F483" s="15"/>
      <c r="G483" s="15"/>
      <c r="H483" s="15"/>
    </row>
    <row r="484" spans="2:8" x14ac:dyDescent="0.35">
      <c r="B484" s="15"/>
      <c r="C484" s="15"/>
      <c r="D484" s="15"/>
      <c r="E484" s="15"/>
      <c r="F484" s="15"/>
      <c r="G484" s="15"/>
      <c r="H484" s="15"/>
    </row>
    <row r="485" spans="2:8" x14ac:dyDescent="0.35">
      <c r="B485" s="15"/>
      <c r="C485" s="15"/>
      <c r="D485" s="15"/>
      <c r="E485" s="15"/>
      <c r="F485" s="15"/>
      <c r="G485" s="15"/>
      <c r="H485" s="15"/>
    </row>
    <row r="486" spans="2:8" x14ac:dyDescent="0.35">
      <c r="B486" s="15"/>
      <c r="C486" s="15"/>
      <c r="D486" s="15"/>
      <c r="E486" s="15"/>
      <c r="F486" s="15"/>
      <c r="G486" s="15"/>
      <c r="H486" s="15"/>
    </row>
    <row r="487" spans="2:8" x14ac:dyDescent="0.35">
      <c r="B487" s="15"/>
      <c r="C487" s="15"/>
      <c r="D487" s="15"/>
      <c r="E487" s="15"/>
      <c r="F487" s="15"/>
      <c r="G487" s="15"/>
      <c r="H487" s="15"/>
    </row>
    <row r="488" spans="2:8" x14ac:dyDescent="0.35">
      <c r="B488" s="15"/>
      <c r="C488" s="15"/>
      <c r="D488" s="15"/>
      <c r="E488" s="15"/>
      <c r="F488" s="15"/>
      <c r="G488" s="15"/>
      <c r="H488" s="15"/>
    </row>
    <row r="489" spans="2:8" x14ac:dyDescent="0.35">
      <c r="B489" s="15"/>
      <c r="C489" s="15"/>
      <c r="D489" s="15"/>
      <c r="E489" s="15"/>
      <c r="F489" s="15"/>
      <c r="G489" s="15"/>
      <c r="H489" s="15"/>
    </row>
    <row r="490" spans="2:8" x14ac:dyDescent="0.35">
      <c r="B490" s="15"/>
      <c r="C490" s="15"/>
      <c r="D490" s="15"/>
      <c r="E490" s="15"/>
      <c r="F490" s="15"/>
      <c r="G490" s="15"/>
      <c r="H490" s="15"/>
    </row>
    <row r="491" spans="2:8" x14ac:dyDescent="0.35">
      <c r="B491" s="15"/>
      <c r="C491" s="15"/>
      <c r="D491" s="15"/>
      <c r="E491" s="15"/>
      <c r="F491" s="15"/>
      <c r="G491" s="15"/>
      <c r="H491" s="15"/>
    </row>
    <row r="492" spans="2:8" x14ac:dyDescent="0.35">
      <c r="B492" s="15"/>
      <c r="C492" s="15"/>
      <c r="D492" s="15"/>
      <c r="E492" s="15"/>
      <c r="F492" s="15"/>
      <c r="G492" s="15"/>
      <c r="H492" s="15"/>
    </row>
    <row r="493" spans="2:8" x14ac:dyDescent="0.35">
      <c r="B493" s="15"/>
      <c r="C493" s="15"/>
      <c r="D493" s="15"/>
      <c r="E493" s="15"/>
      <c r="F493" s="15"/>
      <c r="G493" s="15"/>
      <c r="H493" s="15"/>
    </row>
    <row r="494" spans="2:8" x14ac:dyDescent="0.35">
      <c r="B494" s="15"/>
      <c r="C494" s="15"/>
      <c r="D494" s="15"/>
      <c r="E494" s="15"/>
      <c r="F494" s="15"/>
      <c r="G494" s="15"/>
      <c r="H494" s="15"/>
    </row>
    <row r="495" spans="2:8" x14ac:dyDescent="0.35">
      <c r="B495" s="15"/>
      <c r="C495" s="15"/>
      <c r="D495" s="15"/>
      <c r="E495" s="15"/>
      <c r="F495" s="15"/>
      <c r="G495" s="15"/>
      <c r="H495" s="15"/>
    </row>
    <row r="496" spans="2:8" x14ac:dyDescent="0.35">
      <c r="B496" s="15"/>
      <c r="C496" s="15"/>
      <c r="D496" s="15"/>
      <c r="E496" s="15"/>
      <c r="F496" s="15"/>
      <c r="G496" s="15"/>
      <c r="H496" s="15"/>
    </row>
    <row r="497" spans="2:8" x14ac:dyDescent="0.35">
      <c r="B497" s="15"/>
      <c r="C497" s="15"/>
      <c r="D497" s="15"/>
      <c r="E497" s="15"/>
      <c r="F497" s="15"/>
      <c r="G497" s="15"/>
      <c r="H497" s="15"/>
    </row>
    <row r="498" spans="2:8" x14ac:dyDescent="0.35">
      <c r="B498" s="15"/>
      <c r="C498" s="15"/>
      <c r="D498" s="15"/>
      <c r="E498" s="15"/>
      <c r="F498" s="15"/>
      <c r="G498" s="15"/>
      <c r="H498" s="15"/>
    </row>
    <row r="499" spans="2:8" x14ac:dyDescent="0.35">
      <c r="B499" s="15"/>
      <c r="C499" s="15"/>
      <c r="D499" s="15"/>
      <c r="E499" s="15"/>
      <c r="F499" s="15"/>
      <c r="G499" s="15"/>
      <c r="H499" s="15"/>
    </row>
    <row r="500" spans="2:8" x14ac:dyDescent="0.35">
      <c r="B500" s="15"/>
      <c r="C500" s="15"/>
      <c r="D500" s="15"/>
      <c r="E500" s="15"/>
      <c r="F500" s="15"/>
      <c r="G500" s="15"/>
      <c r="H500" s="15"/>
    </row>
    <row r="501" spans="2:8" x14ac:dyDescent="0.35">
      <c r="B501" s="15"/>
      <c r="C501" s="15"/>
      <c r="D501" s="15"/>
      <c r="E501" s="15"/>
      <c r="F501" s="15"/>
      <c r="G501" s="15"/>
      <c r="H501" s="15"/>
    </row>
    <row r="502" spans="2:8" x14ac:dyDescent="0.35">
      <c r="B502" s="15"/>
      <c r="C502" s="15"/>
      <c r="D502" s="15"/>
      <c r="E502" s="15"/>
      <c r="F502" s="15"/>
      <c r="G502" s="15"/>
      <c r="H502" s="15"/>
    </row>
    <row r="503" spans="2:8" x14ac:dyDescent="0.35">
      <c r="B503" s="15"/>
      <c r="C503" s="15"/>
      <c r="D503" s="15"/>
      <c r="E503" s="15"/>
      <c r="F503" s="15"/>
      <c r="G503" s="15"/>
      <c r="H503" s="15"/>
    </row>
    <row r="504" spans="2:8" x14ac:dyDescent="0.35">
      <c r="B504" s="15"/>
      <c r="C504" s="15"/>
      <c r="D504" s="15"/>
      <c r="E504" s="15"/>
      <c r="F504" s="15"/>
      <c r="G504" s="15"/>
      <c r="H504" s="15"/>
    </row>
    <row r="505" spans="2:8" x14ac:dyDescent="0.35">
      <c r="B505" s="15"/>
      <c r="C505" s="15"/>
      <c r="D505" s="15"/>
      <c r="E505" s="15"/>
      <c r="F505" s="15"/>
      <c r="G505" s="15"/>
      <c r="H505" s="15"/>
    </row>
    <row r="506" spans="2:8" x14ac:dyDescent="0.35">
      <c r="B506" s="15"/>
      <c r="C506" s="15"/>
      <c r="D506" s="15"/>
      <c r="E506" s="15"/>
      <c r="F506" s="15"/>
      <c r="G506" s="15"/>
      <c r="H506" s="15"/>
    </row>
    <row r="507" spans="2:8" x14ac:dyDescent="0.35">
      <c r="B507" s="15"/>
      <c r="C507" s="15"/>
      <c r="D507" s="15"/>
      <c r="E507" s="15"/>
      <c r="F507" s="15"/>
      <c r="G507" s="15"/>
      <c r="H507" s="15"/>
    </row>
    <row r="508" spans="2:8" x14ac:dyDescent="0.35">
      <c r="B508" s="15"/>
      <c r="C508" s="15"/>
      <c r="D508" s="15"/>
      <c r="E508" s="15"/>
      <c r="F508" s="15"/>
      <c r="G508" s="15"/>
      <c r="H508" s="15"/>
    </row>
    <row r="509" spans="2:8" x14ac:dyDescent="0.35">
      <c r="B509" s="15"/>
      <c r="C509" s="15"/>
      <c r="D509" s="15"/>
      <c r="E509" s="15"/>
      <c r="F509" s="15"/>
      <c r="G509" s="15"/>
      <c r="H509" s="15"/>
    </row>
    <row r="510" spans="2:8" x14ac:dyDescent="0.35">
      <c r="B510" s="15"/>
      <c r="C510" s="15"/>
      <c r="D510" s="15"/>
      <c r="E510" s="15"/>
      <c r="F510" s="15"/>
      <c r="G510" s="15"/>
      <c r="H510" s="15"/>
    </row>
    <row r="511" spans="2:8" x14ac:dyDescent="0.35">
      <c r="B511" s="15"/>
      <c r="C511" s="15"/>
      <c r="D511" s="15"/>
      <c r="E511" s="15"/>
      <c r="F511" s="15"/>
      <c r="G511" s="15"/>
      <c r="H511" s="15"/>
    </row>
    <row r="512" spans="2:8" x14ac:dyDescent="0.35">
      <c r="B512" s="15"/>
      <c r="C512" s="15"/>
      <c r="D512" s="15"/>
      <c r="E512" s="15"/>
      <c r="F512" s="15"/>
      <c r="G512" s="15"/>
      <c r="H512" s="15"/>
    </row>
    <row r="513" spans="2:8" x14ac:dyDescent="0.35">
      <c r="B513" s="15"/>
      <c r="C513" s="15"/>
      <c r="D513" s="15"/>
      <c r="E513" s="15"/>
      <c r="F513" s="15"/>
      <c r="G513" s="15"/>
      <c r="H513" s="15"/>
    </row>
    <row r="514" spans="2:8" x14ac:dyDescent="0.35">
      <c r="B514" s="15"/>
      <c r="C514" s="15"/>
      <c r="D514" s="15"/>
      <c r="E514" s="15"/>
      <c r="F514" s="15"/>
      <c r="G514" s="15"/>
      <c r="H514" s="15"/>
    </row>
    <row r="515" spans="2:8" x14ac:dyDescent="0.35">
      <c r="B515" s="15"/>
      <c r="C515" s="15"/>
      <c r="D515" s="15"/>
      <c r="E515" s="15"/>
      <c r="F515" s="15"/>
      <c r="G515" s="15"/>
      <c r="H515" s="15"/>
    </row>
    <row r="516" spans="2:8" x14ac:dyDescent="0.35">
      <c r="B516" s="15"/>
      <c r="C516" s="15"/>
      <c r="D516" s="15"/>
      <c r="E516" s="15"/>
      <c r="F516" s="15"/>
      <c r="G516" s="15"/>
      <c r="H516" s="15"/>
    </row>
    <row r="517" spans="2:8" x14ac:dyDescent="0.35">
      <c r="B517" s="15"/>
      <c r="C517" s="15"/>
      <c r="D517" s="15"/>
      <c r="E517" s="15"/>
      <c r="F517" s="15"/>
      <c r="G517" s="15"/>
      <c r="H517" s="15"/>
    </row>
    <row r="518" spans="2:8" x14ac:dyDescent="0.35">
      <c r="B518" s="15"/>
      <c r="C518" s="15"/>
      <c r="D518" s="15"/>
      <c r="E518" s="15"/>
      <c r="F518" s="15"/>
      <c r="G518" s="15"/>
      <c r="H518" s="15"/>
    </row>
    <row r="519" spans="2:8" x14ac:dyDescent="0.35">
      <c r="B519" s="15"/>
      <c r="C519" s="15"/>
      <c r="D519" s="15"/>
      <c r="E519" s="15"/>
      <c r="F519" s="15"/>
      <c r="G519" s="15"/>
      <c r="H519" s="15"/>
    </row>
    <row r="520" spans="2:8" x14ac:dyDescent="0.35">
      <c r="B520" s="15"/>
      <c r="C520" s="15"/>
      <c r="D520" s="15"/>
      <c r="E520" s="15"/>
      <c r="F520" s="15"/>
      <c r="G520" s="15"/>
      <c r="H520" s="15"/>
    </row>
    <row r="521" spans="2:8" x14ac:dyDescent="0.35">
      <c r="B521" s="15"/>
      <c r="C521" s="15"/>
      <c r="D521" s="15"/>
      <c r="E521" s="15"/>
      <c r="F521" s="15"/>
      <c r="G521" s="15"/>
      <c r="H521" s="15"/>
    </row>
    <row r="522" spans="2:8" x14ac:dyDescent="0.35">
      <c r="B522" s="15"/>
      <c r="C522" s="15"/>
      <c r="D522" s="15"/>
      <c r="E522" s="15"/>
      <c r="F522" s="15"/>
      <c r="G522" s="15"/>
      <c r="H522" s="15"/>
    </row>
    <row r="523" spans="2:8" x14ac:dyDescent="0.35">
      <c r="B523" s="15"/>
      <c r="C523" s="15"/>
      <c r="D523" s="15"/>
      <c r="E523" s="15"/>
      <c r="F523" s="15"/>
      <c r="G523" s="15"/>
      <c r="H523" s="15"/>
    </row>
    <row r="524" spans="2:8" x14ac:dyDescent="0.35">
      <c r="B524" s="15"/>
      <c r="C524" s="15"/>
      <c r="D524" s="15"/>
      <c r="E524" s="15"/>
      <c r="F524" s="15"/>
      <c r="G524" s="15"/>
      <c r="H524" s="15"/>
    </row>
    <row r="525" spans="2:8" x14ac:dyDescent="0.35">
      <c r="B525" s="15"/>
      <c r="C525" s="15"/>
      <c r="D525" s="15"/>
      <c r="E525" s="15"/>
      <c r="F525" s="15"/>
      <c r="G525" s="15"/>
      <c r="H525" s="15"/>
    </row>
    <row r="526" spans="2:8" x14ac:dyDescent="0.35">
      <c r="B526" s="15"/>
      <c r="C526" s="15"/>
      <c r="D526" s="15"/>
      <c r="E526" s="15"/>
      <c r="F526" s="15"/>
      <c r="G526" s="15"/>
      <c r="H526" s="15"/>
    </row>
    <row r="527" spans="2:8" x14ac:dyDescent="0.35">
      <c r="B527" s="15"/>
      <c r="C527" s="15"/>
      <c r="D527" s="15"/>
      <c r="E527" s="15"/>
      <c r="F527" s="15"/>
      <c r="G527" s="15"/>
      <c r="H527" s="15"/>
    </row>
    <row r="528" spans="2:8" x14ac:dyDescent="0.35">
      <c r="B528" s="15"/>
      <c r="C528" s="15"/>
      <c r="D528" s="15"/>
      <c r="E528" s="15"/>
      <c r="F528" s="15"/>
      <c r="G528" s="15"/>
      <c r="H528" s="15"/>
    </row>
    <row r="529" spans="2:8" x14ac:dyDescent="0.35">
      <c r="B529" s="15"/>
      <c r="C529" s="15"/>
      <c r="D529" s="15"/>
      <c r="E529" s="15"/>
      <c r="F529" s="15"/>
      <c r="G529" s="15"/>
      <c r="H529" s="15"/>
    </row>
    <row r="530" spans="2:8" x14ac:dyDescent="0.35">
      <c r="B530" s="15"/>
      <c r="C530" s="15"/>
      <c r="D530" s="15"/>
      <c r="E530" s="15"/>
      <c r="F530" s="15"/>
      <c r="G530" s="15"/>
      <c r="H530" s="15"/>
    </row>
    <row r="531" spans="2:8" x14ac:dyDescent="0.35">
      <c r="B531" s="15"/>
      <c r="C531" s="15"/>
      <c r="D531" s="15"/>
      <c r="E531" s="15"/>
      <c r="F531" s="15"/>
      <c r="G531" s="15"/>
      <c r="H531" s="15"/>
    </row>
    <row r="532" spans="2:8" x14ac:dyDescent="0.35">
      <c r="B532" s="15"/>
      <c r="C532" s="15"/>
      <c r="D532" s="15"/>
      <c r="E532" s="15"/>
      <c r="F532" s="15"/>
      <c r="G532" s="15"/>
      <c r="H532" s="15"/>
    </row>
    <row r="533" spans="2:8" x14ac:dyDescent="0.35">
      <c r="B533" s="15"/>
      <c r="C533" s="15"/>
      <c r="D533" s="15"/>
      <c r="E533" s="15"/>
      <c r="F533" s="15"/>
      <c r="G533" s="15"/>
      <c r="H533" s="15"/>
    </row>
    <row r="534" spans="2:8" x14ac:dyDescent="0.35">
      <c r="B534" s="15"/>
      <c r="C534" s="15"/>
      <c r="D534" s="15"/>
      <c r="E534" s="15"/>
      <c r="F534" s="15"/>
      <c r="G534" s="15"/>
      <c r="H534" s="15"/>
    </row>
    <row r="535" spans="2:8" x14ac:dyDescent="0.35">
      <c r="B535" s="15"/>
      <c r="C535" s="15"/>
      <c r="D535" s="15"/>
      <c r="E535" s="15"/>
      <c r="F535" s="15"/>
      <c r="G535" s="15"/>
      <c r="H535" s="15"/>
    </row>
    <row r="536" spans="2:8" x14ac:dyDescent="0.35">
      <c r="B536" s="15"/>
      <c r="C536" s="15"/>
      <c r="D536" s="15"/>
      <c r="E536" s="15"/>
      <c r="F536" s="15"/>
      <c r="G536" s="15"/>
      <c r="H536" s="15"/>
    </row>
    <row r="537" spans="2:8" x14ac:dyDescent="0.35">
      <c r="B537" s="15"/>
      <c r="C537" s="15"/>
      <c r="D537" s="15"/>
      <c r="E537" s="15"/>
      <c r="F537" s="15"/>
      <c r="G537" s="15"/>
      <c r="H537" s="15"/>
    </row>
    <row r="538" spans="2:8" x14ac:dyDescent="0.35">
      <c r="B538" s="15"/>
      <c r="C538" s="15"/>
      <c r="D538" s="15"/>
      <c r="E538" s="15"/>
      <c r="F538" s="15"/>
      <c r="G538" s="15"/>
      <c r="H538" s="15"/>
    </row>
    <row r="539" spans="2:8" x14ac:dyDescent="0.35">
      <c r="B539" s="15"/>
      <c r="C539" s="15"/>
      <c r="D539" s="15"/>
      <c r="E539" s="15"/>
      <c r="F539" s="15"/>
      <c r="G539" s="15"/>
      <c r="H539" s="15"/>
    </row>
    <row r="540" spans="2:8" x14ac:dyDescent="0.35">
      <c r="B540" s="15"/>
      <c r="C540" s="15"/>
      <c r="D540" s="15"/>
      <c r="E540" s="15"/>
      <c r="F540" s="15"/>
      <c r="G540" s="15"/>
      <c r="H540" s="15"/>
    </row>
    <row r="541" spans="2:8" x14ac:dyDescent="0.35">
      <c r="B541" s="15"/>
      <c r="C541" s="15"/>
      <c r="D541" s="15"/>
      <c r="E541" s="15"/>
      <c r="F541" s="15"/>
      <c r="G541" s="15"/>
      <c r="H541" s="15"/>
    </row>
    <row r="542" spans="2:8" x14ac:dyDescent="0.35">
      <c r="B542" s="15"/>
      <c r="C542" s="15"/>
      <c r="D542" s="15"/>
      <c r="E542" s="15"/>
      <c r="F542" s="15"/>
      <c r="G542" s="15"/>
      <c r="H542" s="15"/>
    </row>
    <row r="543" spans="2:8" x14ac:dyDescent="0.35">
      <c r="B543" s="15"/>
      <c r="C543" s="15"/>
      <c r="D543" s="15"/>
      <c r="E543" s="15"/>
      <c r="F543" s="15"/>
      <c r="G543" s="15"/>
      <c r="H543" s="15"/>
    </row>
    <row r="544" spans="2:8" x14ac:dyDescent="0.35">
      <c r="B544" s="15"/>
      <c r="C544" s="15"/>
      <c r="D544" s="15"/>
      <c r="E544" s="15"/>
      <c r="F544" s="15"/>
      <c r="G544" s="15"/>
      <c r="H544" s="15"/>
    </row>
    <row r="545" spans="2:8" x14ac:dyDescent="0.35">
      <c r="B545" s="15"/>
      <c r="C545" s="15"/>
      <c r="D545" s="15"/>
      <c r="E545" s="15"/>
      <c r="F545" s="15"/>
      <c r="G545" s="15"/>
      <c r="H545" s="15"/>
    </row>
    <row r="546" spans="2:8" x14ac:dyDescent="0.35">
      <c r="B546" s="15"/>
      <c r="C546" s="15"/>
      <c r="D546" s="15"/>
      <c r="E546" s="15"/>
      <c r="F546" s="15"/>
      <c r="G546" s="15"/>
      <c r="H546" s="15"/>
    </row>
    <row r="547" spans="2:8" x14ac:dyDescent="0.35">
      <c r="B547" s="15"/>
      <c r="C547" s="15"/>
      <c r="D547" s="15"/>
      <c r="E547" s="15"/>
      <c r="F547" s="15"/>
      <c r="G547" s="15"/>
      <c r="H547" s="15"/>
    </row>
    <row r="548" spans="2:8" x14ac:dyDescent="0.35">
      <c r="B548" s="15"/>
      <c r="C548" s="15"/>
      <c r="D548" s="15"/>
      <c r="E548" s="15"/>
      <c r="F548" s="15"/>
      <c r="G548" s="15"/>
      <c r="H548" s="15"/>
    </row>
    <row r="549" spans="2:8" x14ac:dyDescent="0.35">
      <c r="B549" s="15"/>
      <c r="C549" s="15"/>
      <c r="D549" s="15"/>
      <c r="E549" s="15"/>
      <c r="F549" s="15"/>
      <c r="G549" s="15"/>
      <c r="H549" s="15"/>
    </row>
    <row r="550" spans="2:8" x14ac:dyDescent="0.35">
      <c r="B550" s="15"/>
      <c r="C550" s="15"/>
      <c r="D550" s="15"/>
      <c r="E550" s="15"/>
      <c r="F550" s="15"/>
      <c r="G550" s="15"/>
      <c r="H550" s="15"/>
    </row>
    <row r="551" spans="2:8" x14ac:dyDescent="0.35">
      <c r="B551" s="15"/>
      <c r="C551" s="15"/>
      <c r="D551" s="15"/>
      <c r="E551" s="15"/>
      <c r="F551" s="15"/>
      <c r="G551" s="15"/>
      <c r="H551" s="15"/>
    </row>
    <row r="552" spans="2:8" x14ac:dyDescent="0.35">
      <c r="B552" s="15"/>
      <c r="C552" s="15"/>
      <c r="D552" s="15"/>
      <c r="E552" s="15"/>
      <c r="F552" s="15"/>
      <c r="G552" s="15"/>
      <c r="H552" s="15"/>
    </row>
    <row r="553" spans="2:8" x14ac:dyDescent="0.35">
      <c r="B553" s="15"/>
      <c r="C553" s="15"/>
      <c r="D553" s="15"/>
      <c r="E553" s="15"/>
      <c r="F553" s="15"/>
      <c r="G553" s="15"/>
      <c r="H553" s="15"/>
    </row>
    <row r="554" spans="2:8" x14ac:dyDescent="0.35">
      <c r="B554" s="15"/>
      <c r="C554" s="15"/>
      <c r="D554" s="15"/>
      <c r="E554" s="15"/>
      <c r="F554" s="15"/>
      <c r="G554" s="15"/>
      <c r="H554" s="15"/>
    </row>
    <row r="555" spans="2:8" x14ac:dyDescent="0.35">
      <c r="B555" s="15"/>
      <c r="C555" s="15"/>
      <c r="D555" s="15"/>
      <c r="E555" s="15"/>
      <c r="F555" s="15"/>
      <c r="G555" s="15"/>
      <c r="H555" s="15"/>
    </row>
    <row r="556" spans="2:8" x14ac:dyDescent="0.35">
      <c r="B556" s="15"/>
      <c r="C556" s="15"/>
      <c r="D556" s="15"/>
      <c r="E556" s="15"/>
      <c r="F556" s="15"/>
      <c r="G556" s="15"/>
      <c r="H556" s="15"/>
    </row>
    <row r="557" spans="2:8" x14ac:dyDescent="0.35">
      <c r="B557" s="15"/>
      <c r="C557" s="15"/>
      <c r="D557" s="15"/>
      <c r="E557" s="15"/>
      <c r="F557" s="15"/>
      <c r="G557" s="15"/>
      <c r="H557" s="15"/>
    </row>
    <row r="558" spans="2:8" x14ac:dyDescent="0.35">
      <c r="B558" s="15"/>
      <c r="C558" s="15"/>
      <c r="D558" s="15"/>
      <c r="E558" s="15"/>
      <c r="F558" s="15"/>
      <c r="G558" s="15"/>
      <c r="H558" s="15"/>
    </row>
    <row r="559" spans="2:8" x14ac:dyDescent="0.35">
      <c r="B559" s="15"/>
      <c r="C559" s="15"/>
      <c r="D559" s="15"/>
      <c r="E559" s="15"/>
      <c r="F559" s="15"/>
      <c r="G559" s="15"/>
      <c r="H559" s="15"/>
    </row>
    <row r="560" spans="2:8" x14ac:dyDescent="0.35">
      <c r="B560" s="15"/>
      <c r="C560" s="15"/>
      <c r="D560" s="15"/>
      <c r="E560" s="15"/>
      <c r="F560" s="15"/>
      <c r="G560" s="15"/>
      <c r="H560" s="15"/>
    </row>
    <row r="561" spans="2:8" x14ac:dyDescent="0.35">
      <c r="B561" s="15"/>
      <c r="C561" s="15"/>
      <c r="D561" s="15"/>
      <c r="E561" s="15"/>
      <c r="F561" s="15"/>
      <c r="G561" s="15"/>
      <c r="H561" s="15"/>
    </row>
    <row r="562" spans="2:8" x14ac:dyDescent="0.35">
      <c r="B562" s="15"/>
      <c r="C562" s="15"/>
      <c r="D562" s="15"/>
      <c r="E562" s="15"/>
      <c r="F562" s="15"/>
      <c r="G562" s="15"/>
      <c r="H562" s="15"/>
    </row>
    <row r="563" spans="2:8" x14ac:dyDescent="0.35">
      <c r="B563" s="15"/>
      <c r="C563" s="15"/>
      <c r="D563" s="15"/>
      <c r="E563" s="15"/>
      <c r="F563" s="15"/>
      <c r="G563" s="15"/>
      <c r="H563" s="15"/>
    </row>
    <row r="564" spans="2:8" x14ac:dyDescent="0.35">
      <c r="B564" s="15"/>
      <c r="C564" s="15"/>
      <c r="D564" s="15"/>
      <c r="E564" s="15"/>
      <c r="F564" s="15"/>
      <c r="G564" s="15"/>
      <c r="H564" s="15"/>
    </row>
    <row r="565" spans="2:8" x14ac:dyDescent="0.35">
      <c r="B565" s="15"/>
      <c r="C565" s="15"/>
      <c r="D565" s="15"/>
      <c r="E565" s="15"/>
      <c r="F565" s="15"/>
      <c r="G565" s="15"/>
      <c r="H565" s="15"/>
    </row>
    <row r="566" spans="2:8" x14ac:dyDescent="0.35">
      <c r="B566" s="15"/>
      <c r="C566" s="15"/>
      <c r="D566" s="15"/>
      <c r="E566" s="15"/>
      <c r="F566" s="15"/>
      <c r="G566" s="15"/>
      <c r="H566" s="15"/>
    </row>
    <row r="567" spans="2:8" x14ac:dyDescent="0.35">
      <c r="B567" s="15"/>
      <c r="C567" s="15"/>
      <c r="D567" s="15"/>
      <c r="E567" s="15"/>
      <c r="F567" s="15"/>
      <c r="G567" s="15"/>
      <c r="H567" s="15"/>
    </row>
    <row r="568" spans="2:8" x14ac:dyDescent="0.35">
      <c r="B568" s="15"/>
      <c r="C568" s="15"/>
      <c r="D568" s="15"/>
      <c r="E568" s="15"/>
      <c r="F568" s="15"/>
      <c r="G568" s="15"/>
      <c r="H568" s="15"/>
    </row>
    <row r="569" spans="2:8" x14ac:dyDescent="0.35">
      <c r="B569" s="15"/>
      <c r="C569" s="15"/>
      <c r="D569" s="15"/>
      <c r="E569" s="15"/>
      <c r="F569" s="15"/>
      <c r="G569" s="15"/>
      <c r="H569" s="15"/>
    </row>
    <row r="570" spans="2:8" x14ac:dyDescent="0.35">
      <c r="B570" s="15"/>
      <c r="C570" s="15"/>
      <c r="D570" s="15"/>
      <c r="E570" s="15"/>
      <c r="F570" s="15"/>
      <c r="G570" s="15"/>
      <c r="H570" s="15"/>
    </row>
    <row r="571" spans="2:8" x14ac:dyDescent="0.35">
      <c r="B571" s="15"/>
      <c r="C571" s="15"/>
      <c r="D571" s="15"/>
      <c r="E571" s="15"/>
      <c r="F571" s="15"/>
      <c r="G571" s="15"/>
      <c r="H571" s="15"/>
    </row>
    <row r="572" spans="2:8" x14ac:dyDescent="0.35">
      <c r="B572" s="15"/>
      <c r="C572" s="15"/>
      <c r="D572" s="15"/>
      <c r="E572" s="15"/>
      <c r="F572" s="15"/>
      <c r="G572" s="15"/>
      <c r="H572" s="15"/>
    </row>
    <row r="573" spans="2:8" x14ac:dyDescent="0.35">
      <c r="B573" s="15"/>
      <c r="C573" s="15"/>
      <c r="D573" s="15"/>
      <c r="E573" s="15"/>
      <c r="F573" s="15"/>
      <c r="G573" s="15"/>
      <c r="H573" s="15"/>
    </row>
    <row r="574" spans="2:8" x14ac:dyDescent="0.35">
      <c r="B574" s="15"/>
      <c r="C574" s="15"/>
      <c r="D574" s="15"/>
      <c r="E574" s="15"/>
      <c r="F574" s="15"/>
      <c r="G574" s="15"/>
      <c r="H574" s="15"/>
    </row>
    <row r="575" spans="2:8" x14ac:dyDescent="0.35">
      <c r="B575" s="15"/>
      <c r="C575" s="15"/>
      <c r="D575" s="15"/>
      <c r="E575" s="15"/>
      <c r="F575" s="15"/>
      <c r="G575" s="15"/>
      <c r="H575" s="15"/>
    </row>
    <row r="576" spans="2:8" x14ac:dyDescent="0.35">
      <c r="B576" s="15"/>
      <c r="C576" s="15"/>
      <c r="D576" s="15"/>
      <c r="E576" s="15"/>
      <c r="F576" s="15"/>
      <c r="G576" s="15"/>
      <c r="H576" s="15"/>
    </row>
    <row r="577" spans="2:8" x14ac:dyDescent="0.35">
      <c r="B577" s="15"/>
      <c r="C577" s="15"/>
      <c r="D577" s="15"/>
      <c r="E577" s="15"/>
      <c r="F577" s="15"/>
      <c r="G577" s="15"/>
      <c r="H577" s="15"/>
    </row>
    <row r="578" spans="2:8" x14ac:dyDescent="0.35">
      <c r="B578" s="15"/>
      <c r="C578" s="15"/>
      <c r="D578" s="15"/>
      <c r="E578" s="15"/>
      <c r="F578" s="15"/>
      <c r="G578" s="15"/>
      <c r="H578" s="15"/>
    </row>
    <row r="579" spans="2:8" x14ac:dyDescent="0.35">
      <c r="B579" s="15"/>
      <c r="C579" s="15"/>
      <c r="D579" s="15"/>
      <c r="E579" s="15"/>
      <c r="F579" s="15"/>
      <c r="G579" s="15"/>
      <c r="H579" s="15"/>
    </row>
    <row r="580" spans="2:8" x14ac:dyDescent="0.35">
      <c r="B580" s="15"/>
      <c r="C580" s="15"/>
      <c r="D580" s="15"/>
      <c r="E580" s="15"/>
      <c r="F580" s="15"/>
      <c r="G580" s="15"/>
      <c r="H580" s="15"/>
    </row>
    <row r="581" spans="2:8" x14ac:dyDescent="0.35">
      <c r="B581" s="15"/>
      <c r="C581" s="15"/>
      <c r="D581" s="15"/>
      <c r="E581" s="15"/>
      <c r="F581" s="15"/>
      <c r="G581" s="15"/>
      <c r="H581" s="15"/>
    </row>
    <row r="582" spans="2:8" x14ac:dyDescent="0.35">
      <c r="B582" s="15"/>
      <c r="C582" s="15"/>
      <c r="D582" s="15"/>
      <c r="E582" s="15"/>
      <c r="F582" s="15"/>
      <c r="G582" s="15"/>
      <c r="H582" s="15"/>
    </row>
    <row r="583" spans="2:8" x14ac:dyDescent="0.35">
      <c r="B583" s="15"/>
      <c r="C583" s="15"/>
      <c r="D583" s="15"/>
      <c r="E583" s="15"/>
      <c r="F583" s="15"/>
      <c r="G583" s="15"/>
      <c r="H583" s="15"/>
    </row>
    <row r="584" spans="2:8" x14ac:dyDescent="0.35">
      <c r="B584" s="15"/>
      <c r="C584" s="15"/>
      <c r="D584" s="15"/>
      <c r="E584" s="15"/>
      <c r="F584" s="15"/>
      <c r="G584" s="15"/>
      <c r="H584" s="15"/>
    </row>
    <row r="585" spans="2:8" x14ac:dyDescent="0.35">
      <c r="B585" s="15"/>
      <c r="C585" s="15"/>
      <c r="D585" s="15"/>
      <c r="E585" s="15"/>
      <c r="F585" s="15"/>
      <c r="G585" s="15"/>
      <c r="H585" s="15"/>
    </row>
    <row r="586" spans="2:8" x14ac:dyDescent="0.35">
      <c r="B586" s="15"/>
      <c r="C586" s="15"/>
      <c r="D586" s="15"/>
      <c r="E586" s="15"/>
      <c r="F586" s="15"/>
      <c r="G586" s="15"/>
      <c r="H586" s="15"/>
    </row>
    <row r="587" spans="2:8" x14ac:dyDescent="0.35">
      <c r="B587" s="15"/>
      <c r="C587" s="15"/>
      <c r="D587" s="15"/>
      <c r="E587" s="15"/>
      <c r="F587" s="15"/>
      <c r="G587" s="15"/>
      <c r="H587" s="15"/>
    </row>
    <row r="588" spans="2:8" x14ac:dyDescent="0.35">
      <c r="B588" s="15"/>
      <c r="C588" s="15"/>
      <c r="D588" s="15"/>
      <c r="E588" s="15"/>
      <c r="F588" s="15"/>
      <c r="G588" s="15"/>
      <c r="H588" s="15"/>
    </row>
    <row r="589" spans="2:8" x14ac:dyDescent="0.35">
      <c r="B589" s="15"/>
      <c r="C589" s="15"/>
      <c r="D589" s="15"/>
      <c r="E589" s="15"/>
      <c r="F589" s="15"/>
      <c r="G589" s="15"/>
      <c r="H589" s="15"/>
    </row>
    <row r="590" spans="2:8" x14ac:dyDescent="0.35">
      <c r="B590" s="15"/>
      <c r="C590" s="15"/>
      <c r="D590" s="15"/>
      <c r="E590" s="15"/>
      <c r="F590" s="15"/>
      <c r="G590" s="15"/>
      <c r="H590" s="15"/>
    </row>
    <row r="591" spans="2:8" x14ac:dyDescent="0.35">
      <c r="B591" s="15"/>
      <c r="C591" s="15"/>
      <c r="D591" s="15"/>
      <c r="E591" s="15"/>
      <c r="F591" s="15"/>
      <c r="G591" s="15"/>
      <c r="H591" s="15"/>
    </row>
    <row r="592" spans="2:8" x14ac:dyDescent="0.35">
      <c r="B592" s="15"/>
      <c r="C592" s="15"/>
      <c r="D592" s="15"/>
      <c r="E592" s="15"/>
      <c r="F592" s="15"/>
      <c r="G592" s="15"/>
      <c r="H592" s="15"/>
    </row>
    <row r="593" spans="2:8" x14ac:dyDescent="0.35">
      <c r="B593" s="15"/>
      <c r="C593" s="15"/>
      <c r="D593" s="15"/>
      <c r="E593" s="15"/>
      <c r="F593" s="15"/>
      <c r="G593" s="15"/>
      <c r="H593" s="15"/>
    </row>
    <row r="594" spans="2:8" x14ac:dyDescent="0.35">
      <c r="B594" s="15"/>
      <c r="C594" s="15"/>
      <c r="D594" s="15"/>
      <c r="E594" s="15"/>
      <c r="F594" s="15"/>
      <c r="G594" s="15"/>
      <c r="H594" s="15"/>
    </row>
    <row r="595" spans="2:8" x14ac:dyDescent="0.35">
      <c r="B595" s="15"/>
      <c r="C595" s="15"/>
      <c r="D595" s="15"/>
      <c r="E595" s="15"/>
      <c r="F595" s="15"/>
      <c r="G595" s="15"/>
      <c r="H595" s="15"/>
    </row>
    <row r="596" spans="2:8" x14ac:dyDescent="0.35">
      <c r="B596" s="15"/>
      <c r="C596" s="15"/>
      <c r="D596" s="15"/>
      <c r="E596" s="15"/>
      <c r="F596" s="15"/>
      <c r="G596" s="15"/>
      <c r="H596" s="15"/>
    </row>
    <row r="597" spans="2:8" x14ac:dyDescent="0.35">
      <c r="B597" s="15"/>
      <c r="C597" s="15"/>
      <c r="D597" s="15"/>
      <c r="E597" s="15"/>
      <c r="F597" s="15"/>
      <c r="G597" s="15"/>
      <c r="H597" s="15"/>
    </row>
    <row r="598" spans="2:8" x14ac:dyDescent="0.35">
      <c r="B598" s="15"/>
      <c r="C598" s="15"/>
      <c r="D598" s="15"/>
      <c r="E598" s="15"/>
      <c r="F598" s="15"/>
      <c r="G598" s="15"/>
      <c r="H598" s="15"/>
    </row>
    <row r="599" spans="2:8" x14ac:dyDescent="0.35">
      <c r="B599" s="15"/>
      <c r="C599" s="15"/>
      <c r="D599" s="15"/>
      <c r="E599" s="15"/>
      <c r="F599" s="15"/>
      <c r="G599" s="15"/>
      <c r="H599" s="15"/>
    </row>
    <row r="600" spans="2:8" x14ac:dyDescent="0.35">
      <c r="B600" s="15"/>
      <c r="C600" s="15"/>
      <c r="D600" s="15"/>
      <c r="E600" s="15"/>
      <c r="F600" s="15"/>
      <c r="G600" s="15"/>
      <c r="H600" s="15"/>
    </row>
    <row r="601" spans="2:8" x14ac:dyDescent="0.35">
      <c r="B601" s="15"/>
      <c r="C601" s="15"/>
      <c r="D601" s="15"/>
      <c r="E601" s="15"/>
      <c r="F601" s="15"/>
      <c r="G601" s="15"/>
      <c r="H601" s="15"/>
    </row>
    <row r="602" spans="2:8" x14ac:dyDescent="0.35">
      <c r="B602" s="15"/>
      <c r="C602" s="15"/>
      <c r="D602" s="15"/>
      <c r="E602" s="15"/>
      <c r="F602" s="15"/>
      <c r="G602" s="15"/>
      <c r="H602" s="15"/>
    </row>
    <row r="603" spans="2:8" x14ac:dyDescent="0.35">
      <c r="B603" s="15"/>
      <c r="C603" s="15"/>
      <c r="D603" s="15"/>
      <c r="E603" s="15"/>
      <c r="F603" s="15"/>
      <c r="G603" s="15"/>
      <c r="H603" s="15"/>
    </row>
    <row r="604" spans="2:8" x14ac:dyDescent="0.35">
      <c r="B604" s="15"/>
      <c r="C604" s="15"/>
      <c r="D604" s="15"/>
      <c r="E604" s="15"/>
      <c r="F604" s="15"/>
      <c r="G604" s="15"/>
      <c r="H604" s="15"/>
    </row>
    <row r="605" spans="2:8" x14ac:dyDescent="0.35">
      <c r="B605" s="15"/>
      <c r="C605" s="15"/>
      <c r="D605" s="15"/>
      <c r="E605" s="15"/>
      <c r="F605" s="15"/>
      <c r="G605" s="15"/>
      <c r="H605" s="15"/>
    </row>
    <row r="606" spans="2:8" x14ac:dyDescent="0.35">
      <c r="B606" s="15"/>
      <c r="C606" s="15"/>
      <c r="D606" s="15"/>
      <c r="E606" s="15"/>
      <c r="F606" s="15"/>
      <c r="G606" s="15"/>
      <c r="H606" s="15"/>
    </row>
    <row r="607" spans="2:8" x14ac:dyDescent="0.35">
      <c r="B607" s="15"/>
      <c r="C607" s="15"/>
      <c r="D607" s="15"/>
      <c r="E607" s="15"/>
      <c r="F607" s="15"/>
      <c r="G607" s="15"/>
      <c r="H607" s="15"/>
    </row>
    <row r="608" spans="2:8" x14ac:dyDescent="0.35">
      <c r="B608" s="15"/>
      <c r="C608" s="15"/>
      <c r="D608" s="15"/>
      <c r="E608" s="15"/>
      <c r="F608" s="15"/>
      <c r="G608" s="15"/>
      <c r="H608" s="15"/>
    </row>
    <row r="609" spans="2:8" x14ac:dyDescent="0.35">
      <c r="B609" s="15"/>
      <c r="C609" s="15"/>
      <c r="D609" s="15"/>
      <c r="E609" s="15"/>
      <c r="F609" s="15"/>
      <c r="G609" s="15"/>
      <c r="H609" s="15"/>
    </row>
    <row r="610" spans="2:8" x14ac:dyDescent="0.35">
      <c r="B610" s="15"/>
      <c r="C610" s="15"/>
      <c r="D610" s="15"/>
      <c r="E610" s="15"/>
      <c r="F610" s="15"/>
      <c r="G610" s="15"/>
      <c r="H610" s="15"/>
    </row>
    <row r="611" spans="2:8" x14ac:dyDescent="0.35">
      <c r="B611" s="15"/>
      <c r="C611" s="15"/>
      <c r="D611" s="15"/>
      <c r="E611" s="15"/>
      <c r="F611" s="15"/>
      <c r="G611" s="15"/>
      <c r="H611" s="15"/>
    </row>
    <row r="612" spans="2:8" x14ac:dyDescent="0.35">
      <c r="B612" s="15"/>
      <c r="C612" s="15"/>
      <c r="D612" s="15"/>
      <c r="E612" s="15"/>
      <c r="F612" s="15"/>
      <c r="G612" s="15"/>
      <c r="H612" s="15"/>
    </row>
    <row r="613" spans="2:8" x14ac:dyDescent="0.35">
      <c r="B613" s="15"/>
      <c r="C613" s="15"/>
      <c r="D613" s="15"/>
      <c r="E613" s="15"/>
      <c r="F613" s="15"/>
      <c r="G613" s="15"/>
      <c r="H613" s="15"/>
    </row>
    <row r="614" spans="2:8" x14ac:dyDescent="0.35">
      <c r="B614" s="15"/>
      <c r="C614" s="15"/>
      <c r="D614" s="15"/>
      <c r="E614" s="15"/>
      <c r="F614" s="15"/>
      <c r="G614" s="15"/>
      <c r="H614" s="15"/>
    </row>
    <row r="615" spans="2:8" x14ac:dyDescent="0.35">
      <c r="B615" s="15"/>
      <c r="C615" s="15"/>
      <c r="D615" s="15"/>
      <c r="E615" s="15"/>
      <c r="F615" s="15"/>
      <c r="G615" s="15"/>
      <c r="H615" s="15"/>
    </row>
    <row r="616" spans="2:8" x14ac:dyDescent="0.35">
      <c r="B616" s="15"/>
      <c r="C616" s="15"/>
      <c r="D616" s="15"/>
      <c r="E616" s="15"/>
      <c r="F616" s="15"/>
      <c r="G616" s="15"/>
      <c r="H616" s="15"/>
    </row>
    <row r="617" spans="2:8" x14ac:dyDescent="0.35">
      <c r="B617" s="15"/>
      <c r="C617" s="15"/>
      <c r="D617" s="15"/>
      <c r="E617" s="15"/>
      <c r="F617" s="15"/>
      <c r="G617" s="15"/>
      <c r="H617" s="15"/>
    </row>
    <row r="618" spans="2:8" x14ac:dyDescent="0.35">
      <c r="B618" s="15"/>
      <c r="C618" s="15"/>
      <c r="D618" s="15"/>
      <c r="E618" s="15"/>
      <c r="F618" s="15"/>
      <c r="G618" s="15"/>
      <c r="H618" s="15"/>
    </row>
    <row r="619" spans="2:8" x14ac:dyDescent="0.35">
      <c r="B619" s="15"/>
      <c r="C619" s="15"/>
      <c r="D619" s="15"/>
      <c r="E619" s="15"/>
      <c r="F619" s="15"/>
      <c r="G619" s="15"/>
      <c r="H619" s="15"/>
    </row>
    <row r="620" spans="2:8" x14ac:dyDescent="0.35">
      <c r="B620" s="15"/>
      <c r="C620" s="15"/>
      <c r="D620" s="15"/>
      <c r="E620" s="15"/>
      <c r="F620" s="15"/>
      <c r="G620" s="15"/>
      <c r="H620" s="15"/>
    </row>
    <row r="621" spans="2:8" x14ac:dyDescent="0.35">
      <c r="B621" s="15"/>
      <c r="C621" s="15"/>
      <c r="D621" s="15"/>
      <c r="E621" s="15"/>
      <c r="F621" s="15"/>
      <c r="G621" s="15"/>
      <c r="H621" s="15"/>
    </row>
    <row r="622" spans="2:8" x14ac:dyDescent="0.35">
      <c r="B622" s="15"/>
      <c r="C622" s="15"/>
      <c r="D622" s="15"/>
      <c r="E622" s="15"/>
      <c r="F622" s="15"/>
      <c r="G622" s="15"/>
      <c r="H622" s="15"/>
    </row>
    <row r="623" spans="2:8" x14ac:dyDescent="0.35">
      <c r="B623" s="15"/>
      <c r="C623" s="15"/>
      <c r="D623" s="15"/>
      <c r="E623" s="15"/>
      <c r="F623" s="15"/>
      <c r="G623" s="15"/>
      <c r="H623" s="15"/>
    </row>
    <row r="624" spans="2:8" x14ac:dyDescent="0.35">
      <c r="B624" s="15"/>
      <c r="C624" s="15"/>
      <c r="D624" s="15"/>
      <c r="E624" s="15"/>
      <c r="F624" s="15"/>
      <c r="G624" s="15"/>
      <c r="H624" s="15"/>
    </row>
    <row r="625" spans="2:8" x14ac:dyDescent="0.35">
      <c r="B625" s="15"/>
      <c r="C625" s="15"/>
      <c r="D625" s="15"/>
      <c r="E625" s="15"/>
      <c r="F625" s="15"/>
      <c r="G625" s="15"/>
      <c r="H625" s="15"/>
    </row>
    <row r="626" spans="2:8" x14ac:dyDescent="0.35">
      <c r="B626" s="15"/>
      <c r="C626" s="15"/>
      <c r="D626" s="15"/>
      <c r="E626" s="15"/>
      <c r="F626" s="15"/>
      <c r="G626" s="15"/>
      <c r="H626" s="15"/>
    </row>
    <row r="627" spans="2:8" x14ac:dyDescent="0.35">
      <c r="B627" s="15"/>
      <c r="C627" s="15"/>
      <c r="D627" s="15"/>
      <c r="E627" s="15"/>
      <c r="F627" s="15"/>
      <c r="G627" s="15"/>
      <c r="H627" s="15"/>
    </row>
    <row r="628" spans="2:8" x14ac:dyDescent="0.35">
      <c r="B628" s="15"/>
      <c r="C628" s="15"/>
      <c r="D628" s="15"/>
      <c r="E628" s="15"/>
      <c r="F628" s="15"/>
      <c r="G628" s="15"/>
      <c r="H628" s="15"/>
    </row>
    <row r="629" spans="2:8" x14ac:dyDescent="0.35">
      <c r="B629" s="15"/>
      <c r="C629" s="15"/>
      <c r="D629" s="15"/>
      <c r="E629" s="15"/>
      <c r="F629" s="15"/>
      <c r="G629" s="15"/>
      <c r="H629" s="15"/>
    </row>
    <row r="630" spans="2:8" x14ac:dyDescent="0.35">
      <c r="B630" s="15"/>
      <c r="C630" s="15"/>
      <c r="D630" s="15"/>
      <c r="E630" s="15"/>
      <c r="F630" s="15"/>
      <c r="G630" s="15"/>
      <c r="H630" s="15"/>
    </row>
    <row r="631" spans="2:8" x14ac:dyDescent="0.35">
      <c r="B631" s="15"/>
      <c r="C631" s="15"/>
      <c r="D631" s="15"/>
      <c r="E631" s="15"/>
      <c r="F631" s="15"/>
      <c r="G631" s="15"/>
      <c r="H631" s="15"/>
    </row>
    <row r="632" spans="2:8" x14ac:dyDescent="0.35">
      <c r="B632" s="15"/>
      <c r="C632" s="15"/>
      <c r="D632" s="15"/>
      <c r="E632" s="15"/>
      <c r="F632" s="15"/>
      <c r="G632" s="15"/>
      <c r="H632" s="15"/>
    </row>
    <row r="633" spans="2:8" x14ac:dyDescent="0.35">
      <c r="B633" s="15"/>
      <c r="C633" s="15"/>
      <c r="D633" s="15"/>
      <c r="E633" s="15"/>
      <c r="F633" s="15"/>
      <c r="G633" s="15"/>
      <c r="H633" s="15"/>
    </row>
    <row r="634" spans="2:8" x14ac:dyDescent="0.35">
      <c r="B634" s="15"/>
      <c r="C634" s="15"/>
      <c r="D634" s="15"/>
      <c r="E634" s="15"/>
      <c r="F634" s="15"/>
      <c r="G634" s="15"/>
      <c r="H634" s="15"/>
    </row>
    <row r="635" spans="2:8" x14ac:dyDescent="0.35">
      <c r="B635" s="15"/>
      <c r="C635" s="15"/>
      <c r="D635" s="15"/>
      <c r="E635" s="15"/>
      <c r="F635" s="15"/>
      <c r="G635" s="15"/>
      <c r="H635" s="15"/>
    </row>
    <row r="636" spans="2:8" x14ac:dyDescent="0.35">
      <c r="B636" s="15"/>
      <c r="C636" s="15"/>
      <c r="D636" s="15"/>
      <c r="E636" s="15"/>
      <c r="F636" s="15"/>
      <c r="G636" s="15"/>
      <c r="H636" s="15"/>
    </row>
    <row r="637" spans="2:8" x14ac:dyDescent="0.35">
      <c r="B637" s="15"/>
      <c r="C637" s="15"/>
      <c r="D637" s="15"/>
      <c r="E637" s="15"/>
      <c r="F637" s="15"/>
      <c r="G637" s="15"/>
      <c r="H637" s="15"/>
    </row>
    <row r="638" spans="2:8" x14ac:dyDescent="0.35">
      <c r="B638" s="15"/>
      <c r="C638" s="15"/>
      <c r="D638" s="15"/>
      <c r="E638" s="15"/>
      <c r="F638" s="15"/>
      <c r="G638" s="15"/>
      <c r="H638" s="15"/>
    </row>
    <row r="639" spans="2:8" x14ac:dyDescent="0.35">
      <c r="B639" s="15"/>
      <c r="C639" s="15"/>
      <c r="D639" s="15"/>
      <c r="E639" s="15"/>
      <c r="F639" s="15"/>
      <c r="G639" s="15"/>
      <c r="H639" s="15"/>
    </row>
    <row r="640" spans="2:8" x14ac:dyDescent="0.35">
      <c r="B640" s="15"/>
      <c r="C640" s="15"/>
      <c r="D640" s="15"/>
      <c r="E640" s="15"/>
      <c r="F640" s="15"/>
      <c r="G640" s="15"/>
      <c r="H640" s="15"/>
    </row>
    <row r="641" spans="2:8" x14ac:dyDescent="0.35">
      <c r="B641" s="15"/>
      <c r="C641" s="15"/>
      <c r="D641" s="15"/>
      <c r="E641" s="15"/>
      <c r="F641" s="15"/>
      <c r="G641" s="15"/>
      <c r="H641" s="15"/>
    </row>
    <row r="642" spans="2:8" x14ac:dyDescent="0.35">
      <c r="B642" s="15"/>
      <c r="C642" s="15"/>
      <c r="D642" s="15"/>
      <c r="E642" s="15"/>
      <c r="F642" s="15"/>
      <c r="G642" s="15"/>
      <c r="H642" s="15"/>
    </row>
    <row r="643" spans="2:8" x14ac:dyDescent="0.35">
      <c r="B643" s="15"/>
      <c r="C643" s="15"/>
      <c r="D643" s="15"/>
      <c r="E643" s="15"/>
      <c r="F643" s="15"/>
      <c r="G643" s="15"/>
      <c r="H643" s="15"/>
    </row>
    <row r="644" spans="2:8" x14ac:dyDescent="0.35">
      <c r="B644" s="15"/>
      <c r="C644" s="15"/>
      <c r="D644" s="15"/>
      <c r="E644" s="15"/>
      <c r="F644" s="15"/>
      <c r="G644" s="15"/>
      <c r="H644" s="15"/>
    </row>
    <row r="645" spans="2:8" x14ac:dyDescent="0.35">
      <c r="B645" s="15"/>
      <c r="C645" s="15"/>
      <c r="D645" s="15"/>
      <c r="E645" s="15"/>
      <c r="F645" s="15"/>
      <c r="G645" s="15"/>
      <c r="H645" s="15"/>
    </row>
    <row r="646" spans="2:8" x14ac:dyDescent="0.35">
      <c r="B646" s="15"/>
      <c r="C646" s="15"/>
      <c r="D646" s="15"/>
      <c r="E646" s="15"/>
      <c r="F646" s="15"/>
      <c r="G646" s="15"/>
      <c r="H646" s="15"/>
    </row>
    <row r="647" spans="2:8" x14ac:dyDescent="0.35">
      <c r="B647" s="15"/>
      <c r="C647" s="15"/>
      <c r="D647" s="15"/>
      <c r="E647" s="15"/>
      <c r="F647" s="15"/>
      <c r="G647" s="15"/>
      <c r="H647" s="15"/>
    </row>
    <row r="648" spans="2:8" x14ac:dyDescent="0.35">
      <c r="B648" s="15"/>
      <c r="C648" s="15"/>
      <c r="D648" s="15"/>
      <c r="E648" s="15"/>
      <c r="F648" s="15"/>
      <c r="G648" s="15"/>
      <c r="H648" s="15"/>
    </row>
    <row r="649" spans="2:8" x14ac:dyDescent="0.35">
      <c r="B649" s="15"/>
      <c r="C649" s="15"/>
      <c r="D649" s="15"/>
      <c r="E649" s="15"/>
      <c r="F649" s="15"/>
      <c r="G649" s="15"/>
      <c r="H649" s="15"/>
    </row>
    <row r="650" spans="2:8" x14ac:dyDescent="0.35">
      <c r="B650" s="15"/>
      <c r="C650" s="15"/>
      <c r="D650" s="15"/>
      <c r="E650" s="15"/>
      <c r="F650" s="15"/>
      <c r="G650" s="15"/>
      <c r="H650" s="15"/>
    </row>
    <row r="651" spans="2:8" x14ac:dyDescent="0.35">
      <c r="B651" s="15"/>
      <c r="C651" s="15"/>
      <c r="D651" s="15"/>
      <c r="E651" s="15"/>
      <c r="F651" s="15"/>
      <c r="G651" s="15"/>
      <c r="H651" s="15"/>
    </row>
    <row r="652" spans="2:8" x14ac:dyDescent="0.35">
      <c r="B652" s="15"/>
      <c r="C652" s="15"/>
      <c r="D652" s="15"/>
      <c r="E652" s="15"/>
      <c r="F652" s="15"/>
      <c r="G652" s="15"/>
      <c r="H652" s="15"/>
    </row>
    <row r="653" spans="2:8" x14ac:dyDescent="0.35">
      <c r="B653" s="15"/>
      <c r="C653" s="15"/>
      <c r="D653" s="15"/>
      <c r="E653" s="15"/>
      <c r="F653" s="15"/>
      <c r="G653" s="15"/>
      <c r="H653" s="15"/>
    </row>
    <row r="654" spans="2:8" x14ac:dyDescent="0.35">
      <c r="B654" s="15"/>
      <c r="C654" s="15"/>
      <c r="D654" s="15"/>
      <c r="E654" s="15"/>
      <c r="F654" s="15"/>
      <c r="G654" s="15"/>
      <c r="H654" s="15"/>
    </row>
    <row r="655" spans="2:8" x14ac:dyDescent="0.35">
      <c r="B655" s="15"/>
      <c r="C655" s="15"/>
      <c r="D655" s="15"/>
      <c r="E655" s="15"/>
      <c r="F655" s="15"/>
      <c r="G655" s="15"/>
      <c r="H655" s="15"/>
    </row>
    <row r="656" spans="2:8" x14ac:dyDescent="0.35">
      <c r="B656" s="15"/>
      <c r="C656" s="15"/>
      <c r="D656" s="15"/>
      <c r="E656" s="15"/>
      <c r="F656" s="15"/>
      <c r="G656" s="15"/>
      <c r="H656" s="15"/>
    </row>
    <row r="657" spans="2:8" x14ac:dyDescent="0.35">
      <c r="B657" s="15"/>
      <c r="C657" s="15"/>
      <c r="D657" s="15"/>
      <c r="E657" s="15"/>
      <c r="F657" s="15"/>
      <c r="G657" s="15"/>
      <c r="H657" s="15"/>
    </row>
    <row r="658" spans="2:8" x14ac:dyDescent="0.35">
      <c r="B658" s="15"/>
      <c r="C658" s="15"/>
      <c r="D658" s="15"/>
      <c r="E658" s="15"/>
      <c r="F658" s="15"/>
      <c r="G658" s="15"/>
      <c r="H658" s="15"/>
    </row>
    <row r="659" spans="2:8" x14ac:dyDescent="0.35">
      <c r="B659" s="15"/>
      <c r="C659" s="15"/>
      <c r="D659" s="15"/>
      <c r="E659" s="15"/>
      <c r="F659" s="15"/>
      <c r="G659" s="15"/>
      <c r="H659" s="15"/>
    </row>
    <row r="660" spans="2:8" x14ac:dyDescent="0.35">
      <c r="B660" s="15"/>
      <c r="C660" s="15"/>
      <c r="D660" s="15"/>
      <c r="E660" s="15"/>
      <c r="F660" s="15"/>
      <c r="G660" s="15"/>
      <c r="H660" s="15"/>
    </row>
    <row r="661" spans="2:8" x14ac:dyDescent="0.35">
      <c r="B661" s="15"/>
      <c r="C661" s="15"/>
      <c r="D661" s="15"/>
      <c r="E661" s="15"/>
      <c r="F661" s="15"/>
      <c r="G661" s="15"/>
      <c r="H661" s="15"/>
    </row>
    <row r="662" spans="2:8" x14ac:dyDescent="0.35">
      <c r="B662" s="15"/>
      <c r="C662" s="15"/>
      <c r="D662" s="15"/>
      <c r="E662" s="15"/>
      <c r="F662" s="15"/>
      <c r="G662" s="15"/>
      <c r="H662" s="15"/>
    </row>
    <row r="663" spans="2:8" x14ac:dyDescent="0.35">
      <c r="B663" s="15"/>
      <c r="C663" s="15"/>
      <c r="D663" s="15"/>
      <c r="E663" s="15"/>
      <c r="F663" s="15"/>
      <c r="G663" s="15"/>
      <c r="H663" s="15"/>
    </row>
    <row r="664" spans="2:8" x14ac:dyDescent="0.35">
      <c r="B664" s="15"/>
      <c r="C664" s="15"/>
      <c r="D664" s="15"/>
      <c r="E664" s="15"/>
      <c r="F664" s="15"/>
      <c r="G664" s="15"/>
      <c r="H664" s="15"/>
    </row>
    <row r="665" spans="2:8" x14ac:dyDescent="0.35">
      <c r="B665" s="15"/>
      <c r="C665" s="15"/>
      <c r="D665" s="15"/>
      <c r="E665" s="15"/>
      <c r="F665" s="15"/>
      <c r="G665" s="15"/>
      <c r="H665" s="15"/>
    </row>
    <row r="666" spans="2:8" x14ac:dyDescent="0.35">
      <c r="B666" s="15"/>
      <c r="C666" s="15"/>
      <c r="D666" s="15"/>
      <c r="E666" s="15"/>
      <c r="F666" s="15"/>
      <c r="G666" s="15"/>
      <c r="H666" s="15"/>
    </row>
    <row r="667" spans="2:8" x14ac:dyDescent="0.35">
      <c r="B667" s="15"/>
      <c r="C667" s="15"/>
      <c r="D667" s="15"/>
      <c r="E667" s="15"/>
      <c r="F667" s="15"/>
      <c r="G667" s="15"/>
      <c r="H667" s="15"/>
    </row>
    <row r="668" spans="2:8" x14ac:dyDescent="0.35">
      <c r="B668" s="15"/>
      <c r="C668" s="15"/>
      <c r="D668" s="15"/>
      <c r="E668" s="15"/>
      <c r="F668" s="15"/>
      <c r="G668" s="15"/>
      <c r="H668" s="15"/>
    </row>
    <row r="669" spans="2:8" x14ac:dyDescent="0.35">
      <c r="B669" s="15"/>
      <c r="C669" s="15"/>
      <c r="D669" s="15"/>
      <c r="E669" s="15"/>
      <c r="F669" s="15"/>
      <c r="G669" s="15"/>
      <c r="H669" s="15"/>
    </row>
    <row r="670" spans="2:8" x14ac:dyDescent="0.35">
      <c r="B670" s="15"/>
      <c r="C670" s="15"/>
      <c r="D670" s="15"/>
      <c r="E670" s="15"/>
      <c r="F670" s="15"/>
      <c r="G670" s="15"/>
      <c r="H670" s="15"/>
    </row>
    <row r="671" spans="2:8" x14ac:dyDescent="0.35">
      <c r="B671" s="15"/>
      <c r="C671" s="15"/>
      <c r="D671" s="15"/>
      <c r="E671" s="15"/>
      <c r="F671" s="15"/>
      <c r="G671" s="15"/>
      <c r="H671" s="15"/>
    </row>
    <row r="672" spans="2:8" x14ac:dyDescent="0.35">
      <c r="B672" s="15"/>
      <c r="C672" s="15"/>
      <c r="D672" s="15"/>
      <c r="E672" s="15"/>
      <c r="F672" s="15"/>
      <c r="G672" s="15"/>
      <c r="H672" s="15"/>
    </row>
    <row r="673" spans="2:8" x14ac:dyDescent="0.35">
      <c r="B673" s="15"/>
      <c r="C673" s="15"/>
      <c r="D673" s="15"/>
      <c r="E673" s="15"/>
      <c r="F673" s="15"/>
      <c r="G673" s="15"/>
      <c r="H673" s="15"/>
    </row>
    <row r="674" spans="2:8" x14ac:dyDescent="0.35">
      <c r="B674" s="15"/>
      <c r="C674" s="15"/>
      <c r="D674" s="15"/>
      <c r="E674" s="15"/>
      <c r="F674" s="15"/>
      <c r="G674" s="15"/>
      <c r="H674" s="15"/>
    </row>
    <row r="675" spans="2:8" x14ac:dyDescent="0.35">
      <c r="B675" s="15"/>
      <c r="C675" s="15"/>
      <c r="D675" s="15"/>
      <c r="E675" s="15"/>
      <c r="F675" s="15"/>
      <c r="G675" s="15"/>
      <c r="H675" s="15"/>
    </row>
    <row r="676" spans="2:8" x14ac:dyDescent="0.35">
      <c r="B676" s="15"/>
      <c r="C676" s="15"/>
      <c r="D676" s="15"/>
      <c r="E676" s="15"/>
      <c r="F676" s="15"/>
      <c r="G676" s="15"/>
      <c r="H676" s="15"/>
    </row>
    <row r="677" spans="2:8" x14ac:dyDescent="0.35">
      <c r="B677" s="15"/>
      <c r="C677" s="15"/>
      <c r="D677" s="15"/>
      <c r="E677" s="15"/>
      <c r="F677" s="15"/>
      <c r="G677" s="15"/>
      <c r="H677" s="15"/>
    </row>
    <row r="678" spans="2:8" x14ac:dyDescent="0.35">
      <c r="B678" s="15"/>
      <c r="C678" s="15"/>
      <c r="D678" s="15"/>
      <c r="E678" s="15"/>
      <c r="F678" s="15"/>
      <c r="G678" s="15"/>
      <c r="H678" s="15"/>
    </row>
    <row r="679" spans="2:8" x14ac:dyDescent="0.35">
      <c r="B679" s="15"/>
      <c r="C679" s="15"/>
      <c r="D679" s="15"/>
      <c r="E679" s="15"/>
      <c r="F679" s="15"/>
      <c r="G679" s="15"/>
      <c r="H679" s="15"/>
    </row>
    <row r="680" spans="2:8" x14ac:dyDescent="0.35">
      <c r="B680" s="15"/>
      <c r="C680" s="15"/>
      <c r="D680" s="15"/>
      <c r="E680" s="15"/>
      <c r="F680" s="15"/>
      <c r="G680" s="15"/>
      <c r="H680" s="15"/>
    </row>
    <row r="681" spans="2:8" x14ac:dyDescent="0.35">
      <c r="B681" s="15"/>
      <c r="C681" s="15"/>
      <c r="D681" s="15"/>
      <c r="E681" s="15"/>
      <c r="F681" s="15"/>
      <c r="G681" s="15"/>
      <c r="H681" s="15"/>
    </row>
    <row r="682" spans="2:8" x14ac:dyDescent="0.35">
      <c r="B682" s="15"/>
      <c r="C682" s="15"/>
      <c r="D682" s="15"/>
      <c r="E682" s="15"/>
      <c r="F682" s="15"/>
      <c r="G682" s="15"/>
      <c r="H682" s="15"/>
    </row>
    <row r="683" spans="2:8" x14ac:dyDescent="0.35">
      <c r="B683" s="15"/>
      <c r="C683" s="15"/>
      <c r="D683" s="15"/>
      <c r="E683" s="15"/>
      <c r="F683" s="15"/>
      <c r="G683" s="15"/>
      <c r="H683" s="15"/>
    </row>
    <row r="684" spans="2:8" x14ac:dyDescent="0.35">
      <c r="B684" s="15"/>
      <c r="C684" s="15"/>
      <c r="D684" s="15"/>
      <c r="E684" s="15"/>
      <c r="F684" s="15"/>
      <c r="G684" s="15"/>
      <c r="H684" s="15"/>
    </row>
    <row r="685" spans="2:8" x14ac:dyDescent="0.35">
      <c r="B685" s="15"/>
      <c r="C685" s="15"/>
      <c r="D685" s="15"/>
      <c r="E685" s="15"/>
      <c r="F685" s="15"/>
      <c r="G685" s="15"/>
      <c r="H685" s="15"/>
    </row>
    <row r="686" spans="2:8" x14ac:dyDescent="0.35">
      <c r="B686" s="15"/>
      <c r="C686" s="15"/>
      <c r="D686" s="15"/>
      <c r="E686" s="15"/>
      <c r="F686" s="15"/>
      <c r="G686" s="15"/>
      <c r="H686" s="15"/>
    </row>
    <row r="687" spans="2:8" x14ac:dyDescent="0.35">
      <c r="B687" s="15"/>
      <c r="C687" s="15"/>
      <c r="D687" s="15"/>
      <c r="E687" s="15"/>
      <c r="F687" s="15"/>
      <c r="G687" s="15"/>
      <c r="H687" s="15"/>
    </row>
    <row r="688" spans="2:8" x14ac:dyDescent="0.35">
      <c r="B688" s="15"/>
      <c r="C688" s="15"/>
      <c r="D688" s="15"/>
      <c r="E688" s="15"/>
      <c r="F688" s="15"/>
      <c r="G688" s="15"/>
      <c r="H688" s="15"/>
    </row>
    <row r="689" spans="2:8" x14ac:dyDescent="0.35">
      <c r="B689" s="15"/>
      <c r="C689" s="15"/>
      <c r="D689" s="15"/>
      <c r="E689" s="15"/>
      <c r="F689" s="15"/>
      <c r="G689" s="15"/>
      <c r="H689" s="15"/>
    </row>
    <row r="690" spans="2:8" x14ac:dyDescent="0.35">
      <c r="B690" s="15"/>
      <c r="C690" s="15"/>
      <c r="D690" s="15"/>
      <c r="E690" s="15"/>
      <c r="F690" s="15"/>
      <c r="G690" s="15"/>
      <c r="H690" s="15"/>
    </row>
    <row r="691" spans="2:8" x14ac:dyDescent="0.35">
      <c r="B691" s="15"/>
      <c r="C691" s="15"/>
      <c r="D691" s="15"/>
      <c r="E691" s="15"/>
      <c r="F691" s="15"/>
      <c r="G691" s="15"/>
      <c r="H691" s="15"/>
    </row>
    <row r="692" spans="2:8" x14ac:dyDescent="0.35">
      <c r="B692" s="15"/>
      <c r="C692" s="15"/>
      <c r="D692" s="15"/>
      <c r="E692" s="15"/>
      <c r="F692" s="15"/>
      <c r="G692" s="15"/>
      <c r="H692" s="15"/>
    </row>
    <row r="693" spans="2:8" x14ac:dyDescent="0.35">
      <c r="B693" s="15"/>
      <c r="C693" s="15"/>
      <c r="D693" s="15"/>
      <c r="E693" s="15"/>
      <c r="F693" s="15"/>
      <c r="G693" s="15"/>
      <c r="H693" s="15"/>
    </row>
    <row r="694" spans="2:8" x14ac:dyDescent="0.35">
      <c r="B694" s="15"/>
      <c r="C694" s="15"/>
      <c r="D694" s="15"/>
      <c r="E694" s="15"/>
      <c r="F694" s="15"/>
      <c r="G694" s="15"/>
      <c r="H694" s="15"/>
    </row>
    <row r="695" spans="2:8" x14ac:dyDescent="0.35">
      <c r="B695" s="15"/>
      <c r="C695" s="15"/>
      <c r="D695" s="15"/>
      <c r="E695" s="15"/>
      <c r="F695" s="15"/>
      <c r="G695" s="15"/>
      <c r="H695" s="15"/>
    </row>
    <row r="696" spans="2:8" x14ac:dyDescent="0.35">
      <c r="B696" s="15"/>
      <c r="C696" s="15"/>
      <c r="D696" s="15"/>
      <c r="E696" s="15"/>
      <c r="F696" s="15"/>
      <c r="G696" s="15"/>
      <c r="H696" s="15"/>
    </row>
    <row r="697" spans="2:8" x14ac:dyDescent="0.35">
      <c r="B697" s="15"/>
      <c r="C697" s="15"/>
      <c r="D697" s="15"/>
      <c r="E697" s="15"/>
      <c r="F697" s="15"/>
      <c r="G697" s="15"/>
      <c r="H697" s="15"/>
    </row>
    <row r="698" spans="2:8" x14ac:dyDescent="0.35">
      <c r="B698" s="15"/>
      <c r="C698" s="15"/>
      <c r="D698" s="15"/>
      <c r="E698" s="15"/>
      <c r="F698" s="15"/>
      <c r="G698" s="15"/>
      <c r="H698" s="15"/>
    </row>
    <row r="699" spans="2:8" x14ac:dyDescent="0.35">
      <c r="B699" s="15"/>
      <c r="C699" s="15"/>
      <c r="D699" s="15"/>
      <c r="E699" s="15"/>
      <c r="F699" s="15"/>
      <c r="G699" s="15"/>
      <c r="H699" s="15"/>
    </row>
    <row r="700" spans="2:8" x14ac:dyDescent="0.35">
      <c r="B700" s="15"/>
      <c r="C700" s="15"/>
      <c r="D700" s="15"/>
      <c r="E700" s="15"/>
      <c r="F700" s="15"/>
      <c r="G700" s="15"/>
      <c r="H700" s="15"/>
    </row>
    <row r="701" spans="2:8" x14ac:dyDescent="0.35">
      <c r="B701" s="15"/>
      <c r="C701" s="15"/>
      <c r="D701" s="15"/>
      <c r="E701" s="15"/>
      <c r="F701" s="15"/>
      <c r="G701" s="15"/>
      <c r="H701" s="15"/>
    </row>
    <row r="702" spans="2:8" x14ac:dyDescent="0.35">
      <c r="B702" s="15"/>
      <c r="C702" s="15"/>
      <c r="D702" s="15"/>
      <c r="E702" s="15"/>
      <c r="F702" s="15"/>
      <c r="G702" s="15"/>
      <c r="H702" s="15"/>
    </row>
    <row r="703" spans="2:8" x14ac:dyDescent="0.35">
      <c r="B703" s="15"/>
      <c r="C703" s="15"/>
      <c r="D703" s="15"/>
      <c r="E703" s="15"/>
      <c r="F703" s="15"/>
      <c r="G703" s="15"/>
      <c r="H703" s="15"/>
    </row>
    <row r="704" spans="2:8" x14ac:dyDescent="0.35">
      <c r="B704" s="15"/>
      <c r="C704" s="15"/>
      <c r="D704" s="15"/>
      <c r="E704" s="15"/>
      <c r="F704" s="15"/>
      <c r="G704" s="15"/>
      <c r="H704" s="15"/>
    </row>
    <row r="705" spans="2:8" x14ac:dyDescent="0.35">
      <c r="B705" s="15"/>
      <c r="C705" s="15"/>
      <c r="D705" s="15"/>
      <c r="E705" s="15"/>
      <c r="F705" s="15"/>
      <c r="G705" s="15"/>
      <c r="H705" s="15"/>
    </row>
    <row r="706" spans="2:8" x14ac:dyDescent="0.35">
      <c r="B706" s="15"/>
      <c r="C706" s="15"/>
      <c r="D706" s="15"/>
      <c r="E706" s="15"/>
      <c r="F706" s="15"/>
      <c r="G706" s="15"/>
      <c r="H706" s="15"/>
    </row>
    <row r="707" spans="2:8" x14ac:dyDescent="0.35">
      <c r="B707" s="15"/>
      <c r="C707" s="15"/>
      <c r="D707" s="15"/>
      <c r="E707" s="15"/>
      <c r="F707" s="15"/>
      <c r="G707" s="15"/>
      <c r="H707" s="15"/>
    </row>
    <row r="708" spans="2:8" x14ac:dyDescent="0.35">
      <c r="B708" s="15"/>
      <c r="C708" s="15"/>
      <c r="D708" s="15"/>
      <c r="E708" s="15"/>
      <c r="F708" s="15"/>
      <c r="G708" s="15"/>
      <c r="H708" s="15"/>
    </row>
    <row r="709" spans="2:8" x14ac:dyDescent="0.35">
      <c r="B709" s="15"/>
      <c r="C709" s="15"/>
      <c r="D709" s="15"/>
      <c r="E709" s="15"/>
      <c r="F709" s="15"/>
      <c r="G709" s="15"/>
      <c r="H709" s="15"/>
    </row>
    <row r="710" spans="2:8" x14ac:dyDescent="0.35">
      <c r="B710" s="15"/>
      <c r="C710" s="15"/>
      <c r="D710" s="15"/>
      <c r="E710" s="15"/>
      <c r="F710" s="15"/>
      <c r="G710" s="15"/>
      <c r="H710" s="15"/>
    </row>
    <row r="711" spans="2:8" x14ac:dyDescent="0.35">
      <c r="B711" s="15"/>
      <c r="C711" s="15"/>
      <c r="D711" s="15"/>
      <c r="E711" s="15"/>
      <c r="F711" s="15"/>
      <c r="G711" s="15"/>
      <c r="H711" s="15"/>
    </row>
    <row r="712" spans="2:8" x14ac:dyDescent="0.35">
      <c r="B712" s="15"/>
      <c r="C712" s="15"/>
      <c r="D712" s="15"/>
      <c r="E712" s="15"/>
      <c r="F712" s="15"/>
      <c r="G712" s="15"/>
      <c r="H712" s="15"/>
    </row>
    <row r="713" spans="2:8" x14ac:dyDescent="0.35">
      <c r="B713" s="15"/>
      <c r="C713" s="15"/>
      <c r="D713" s="15"/>
      <c r="E713" s="15"/>
      <c r="F713" s="15"/>
      <c r="G713" s="15"/>
      <c r="H713" s="15"/>
    </row>
    <row r="714" spans="2:8" x14ac:dyDescent="0.35">
      <c r="B714" s="15"/>
      <c r="C714" s="15"/>
      <c r="D714" s="15"/>
      <c r="E714" s="15"/>
      <c r="F714" s="15"/>
      <c r="G714" s="15"/>
      <c r="H714" s="15"/>
    </row>
    <row r="715" spans="2:8" x14ac:dyDescent="0.35">
      <c r="B715" s="15"/>
      <c r="C715" s="15"/>
      <c r="D715" s="15"/>
      <c r="E715" s="15"/>
      <c r="F715" s="15"/>
      <c r="G715" s="15"/>
      <c r="H715" s="15"/>
    </row>
    <row r="716" spans="2:8" x14ac:dyDescent="0.35">
      <c r="B716" s="15"/>
      <c r="C716" s="15"/>
      <c r="D716" s="15"/>
      <c r="E716" s="15"/>
      <c r="F716" s="15"/>
      <c r="G716" s="15"/>
      <c r="H716" s="15"/>
    </row>
    <row r="717" spans="2:8" x14ac:dyDescent="0.35">
      <c r="B717" s="15"/>
      <c r="C717" s="15"/>
      <c r="D717" s="15"/>
      <c r="E717" s="15"/>
      <c r="F717" s="15"/>
      <c r="G717" s="15"/>
      <c r="H717" s="15"/>
    </row>
    <row r="718" spans="2:8" x14ac:dyDescent="0.35">
      <c r="B718" s="15"/>
      <c r="C718" s="15"/>
      <c r="D718" s="15"/>
      <c r="E718" s="15"/>
      <c r="F718" s="15"/>
      <c r="G718" s="15"/>
      <c r="H718" s="15"/>
    </row>
    <row r="719" spans="2:8" x14ac:dyDescent="0.35">
      <c r="B719" s="15"/>
      <c r="C719" s="15"/>
      <c r="D719" s="15"/>
      <c r="E719" s="15"/>
      <c r="F719" s="15"/>
      <c r="G719" s="15"/>
      <c r="H719" s="15"/>
    </row>
    <row r="720" spans="2:8" x14ac:dyDescent="0.35">
      <c r="B720" s="15"/>
      <c r="C720" s="15"/>
      <c r="D720" s="15"/>
      <c r="E720" s="15"/>
      <c r="F720" s="15"/>
      <c r="G720" s="15"/>
      <c r="H720" s="15"/>
    </row>
    <row r="721" spans="2:8" x14ac:dyDescent="0.35">
      <c r="B721" s="15"/>
      <c r="C721" s="15"/>
      <c r="D721" s="15"/>
      <c r="E721" s="15"/>
      <c r="F721" s="15"/>
      <c r="G721" s="15"/>
      <c r="H721" s="15"/>
    </row>
    <row r="722" spans="2:8" x14ac:dyDescent="0.35">
      <c r="B722" s="15"/>
      <c r="C722" s="15"/>
      <c r="D722" s="15"/>
      <c r="E722" s="15"/>
      <c r="F722" s="15"/>
      <c r="G722" s="15"/>
      <c r="H722" s="15"/>
    </row>
    <row r="723" spans="2:8" x14ac:dyDescent="0.35">
      <c r="B723" s="15"/>
      <c r="C723" s="15"/>
      <c r="D723" s="15"/>
      <c r="E723" s="15"/>
      <c r="F723" s="15"/>
      <c r="G723" s="15"/>
      <c r="H723" s="15"/>
    </row>
    <row r="724" spans="2:8" x14ac:dyDescent="0.35">
      <c r="B724" s="15"/>
      <c r="C724" s="15"/>
      <c r="D724" s="15"/>
      <c r="E724" s="15"/>
      <c r="F724" s="15"/>
      <c r="G724" s="15"/>
      <c r="H724" s="15"/>
    </row>
    <row r="725" spans="2:8" x14ac:dyDescent="0.35">
      <c r="B725" s="15"/>
      <c r="C725" s="15"/>
      <c r="D725" s="15"/>
      <c r="E725" s="15"/>
      <c r="F725" s="15"/>
      <c r="G725" s="15"/>
      <c r="H725" s="15"/>
    </row>
    <row r="726" spans="2:8" x14ac:dyDescent="0.35">
      <c r="B726" s="15"/>
      <c r="C726" s="15"/>
      <c r="D726" s="15"/>
      <c r="E726" s="15"/>
      <c r="F726" s="15"/>
      <c r="G726" s="15"/>
      <c r="H726" s="15"/>
    </row>
    <row r="727" spans="2:8" x14ac:dyDescent="0.35">
      <c r="B727" s="15"/>
      <c r="C727" s="15"/>
      <c r="D727" s="15"/>
      <c r="E727" s="15"/>
      <c r="F727" s="15"/>
      <c r="G727" s="15"/>
      <c r="H727" s="15"/>
    </row>
    <row r="728" spans="2:8" x14ac:dyDescent="0.35">
      <c r="B728" s="15"/>
      <c r="C728" s="15"/>
      <c r="D728" s="15"/>
      <c r="E728" s="15"/>
      <c r="F728" s="15"/>
      <c r="G728" s="15"/>
      <c r="H728" s="15"/>
    </row>
    <row r="729" spans="2:8" x14ac:dyDescent="0.35">
      <c r="B729" s="15"/>
      <c r="C729" s="15"/>
      <c r="D729" s="15"/>
      <c r="E729" s="15"/>
      <c r="F729" s="15"/>
      <c r="G729" s="15"/>
      <c r="H729" s="15"/>
    </row>
    <row r="730" spans="2:8" x14ac:dyDescent="0.35">
      <c r="B730" s="15"/>
      <c r="C730" s="15"/>
      <c r="D730" s="15"/>
      <c r="E730" s="15"/>
      <c r="F730" s="15"/>
      <c r="G730" s="15"/>
      <c r="H730" s="15"/>
    </row>
    <row r="731" spans="2:8" x14ac:dyDescent="0.35">
      <c r="B731" s="15"/>
      <c r="C731" s="15"/>
      <c r="D731" s="15"/>
      <c r="E731" s="15"/>
      <c r="F731" s="15"/>
      <c r="G731" s="15"/>
      <c r="H731" s="15"/>
    </row>
    <row r="732" spans="2:8" x14ac:dyDescent="0.35">
      <c r="B732" s="15"/>
      <c r="C732" s="15"/>
      <c r="D732" s="15"/>
      <c r="E732" s="15"/>
      <c r="F732" s="15"/>
      <c r="G732" s="15"/>
      <c r="H732" s="15"/>
    </row>
    <row r="733" spans="2:8" x14ac:dyDescent="0.35">
      <c r="B733" s="15"/>
      <c r="C733" s="15"/>
      <c r="D733" s="15"/>
      <c r="E733" s="15"/>
      <c r="F733" s="15"/>
      <c r="G733" s="15"/>
      <c r="H733" s="15"/>
    </row>
    <row r="734" spans="2:8" x14ac:dyDescent="0.35">
      <c r="B734" s="15"/>
      <c r="C734" s="15"/>
      <c r="D734" s="15"/>
      <c r="E734" s="15"/>
      <c r="F734" s="15"/>
      <c r="G734" s="15"/>
      <c r="H734" s="15"/>
    </row>
    <row r="735" spans="2:8" x14ac:dyDescent="0.35">
      <c r="B735" s="15"/>
      <c r="C735" s="15"/>
      <c r="D735" s="15"/>
      <c r="E735" s="15"/>
      <c r="F735" s="15"/>
      <c r="G735" s="15"/>
      <c r="H735" s="15"/>
    </row>
    <row r="736" spans="2:8" x14ac:dyDescent="0.35">
      <c r="B736" s="15"/>
      <c r="C736" s="15"/>
      <c r="D736" s="15"/>
      <c r="E736" s="15"/>
      <c r="F736" s="15"/>
      <c r="G736" s="15"/>
      <c r="H736" s="15"/>
    </row>
    <row r="737" spans="2:8" x14ac:dyDescent="0.35">
      <c r="B737" s="15"/>
      <c r="C737" s="15"/>
      <c r="D737" s="15"/>
      <c r="E737" s="15"/>
      <c r="F737" s="15"/>
      <c r="G737" s="15"/>
      <c r="H737" s="15"/>
    </row>
    <row r="738" spans="2:8" x14ac:dyDescent="0.35">
      <c r="B738" s="15"/>
      <c r="C738" s="15"/>
      <c r="D738" s="15"/>
      <c r="E738" s="15"/>
      <c r="F738" s="15"/>
      <c r="G738" s="15"/>
      <c r="H738" s="15"/>
    </row>
    <row r="739" spans="2:8" x14ac:dyDescent="0.35">
      <c r="B739" s="15"/>
      <c r="C739" s="15"/>
      <c r="D739" s="15"/>
      <c r="E739" s="15"/>
      <c r="F739" s="15"/>
      <c r="G739" s="15"/>
      <c r="H739" s="15"/>
    </row>
    <row r="740" spans="2:8" x14ac:dyDescent="0.35">
      <c r="B740" s="15"/>
      <c r="C740" s="15"/>
      <c r="D740" s="15"/>
      <c r="E740" s="15"/>
      <c r="F740" s="15"/>
      <c r="G740" s="15"/>
      <c r="H740" s="15"/>
    </row>
    <row r="741" spans="2:8" x14ac:dyDescent="0.35">
      <c r="B741" s="15"/>
      <c r="C741" s="15"/>
      <c r="D741" s="15"/>
      <c r="E741" s="15"/>
      <c r="F741" s="15"/>
      <c r="G741" s="15"/>
      <c r="H741" s="15"/>
    </row>
    <row r="742" spans="2:8" x14ac:dyDescent="0.35">
      <c r="B742" s="15"/>
      <c r="C742" s="15"/>
      <c r="D742" s="15"/>
      <c r="E742" s="15"/>
      <c r="F742" s="15"/>
      <c r="G742" s="15"/>
      <c r="H742" s="15"/>
    </row>
    <row r="743" spans="2:8" x14ac:dyDescent="0.35">
      <c r="B743" s="15"/>
      <c r="C743" s="15"/>
      <c r="D743" s="15"/>
      <c r="E743" s="15"/>
      <c r="F743" s="15"/>
      <c r="G743" s="15"/>
      <c r="H743" s="15"/>
    </row>
    <row r="744" spans="2:8" x14ac:dyDescent="0.35">
      <c r="B744" s="15"/>
      <c r="C744" s="15"/>
      <c r="D744" s="15"/>
      <c r="E744" s="15"/>
      <c r="F744" s="15"/>
      <c r="G744" s="15"/>
      <c r="H744" s="15"/>
    </row>
    <row r="745" spans="2:8" x14ac:dyDescent="0.35">
      <c r="B745" s="15"/>
      <c r="C745" s="15"/>
      <c r="D745" s="15"/>
      <c r="E745" s="15"/>
      <c r="F745" s="15"/>
      <c r="G745" s="15"/>
      <c r="H745" s="15"/>
    </row>
    <row r="746" spans="2:8" x14ac:dyDescent="0.35">
      <c r="B746" s="15"/>
      <c r="C746" s="15"/>
      <c r="D746" s="15"/>
      <c r="E746" s="15"/>
      <c r="F746" s="15"/>
      <c r="G746" s="15"/>
      <c r="H746" s="15"/>
    </row>
    <row r="747" spans="2:8" x14ac:dyDescent="0.35">
      <c r="B747" s="15"/>
      <c r="C747" s="15"/>
      <c r="D747" s="15"/>
      <c r="E747" s="15"/>
      <c r="F747" s="15"/>
      <c r="G747" s="15"/>
      <c r="H747" s="15"/>
    </row>
    <row r="748" spans="2:8" x14ac:dyDescent="0.35">
      <c r="B748" s="15"/>
      <c r="C748" s="15"/>
      <c r="D748" s="15"/>
      <c r="E748" s="15"/>
      <c r="F748" s="15"/>
      <c r="G748" s="15"/>
      <c r="H748" s="15"/>
    </row>
    <row r="749" spans="2:8" x14ac:dyDescent="0.35">
      <c r="B749" s="15"/>
      <c r="C749" s="15"/>
      <c r="D749" s="15"/>
      <c r="E749" s="15"/>
      <c r="F749" s="15"/>
      <c r="G749" s="15"/>
      <c r="H749" s="15"/>
    </row>
    <row r="750" spans="2:8" x14ac:dyDescent="0.35">
      <c r="B750" s="15"/>
      <c r="C750" s="15"/>
      <c r="D750" s="15"/>
      <c r="E750" s="15"/>
      <c r="F750" s="15"/>
      <c r="G750" s="15"/>
      <c r="H750" s="15"/>
    </row>
    <row r="751" spans="2:8" x14ac:dyDescent="0.35">
      <c r="B751" s="15"/>
      <c r="C751" s="15"/>
      <c r="D751" s="15"/>
      <c r="E751" s="15"/>
      <c r="F751" s="15"/>
      <c r="G751" s="15"/>
      <c r="H751" s="15"/>
    </row>
    <row r="752" spans="2:8" x14ac:dyDescent="0.35">
      <c r="B752" s="15"/>
      <c r="C752" s="15"/>
      <c r="D752" s="15"/>
      <c r="E752" s="15"/>
      <c r="F752" s="15"/>
      <c r="G752" s="15"/>
      <c r="H752" s="15"/>
    </row>
    <row r="753" spans="2:8" x14ac:dyDescent="0.35">
      <c r="B753" s="15"/>
      <c r="C753" s="15"/>
      <c r="D753" s="15"/>
      <c r="E753" s="15"/>
      <c r="F753" s="15"/>
      <c r="G753" s="15"/>
      <c r="H753" s="15"/>
    </row>
    <row r="754" spans="2:8" x14ac:dyDescent="0.35">
      <c r="B754" s="15"/>
      <c r="C754" s="15"/>
      <c r="D754" s="15"/>
      <c r="E754" s="15"/>
      <c r="F754" s="15"/>
      <c r="G754" s="15"/>
      <c r="H754" s="15"/>
    </row>
    <row r="755" spans="2:8" x14ac:dyDescent="0.35">
      <c r="B755" s="15"/>
      <c r="C755" s="15"/>
      <c r="D755" s="15"/>
      <c r="E755" s="15"/>
      <c r="F755" s="15"/>
      <c r="G755" s="15"/>
      <c r="H755" s="15"/>
    </row>
    <row r="756" spans="2:8" x14ac:dyDescent="0.35">
      <c r="B756" s="15"/>
      <c r="C756" s="15"/>
      <c r="D756" s="15"/>
      <c r="E756" s="15"/>
      <c r="F756" s="15"/>
      <c r="G756" s="15"/>
      <c r="H756" s="15"/>
    </row>
    <row r="757" spans="2:8" x14ac:dyDescent="0.35">
      <c r="B757" s="15"/>
      <c r="C757" s="15"/>
      <c r="D757" s="15"/>
      <c r="E757" s="15"/>
      <c r="F757" s="15"/>
      <c r="G757" s="15"/>
      <c r="H757" s="15"/>
    </row>
    <row r="758" spans="2:8" x14ac:dyDescent="0.35">
      <c r="B758" s="15"/>
      <c r="C758" s="15"/>
      <c r="D758" s="15"/>
      <c r="E758" s="15"/>
      <c r="F758" s="15"/>
      <c r="G758" s="15"/>
      <c r="H758" s="15"/>
    </row>
    <row r="759" spans="2:8" x14ac:dyDescent="0.35">
      <c r="B759" s="15"/>
      <c r="C759" s="15"/>
      <c r="D759" s="15"/>
      <c r="E759" s="15"/>
      <c r="F759" s="15"/>
      <c r="G759" s="15"/>
      <c r="H759" s="15"/>
    </row>
    <row r="760" spans="2:8" x14ac:dyDescent="0.35">
      <c r="B760" s="15"/>
      <c r="C760" s="15"/>
      <c r="D760" s="15"/>
      <c r="E760" s="15"/>
      <c r="F760" s="15"/>
      <c r="G760" s="15"/>
      <c r="H760" s="15"/>
    </row>
    <row r="761" spans="2:8" x14ac:dyDescent="0.35">
      <c r="B761" s="15"/>
      <c r="C761" s="15"/>
      <c r="D761" s="15"/>
      <c r="E761" s="15"/>
      <c r="F761" s="15"/>
      <c r="G761" s="15"/>
      <c r="H761" s="15"/>
    </row>
    <row r="762" spans="2:8" x14ac:dyDescent="0.35">
      <c r="B762" s="15"/>
      <c r="C762" s="15"/>
      <c r="D762" s="15"/>
      <c r="E762" s="15"/>
      <c r="F762" s="15"/>
      <c r="G762" s="15"/>
      <c r="H762" s="15"/>
    </row>
    <row r="763" spans="2:8" x14ac:dyDescent="0.35">
      <c r="B763" s="15"/>
      <c r="C763" s="15"/>
      <c r="D763" s="15"/>
      <c r="E763" s="15"/>
      <c r="F763" s="15"/>
      <c r="G763" s="15"/>
      <c r="H763" s="15"/>
    </row>
    <row r="764" spans="2:8" x14ac:dyDescent="0.35">
      <c r="B764" s="15"/>
      <c r="C764" s="15"/>
      <c r="D764" s="15"/>
      <c r="E764" s="15"/>
      <c r="F764" s="15"/>
      <c r="G764" s="15"/>
      <c r="H764" s="15"/>
    </row>
    <row r="765" spans="2:8" x14ac:dyDescent="0.35">
      <c r="B765" s="15"/>
      <c r="C765" s="15"/>
      <c r="D765" s="15"/>
      <c r="E765" s="15"/>
      <c r="F765" s="15"/>
      <c r="G765" s="15"/>
      <c r="H765" s="15"/>
    </row>
    <row r="766" spans="2:8" x14ac:dyDescent="0.35">
      <c r="B766" s="15"/>
      <c r="C766" s="15"/>
      <c r="D766" s="15"/>
      <c r="E766" s="15"/>
      <c r="F766" s="15"/>
      <c r="G766" s="15"/>
      <c r="H766" s="15"/>
    </row>
    <row r="767" spans="2:8" x14ac:dyDescent="0.35">
      <c r="B767" s="15"/>
      <c r="C767" s="15"/>
      <c r="D767" s="15"/>
      <c r="E767" s="15"/>
      <c r="F767" s="15"/>
      <c r="G767" s="15"/>
      <c r="H767" s="15"/>
    </row>
    <row r="768" spans="2:8" x14ac:dyDescent="0.35">
      <c r="B768" s="15"/>
      <c r="C768" s="15"/>
      <c r="D768" s="15"/>
      <c r="E768" s="15"/>
      <c r="F768" s="15"/>
      <c r="G768" s="15"/>
      <c r="H768" s="15"/>
    </row>
    <row r="769" spans="2:8" x14ac:dyDescent="0.35">
      <c r="B769" s="15"/>
      <c r="C769" s="15"/>
      <c r="D769" s="15"/>
      <c r="E769" s="15"/>
      <c r="F769" s="15"/>
      <c r="G769" s="15"/>
      <c r="H769" s="15"/>
    </row>
    <row r="770" spans="2:8" x14ac:dyDescent="0.35">
      <c r="B770" s="15"/>
      <c r="C770" s="15"/>
      <c r="D770" s="15"/>
      <c r="E770" s="15"/>
      <c r="F770" s="15"/>
      <c r="G770" s="15"/>
      <c r="H770" s="15"/>
    </row>
    <row r="771" spans="2:8" x14ac:dyDescent="0.35">
      <c r="B771" s="15"/>
      <c r="C771" s="15"/>
      <c r="D771" s="15"/>
      <c r="E771" s="15"/>
      <c r="F771" s="15"/>
      <c r="G771" s="15"/>
      <c r="H771" s="15"/>
    </row>
    <row r="772" spans="2:8" x14ac:dyDescent="0.35">
      <c r="B772" s="15"/>
      <c r="C772" s="15"/>
      <c r="D772" s="15"/>
      <c r="E772" s="15"/>
      <c r="F772" s="15"/>
      <c r="G772" s="15"/>
      <c r="H772" s="15"/>
    </row>
    <row r="773" spans="2:8" x14ac:dyDescent="0.35">
      <c r="B773" s="15"/>
      <c r="C773" s="15"/>
      <c r="D773" s="15"/>
      <c r="E773" s="15"/>
      <c r="F773" s="15"/>
      <c r="G773" s="15"/>
      <c r="H773" s="15"/>
    </row>
    <row r="774" spans="2:8" x14ac:dyDescent="0.35">
      <c r="B774" s="15"/>
      <c r="C774" s="15"/>
      <c r="D774" s="15"/>
      <c r="E774" s="15"/>
      <c r="F774" s="15"/>
      <c r="G774" s="15"/>
      <c r="H774" s="15"/>
    </row>
    <row r="775" spans="2:8" x14ac:dyDescent="0.35">
      <c r="B775" s="15"/>
      <c r="C775" s="15"/>
      <c r="D775" s="15"/>
      <c r="E775" s="15"/>
      <c r="F775" s="15"/>
      <c r="G775" s="15"/>
      <c r="H775" s="15"/>
    </row>
    <row r="776" spans="2:8" x14ac:dyDescent="0.35">
      <c r="B776" s="15"/>
      <c r="C776" s="15"/>
      <c r="D776" s="15"/>
      <c r="E776" s="15"/>
      <c r="F776" s="15"/>
      <c r="G776" s="15"/>
      <c r="H776" s="15"/>
    </row>
    <row r="777" spans="2:8" x14ac:dyDescent="0.35">
      <c r="B777" s="15"/>
      <c r="C777" s="15"/>
      <c r="D777" s="15"/>
      <c r="E777" s="15"/>
      <c r="F777" s="15"/>
      <c r="G777" s="15"/>
      <c r="H777" s="15"/>
    </row>
    <row r="778" spans="2:8" x14ac:dyDescent="0.35">
      <c r="B778" s="15"/>
      <c r="C778" s="15"/>
      <c r="D778" s="15"/>
      <c r="E778" s="15"/>
      <c r="F778" s="15"/>
      <c r="G778" s="15"/>
      <c r="H778" s="15"/>
    </row>
    <row r="779" spans="2:8" x14ac:dyDescent="0.35">
      <c r="B779" s="15"/>
      <c r="C779" s="15"/>
      <c r="D779" s="15"/>
      <c r="E779" s="15"/>
      <c r="F779" s="15"/>
      <c r="G779" s="15"/>
      <c r="H779" s="15"/>
    </row>
    <row r="780" spans="2:8" x14ac:dyDescent="0.35">
      <c r="B780" s="15"/>
      <c r="C780" s="15"/>
      <c r="D780" s="15"/>
      <c r="E780" s="15"/>
      <c r="F780" s="15"/>
      <c r="G780" s="15"/>
      <c r="H780" s="15"/>
    </row>
    <row r="781" spans="2:8" x14ac:dyDescent="0.35">
      <c r="B781" s="15"/>
      <c r="C781" s="15"/>
      <c r="D781" s="15"/>
      <c r="E781" s="15"/>
      <c r="F781" s="15"/>
      <c r="G781" s="15"/>
      <c r="H781" s="15"/>
    </row>
    <row r="782" spans="2:8" x14ac:dyDescent="0.35">
      <c r="B782" s="15"/>
      <c r="C782" s="15"/>
      <c r="D782" s="15"/>
      <c r="E782" s="15"/>
      <c r="F782" s="15"/>
      <c r="G782" s="15"/>
      <c r="H782" s="15"/>
    </row>
    <row r="783" spans="2:8" x14ac:dyDescent="0.35">
      <c r="B783" s="15"/>
      <c r="C783" s="15"/>
      <c r="D783" s="15"/>
      <c r="E783" s="15"/>
      <c r="F783" s="15"/>
      <c r="G783" s="15"/>
      <c r="H783" s="15"/>
    </row>
    <row r="784" spans="2:8" x14ac:dyDescent="0.35">
      <c r="B784" s="15"/>
      <c r="C784" s="15"/>
      <c r="D784" s="15"/>
      <c r="E784" s="15"/>
      <c r="F784" s="15"/>
      <c r="G784" s="15"/>
      <c r="H784" s="15"/>
    </row>
    <row r="785" spans="2:8" x14ac:dyDescent="0.35">
      <c r="B785" s="15"/>
      <c r="C785" s="15"/>
      <c r="D785" s="15"/>
      <c r="E785" s="15"/>
      <c r="F785" s="15"/>
      <c r="G785" s="15"/>
      <c r="H785" s="15"/>
    </row>
    <row r="786" spans="2:8" x14ac:dyDescent="0.35">
      <c r="B786" s="15"/>
      <c r="C786" s="15"/>
      <c r="D786" s="15"/>
      <c r="E786" s="15"/>
      <c r="F786" s="15"/>
      <c r="G786" s="15"/>
      <c r="H786" s="15"/>
    </row>
    <row r="787" spans="2:8" x14ac:dyDescent="0.35">
      <c r="B787" s="15"/>
      <c r="C787" s="15"/>
      <c r="D787" s="15"/>
      <c r="E787" s="15"/>
      <c r="F787" s="15"/>
      <c r="G787" s="15"/>
      <c r="H787" s="15"/>
    </row>
    <row r="788" spans="2:8" x14ac:dyDescent="0.35">
      <c r="B788" s="15"/>
      <c r="C788" s="15"/>
      <c r="D788" s="15"/>
      <c r="E788" s="15"/>
      <c r="F788" s="15"/>
      <c r="G788" s="15"/>
      <c r="H788" s="15"/>
    </row>
    <row r="789" spans="2:8" x14ac:dyDescent="0.35">
      <c r="B789" s="15"/>
      <c r="C789" s="15"/>
      <c r="D789" s="15"/>
      <c r="E789" s="15"/>
      <c r="F789" s="15"/>
      <c r="G789" s="15"/>
      <c r="H789" s="15"/>
    </row>
    <row r="790" spans="2:8" x14ac:dyDescent="0.35">
      <c r="B790" s="15"/>
      <c r="C790" s="15"/>
      <c r="D790" s="15"/>
      <c r="E790" s="15"/>
      <c r="F790" s="15"/>
      <c r="G790" s="15"/>
      <c r="H790" s="15"/>
    </row>
    <row r="791" spans="2:8" x14ac:dyDescent="0.35">
      <c r="B791" s="15"/>
      <c r="C791" s="15"/>
      <c r="D791" s="15"/>
      <c r="E791" s="15"/>
      <c r="F791" s="15"/>
      <c r="G791" s="15"/>
      <c r="H791" s="15"/>
    </row>
    <row r="792" spans="2:8" x14ac:dyDescent="0.35">
      <c r="B792" s="15"/>
      <c r="C792" s="15"/>
      <c r="D792" s="15"/>
      <c r="E792" s="15"/>
      <c r="F792" s="15"/>
      <c r="G792" s="15"/>
      <c r="H792" s="15"/>
    </row>
    <row r="793" spans="2:8" x14ac:dyDescent="0.35">
      <c r="B793" s="15"/>
      <c r="C793" s="15"/>
      <c r="D793" s="15"/>
      <c r="E793" s="15"/>
      <c r="F793" s="15"/>
      <c r="G793" s="15"/>
      <c r="H793" s="15"/>
    </row>
    <row r="794" spans="2:8" x14ac:dyDescent="0.35">
      <c r="B794" s="15"/>
      <c r="C794" s="15"/>
      <c r="D794" s="15"/>
      <c r="E794" s="15"/>
      <c r="F794" s="15"/>
      <c r="G794" s="15"/>
      <c r="H794" s="15"/>
    </row>
    <row r="795" spans="2:8" x14ac:dyDescent="0.35">
      <c r="B795" s="15"/>
      <c r="C795" s="15"/>
      <c r="D795" s="15"/>
      <c r="E795" s="15"/>
      <c r="F795" s="15"/>
      <c r="G795" s="15"/>
      <c r="H795" s="15"/>
    </row>
    <row r="796" spans="2:8" x14ac:dyDescent="0.35">
      <c r="B796" s="15"/>
      <c r="C796" s="15"/>
      <c r="D796" s="15"/>
      <c r="E796" s="15"/>
      <c r="F796" s="15"/>
      <c r="G796" s="15"/>
      <c r="H796" s="15"/>
    </row>
    <row r="797" spans="2:8" x14ac:dyDescent="0.35">
      <c r="B797" s="15"/>
      <c r="C797" s="15"/>
      <c r="D797" s="15"/>
      <c r="E797" s="15"/>
      <c r="F797" s="15"/>
      <c r="G797" s="15"/>
      <c r="H797" s="15"/>
    </row>
    <row r="798" spans="2:8" x14ac:dyDescent="0.35">
      <c r="B798" s="15"/>
      <c r="C798" s="15"/>
      <c r="D798" s="15"/>
      <c r="E798" s="15"/>
      <c r="F798" s="15"/>
      <c r="G798" s="15"/>
      <c r="H798" s="15"/>
    </row>
    <row r="799" spans="2:8" x14ac:dyDescent="0.35">
      <c r="B799" s="15"/>
      <c r="C799" s="15"/>
      <c r="D799" s="15"/>
      <c r="E799" s="15"/>
      <c r="F799" s="15"/>
      <c r="G799" s="15"/>
      <c r="H799" s="15"/>
    </row>
    <row r="800" spans="2:8" x14ac:dyDescent="0.35">
      <c r="B800" s="15"/>
      <c r="C800" s="15"/>
      <c r="D800" s="15"/>
      <c r="E800" s="15"/>
      <c r="F800" s="15"/>
      <c r="G800" s="15"/>
      <c r="H800" s="15"/>
    </row>
    <row r="801" spans="2:8" x14ac:dyDescent="0.35">
      <c r="B801" s="15"/>
      <c r="C801" s="15"/>
      <c r="D801" s="15"/>
      <c r="E801" s="15"/>
      <c r="F801" s="15"/>
      <c r="G801" s="15"/>
      <c r="H801" s="15"/>
    </row>
    <row r="802" spans="2:8" x14ac:dyDescent="0.35">
      <c r="B802" s="15"/>
      <c r="C802" s="15"/>
      <c r="D802" s="15"/>
      <c r="E802" s="15"/>
      <c r="F802" s="15"/>
      <c r="G802" s="15"/>
      <c r="H802" s="15"/>
    </row>
    <row r="803" spans="2:8" x14ac:dyDescent="0.35">
      <c r="B803" s="15"/>
      <c r="C803" s="15"/>
      <c r="D803" s="15"/>
      <c r="E803" s="15"/>
      <c r="F803" s="15"/>
      <c r="G803" s="15"/>
      <c r="H803" s="15"/>
    </row>
    <row r="804" spans="2:8" x14ac:dyDescent="0.35">
      <c r="B804" s="15"/>
      <c r="C804" s="15"/>
      <c r="D804" s="15"/>
      <c r="E804" s="15"/>
      <c r="F804" s="15"/>
      <c r="G804" s="15"/>
      <c r="H804" s="15"/>
    </row>
    <row r="805" spans="2:8" x14ac:dyDescent="0.35">
      <c r="B805" s="15"/>
      <c r="C805" s="15"/>
      <c r="D805" s="15"/>
      <c r="E805" s="15"/>
      <c r="F805" s="15"/>
      <c r="G805" s="15"/>
      <c r="H805" s="15"/>
    </row>
    <row r="806" spans="2:8" x14ac:dyDescent="0.35">
      <c r="B806" s="15"/>
      <c r="C806" s="15"/>
      <c r="D806" s="15"/>
      <c r="E806" s="15"/>
      <c r="F806" s="15"/>
      <c r="G806" s="15"/>
      <c r="H806" s="15"/>
    </row>
    <row r="807" spans="2:8" x14ac:dyDescent="0.35">
      <c r="B807" s="15"/>
      <c r="C807" s="15"/>
      <c r="D807" s="15"/>
      <c r="E807" s="15"/>
      <c r="F807" s="15"/>
      <c r="G807" s="15"/>
      <c r="H807" s="15"/>
    </row>
    <row r="808" spans="2:8" x14ac:dyDescent="0.35">
      <c r="B808" s="15"/>
      <c r="C808" s="15"/>
      <c r="D808" s="15"/>
      <c r="E808" s="15"/>
      <c r="F808" s="15"/>
      <c r="G808" s="15"/>
      <c r="H808" s="15"/>
    </row>
    <row r="809" spans="2:8" x14ac:dyDescent="0.35">
      <c r="B809" s="15"/>
      <c r="C809" s="15"/>
      <c r="D809" s="15"/>
      <c r="E809" s="15"/>
      <c r="F809" s="15"/>
      <c r="G809" s="15"/>
      <c r="H809" s="15"/>
    </row>
    <row r="810" spans="2:8" x14ac:dyDescent="0.35">
      <c r="B810" s="15"/>
      <c r="C810" s="15"/>
      <c r="D810" s="15"/>
      <c r="E810" s="15"/>
      <c r="F810" s="15"/>
      <c r="G810" s="15"/>
      <c r="H810" s="15"/>
    </row>
    <row r="811" spans="2:8" x14ac:dyDescent="0.35">
      <c r="B811" s="15"/>
      <c r="C811" s="15"/>
      <c r="D811" s="15"/>
      <c r="E811" s="15"/>
      <c r="F811" s="15"/>
      <c r="G811" s="15"/>
      <c r="H811" s="15"/>
    </row>
    <row r="812" spans="2:8" x14ac:dyDescent="0.35">
      <c r="B812" s="15"/>
      <c r="C812" s="15"/>
      <c r="D812" s="15"/>
      <c r="E812" s="15"/>
      <c r="F812" s="15"/>
      <c r="G812" s="15"/>
      <c r="H812" s="15"/>
    </row>
    <row r="813" spans="2:8" x14ac:dyDescent="0.35">
      <c r="B813" s="15"/>
      <c r="C813" s="15"/>
      <c r="D813" s="15"/>
      <c r="E813" s="15"/>
      <c r="F813" s="15"/>
      <c r="G813" s="15"/>
      <c r="H813" s="15"/>
    </row>
    <row r="814" spans="2:8" x14ac:dyDescent="0.35">
      <c r="B814" s="15"/>
      <c r="C814" s="15"/>
      <c r="D814" s="15"/>
      <c r="E814" s="15"/>
      <c r="F814" s="15"/>
      <c r="G814" s="15"/>
      <c r="H814" s="15"/>
    </row>
    <row r="815" spans="2:8" x14ac:dyDescent="0.35">
      <c r="B815" s="15"/>
      <c r="C815" s="15"/>
      <c r="D815" s="15"/>
      <c r="E815" s="15"/>
      <c r="F815" s="15"/>
      <c r="G815" s="15"/>
      <c r="H815" s="15"/>
    </row>
    <row r="816" spans="2:8" x14ac:dyDescent="0.35">
      <c r="B816" s="15"/>
      <c r="C816" s="15"/>
      <c r="D816" s="15"/>
      <c r="E816" s="15"/>
      <c r="F816" s="15"/>
      <c r="G816" s="15"/>
      <c r="H816" s="15"/>
    </row>
    <row r="817" spans="2:8" x14ac:dyDescent="0.35">
      <c r="B817" s="15"/>
      <c r="C817" s="15"/>
      <c r="D817" s="15"/>
      <c r="E817" s="15"/>
      <c r="F817" s="15"/>
      <c r="G817" s="15"/>
      <c r="H817" s="15"/>
    </row>
    <row r="818" spans="2:8" x14ac:dyDescent="0.35">
      <c r="B818" s="15"/>
      <c r="C818" s="15"/>
      <c r="D818" s="15"/>
      <c r="E818" s="15"/>
      <c r="F818" s="15"/>
      <c r="G818" s="15"/>
      <c r="H818" s="15"/>
    </row>
    <row r="819" spans="2:8" x14ac:dyDescent="0.35">
      <c r="B819" s="15"/>
      <c r="C819" s="15"/>
      <c r="D819" s="15"/>
      <c r="E819" s="15"/>
      <c r="F819" s="15"/>
      <c r="G819" s="15"/>
      <c r="H819" s="15"/>
    </row>
    <row r="820" spans="2:8" x14ac:dyDescent="0.35">
      <c r="B820" s="15"/>
      <c r="C820" s="15"/>
      <c r="D820" s="15"/>
      <c r="E820" s="15"/>
      <c r="F820" s="15"/>
      <c r="G820" s="15"/>
      <c r="H820" s="15"/>
    </row>
    <row r="821" spans="2:8" x14ac:dyDescent="0.35">
      <c r="B821" s="15"/>
      <c r="C821" s="15"/>
      <c r="D821" s="15"/>
      <c r="E821" s="15"/>
      <c r="F821" s="15"/>
      <c r="G821" s="15"/>
      <c r="H821" s="15"/>
    </row>
    <row r="822" spans="2:8" x14ac:dyDescent="0.35">
      <c r="B822" s="15"/>
      <c r="C822" s="15"/>
      <c r="D822" s="15"/>
      <c r="E822" s="15"/>
      <c r="F822" s="15"/>
      <c r="G822" s="15"/>
      <c r="H822" s="15"/>
    </row>
    <row r="823" spans="2:8" x14ac:dyDescent="0.35">
      <c r="B823" s="15"/>
      <c r="C823" s="15"/>
      <c r="D823" s="15"/>
      <c r="E823" s="15"/>
      <c r="F823" s="15"/>
      <c r="G823" s="15"/>
      <c r="H823" s="15"/>
    </row>
    <row r="824" spans="2:8" x14ac:dyDescent="0.35">
      <c r="B824" s="15"/>
      <c r="C824" s="15"/>
      <c r="D824" s="15"/>
      <c r="E824" s="15"/>
      <c r="F824" s="15"/>
      <c r="G824" s="15"/>
      <c r="H824" s="15"/>
    </row>
    <row r="825" spans="2:8" x14ac:dyDescent="0.35">
      <c r="B825" s="15"/>
      <c r="C825" s="15"/>
      <c r="D825" s="15"/>
      <c r="E825" s="15"/>
      <c r="F825" s="15"/>
      <c r="G825" s="15"/>
      <c r="H825" s="15"/>
    </row>
    <row r="826" spans="2:8" x14ac:dyDescent="0.35">
      <c r="B826" s="15"/>
      <c r="C826" s="15"/>
      <c r="D826" s="15"/>
      <c r="E826" s="15"/>
      <c r="F826" s="15"/>
      <c r="G826" s="15"/>
      <c r="H826" s="15"/>
    </row>
    <row r="827" spans="2:8" x14ac:dyDescent="0.35">
      <c r="B827" s="15"/>
      <c r="C827" s="15"/>
      <c r="D827" s="15"/>
      <c r="E827" s="15"/>
      <c r="F827" s="15"/>
      <c r="G827" s="15"/>
      <c r="H827" s="15"/>
    </row>
    <row r="828" spans="2:8" x14ac:dyDescent="0.35">
      <c r="B828" s="15"/>
      <c r="C828" s="15"/>
      <c r="D828" s="15"/>
      <c r="E828" s="15"/>
      <c r="F828" s="15"/>
      <c r="G828" s="15"/>
      <c r="H828" s="15"/>
    </row>
    <row r="829" spans="2:8" x14ac:dyDescent="0.35">
      <c r="B829" s="15"/>
      <c r="C829" s="15"/>
      <c r="D829" s="15"/>
      <c r="E829" s="15"/>
      <c r="F829" s="15"/>
      <c r="G829" s="15"/>
      <c r="H829" s="15"/>
    </row>
    <row r="830" spans="2:8" x14ac:dyDescent="0.35">
      <c r="B830" s="15"/>
      <c r="C830" s="15"/>
      <c r="D830" s="15"/>
      <c r="E830" s="15"/>
      <c r="F830" s="15"/>
      <c r="G830" s="15"/>
      <c r="H830" s="15"/>
    </row>
    <row r="831" spans="2:8" x14ac:dyDescent="0.35">
      <c r="B831" s="15"/>
      <c r="C831" s="15"/>
      <c r="D831" s="15"/>
      <c r="E831" s="15"/>
      <c r="F831" s="15"/>
      <c r="G831" s="15"/>
      <c r="H831" s="15"/>
    </row>
    <row r="832" spans="2:8" x14ac:dyDescent="0.35">
      <c r="B832" s="15"/>
      <c r="C832" s="15"/>
      <c r="D832" s="15"/>
      <c r="E832" s="15"/>
      <c r="F832" s="15"/>
      <c r="G832" s="15"/>
      <c r="H832" s="15"/>
    </row>
    <row r="833" spans="2:8" x14ac:dyDescent="0.35">
      <c r="B833" s="15"/>
      <c r="C833" s="15"/>
      <c r="D833" s="15"/>
      <c r="E833" s="15"/>
      <c r="F833" s="15"/>
      <c r="G833" s="15"/>
      <c r="H833" s="15"/>
    </row>
    <row r="834" spans="2:8" x14ac:dyDescent="0.35">
      <c r="B834" s="15"/>
      <c r="C834" s="15"/>
      <c r="D834" s="15"/>
      <c r="E834" s="15"/>
      <c r="F834" s="15"/>
      <c r="G834" s="15"/>
      <c r="H834" s="15"/>
    </row>
    <row r="835" spans="2:8" x14ac:dyDescent="0.35">
      <c r="B835" s="15"/>
      <c r="C835" s="15"/>
      <c r="D835" s="15"/>
      <c r="E835" s="15"/>
      <c r="F835" s="15"/>
      <c r="G835" s="15"/>
      <c r="H835" s="15"/>
    </row>
    <row r="836" spans="2:8" x14ac:dyDescent="0.35">
      <c r="B836" s="15"/>
      <c r="C836" s="15"/>
      <c r="D836" s="15"/>
      <c r="E836" s="15"/>
      <c r="F836" s="15"/>
      <c r="G836" s="15"/>
      <c r="H836" s="15"/>
    </row>
    <row r="837" spans="2:8" x14ac:dyDescent="0.35">
      <c r="B837" s="15"/>
      <c r="C837" s="15"/>
      <c r="D837" s="15"/>
      <c r="E837" s="15"/>
      <c r="F837" s="15"/>
      <c r="G837" s="15"/>
      <c r="H837" s="15"/>
    </row>
    <row r="838" spans="2:8" x14ac:dyDescent="0.35">
      <c r="B838" s="15"/>
      <c r="C838" s="15"/>
      <c r="D838" s="15"/>
      <c r="E838" s="15"/>
      <c r="F838" s="15"/>
      <c r="G838" s="15"/>
      <c r="H838" s="15"/>
    </row>
    <row r="839" spans="2:8" x14ac:dyDescent="0.35">
      <c r="B839" s="15"/>
      <c r="C839" s="15"/>
      <c r="D839" s="15"/>
      <c r="E839" s="15"/>
      <c r="F839" s="15"/>
      <c r="G839" s="15"/>
      <c r="H839" s="15"/>
    </row>
    <row r="840" spans="2:8" x14ac:dyDescent="0.35">
      <c r="B840" s="15"/>
      <c r="C840" s="15"/>
      <c r="D840" s="15"/>
      <c r="E840" s="15"/>
      <c r="F840" s="15"/>
      <c r="G840" s="15"/>
      <c r="H840" s="15"/>
    </row>
    <row r="841" spans="2:8" x14ac:dyDescent="0.35">
      <c r="B841" s="15"/>
      <c r="C841" s="15"/>
      <c r="D841" s="15"/>
      <c r="E841" s="15"/>
      <c r="F841" s="15"/>
      <c r="G841" s="15"/>
      <c r="H841" s="15"/>
    </row>
    <row r="842" spans="2:8" x14ac:dyDescent="0.35">
      <c r="B842" s="15"/>
      <c r="C842" s="15"/>
      <c r="D842" s="15"/>
      <c r="E842" s="15"/>
      <c r="F842" s="15"/>
      <c r="G842" s="15"/>
      <c r="H842" s="15"/>
    </row>
    <row r="843" spans="2:8" x14ac:dyDescent="0.35">
      <c r="B843" s="15"/>
      <c r="C843" s="15"/>
      <c r="D843" s="15"/>
      <c r="E843" s="15"/>
      <c r="F843" s="15"/>
      <c r="G843" s="15"/>
      <c r="H843" s="15"/>
    </row>
    <row r="844" spans="2:8" x14ac:dyDescent="0.35">
      <c r="B844" s="15"/>
      <c r="C844" s="15"/>
      <c r="D844" s="15"/>
      <c r="E844" s="15"/>
      <c r="F844" s="15"/>
      <c r="G844" s="15"/>
      <c r="H844" s="15"/>
    </row>
    <row r="845" spans="2:8" x14ac:dyDescent="0.35">
      <c r="B845" s="15"/>
      <c r="C845" s="15"/>
      <c r="D845" s="15"/>
      <c r="E845" s="15"/>
      <c r="F845" s="15"/>
      <c r="G845" s="15"/>
      <c r="H845" s="15"/>
    </row>
    <row r="846" spans="2:8" x14ac:dyDescent="0.35">
      <c r="B846" s="15"/>
      <c r="C846" s="15"/>
      <c r="D846" s="15"/>
      <c r="E846" s="15"/>
      <c r="F846" s="15"/>
      <c r="G846" s="15"/>
      <c r="H846" s="15"/>
    </row>
    <row r="847" spans="2:8" x14ac:dyDescent="0.35">
      <c r="B847" s="15"/>
      <c r="C847" s="15"/>
      <c r="D847" s="15"/>
      <c r="E847" s="15"/>
      <c r="F847" s="15"/>
      <c r="G847" s="15"/>
      <c r="H847" s="15"/>
    </row>
    <row r="848" spans="2:8" x14ac:dyDescent="0.35">
      <c r="B848" s="15"/>
      <c r="C848" s="15"/>
      <c r="D848" s="15"/>
      <c r="E848" s="15"/>
      <c r="F848" s="15"/>
      <c r="G848" s="15"/>
      <c r="H848" s="15"/>
    </row>
    <row r="849" spans="2:8" x14ac:dyDescent="0.35">
      <c r="B849" s="15"/>
      <c r="C849" s="15"/>
      <c r="D849" s="15"/>
      <c r="E849" s="15"/>
      <c r="F849" s="15"/>
      <c r="G849" s="15"/>
      <c r="H849" s="15"/>
    </row>
    <row r="850" spans="2:8" x14ac:dyDescent="0.35">
      <c r="B850" s="15"/>
      <c r="C850" s="15"/>
      <c r="D850" s="15"/>
      <c r="E850" s="15"/>
      <c r="F850" s="15"/>
      <c r="G850" s="15"/>
      <c r="H850" s="15"/>
    </row>
    <row r="851" spans="2:8" x14ac:dyDescent="0.35">
      <c r="B851" s="15"/>
      <c r="C851" s="15"/>
      <c r="D851" s="15"/>
      <c r="E851" s="15"/>
      <c r="F851" s="15"/>
      <c r="G851" s="15"/>
      <c r="H851" s="15"/>
    </row>
    <row r="852" spans="2:8" x14ac:dyDescent="0.35">
      <c r="B852" s="15"/>
      <c r="C852" s="15"/>
      <c r="D852" s="15"/>
      <c r="E852" s="15"/>
      <c r="F852" s="15"/>
      <c r="G852" s="15"/>
      <c r="H852" s="15"/>
    </row>
    <row r="853" spans="2:8" x14ac:dyDescent="0.35">
      <c r="B853" s="15"/>
      <c r="C853" s="15"/>
      <c r="D853" s="15"/>
      <c r="E853" s="15"/>
      <c r="F853" s="15"/>
      <c r="G853" s="15"/>
      <c r="H853" s="15"/>
    </row>
    <row r="854" spans="2:8" x14ac:dyDescent="0.35">
      <c r="B854" s="15"/>
      <c r="C854" s="15"/>
      <c r="D854" s="15"/>
      <c r="E854" s="15"/>
      <c r="F854" s="15"/>
      <c r="G854" s="15"/>
      <c r="H854" s="15"/>
    </row>
    <row r="855" spans="2:8" x14ac:dyDescent="0.35">
      <c r="B855" s="15"/>
      <c r="C855" s="15"/>
      <c r="D855" s="15"/>
      <c r="E855" s="15"/>
      <c r="F855" s="15"/>
      <c r="G855" s="15"/>
      <c r="H855" s="15"/>
    </row>
    <row r="856" spans="2:8" x14ac:dyDescent="0.35">
      <c r="B856" s="15"/>
      <c r="C856" s="15"/>
      <c r="D856" s="15"/>
      <c r="E856" s="15"/>
      <c r="F856" s="15"/>
      <c r="G856" s="15"/>
      <c r="H856" s="15"/>
    </row>
    <row r="857" spans="2:8" x14ac:dyDescent="0.35">
      <c r="B857" s="15"/>
      <c r="C857" s="15"/>
      <c r="D857" s="15"/>
      <c r="E857" s="15"/>
      <c r="F857" s="15"/>
      <c r="G857" s="15"/>
      <c r="H857" s="15"/>
    </row>
    <row r="858" spans="2:8" x14ac:dyDescent="0.35">
      <c r="B858" s="15"/>
      <c r="C858" s="15"/>
      <c r="D858" s="15"/>
      <c r="E858" s="15"/>
      <c r="F858" s="15"/>
      <c r="G858" s="15"/>
      <c r="H858" s="15"/>
    </row>
    <row r="859" spans="2:8" x14ac:dyDescent="0.35">
      <c r="B859" s="15"/>
      <c r="C859" s="15"/>
      <c r="D859" s="15"/>
      <c r="E859" s="15"/>
      <c r="F859" s="15"/>
      <c r="G859" s="15"/>
      <c r="H859" s="15"/>
    </row>
    <row r="860" spans="2:8" x14ac:dyDescent="0.35">
      <c r="B860" s="15"/>
      <c r="C860" s="15"/>
      <c r="D860" s="15"/>
      <c r="E860" s="15"/>
      <c r="F860" s="15"/>
      <c r="G860" s="15"/>
      <c r="H860" s="15"/>
    </row>
    <row r="861" spans="2:8" x14ac:dyDescent="0.35">
      <c r="B861" s="15"/>
      <c r="C861" s="15"/>
      <c r="D861" s="15"/>
      <c r="E861" s="15"/>
      <c r="F861" s="15"/>
      <c r="G861" s="15"/>
      <c r="H861" s="15"/>
    </row>
    <row r="862" spans="2:8" x14ac:dyDescent="0.35">
      <c r="B862" s="15"/>
      <c r="C862" s="15"/>
      <c r="D862" s="15"/>
      <c r="E862" s="15"/>
      <c r="F862" s="15"/>
      <c r="G862" s="15"/>
      <c r="H862" s="15"/>
    </row>
    <row r="863" spans="2:8" x14ac:dyDescent="0.35">
      <c r="B863" s="15"/>
      <c r="C863" s="15"/>
      <c r="D863" s="15"/>
      <c r="E863" s="15"/>
      <c r="F863" s="15"/>
      <c r="G863" s="15"/>
      <c r="H863" s="15"/>
    </row>
    <row r="864" spans="2:8" x14ac:dyDescent="0.35">
      <c r="B864" s="15"/>
      <c r="C864" s="15"/>
      <c r="D864" s="15"/>
      <c r="E864" s="15"/>
      <c r="F864" s="15"/>
      <c r="G864" s="15"/>
      <c r="H864" s="15"/>
    </row>
    <row r="865" spans="2:8" x14ac:dyDescent="0.35">
      <c r="B865" s="15"/>
      <c r="C865" s="15"/>
      <c r="D865" s="15"/>
      <c r="E865" s="15"/>
      <c r="F865" s="15"/>
      <c r="G865" s="15"/>
      <c r="H865" s="15"/>
    </row>
    <row r="866" spans="2:8" x14ac:dyDescent="0.35">
      <c r="B866" s="15"/>
      <c r="C866" s="15"/>
      <c r="D866" s="15"/>
      <c r="E866" s="15"/>
      <c r="F866" s="15"/>
      <c r="G866" s="15"/>
      <c r="H866" s="15"/>
    </row>
    <row r="867" spans="2:8" x14ac:dyDescent="0.35">
      <c r="B867" s="15"/>
      <c r="C867" s="15"/>
      <c r="D867" s="15"/>
      <c r="E867" s="15"/>
      <c r="F867" s="15"/>
      <c r="G867" s="15"/>
      <c r="H867" s="15"/>
    </row>
    <row r="868" spans="2:8" x14ac:dyDescent="0.35">
      <c r="B868" s="15"/>
      <c r="C868" s="15"/>
      <c r="D868" s="15"/>
      <c r="E868" s="15"/>
      <c r="F868" s="15"/>
      <c r="G868" s="15"/>
      <c r="H868" s="15"/>
    </row>
    <row r="869" spans="2:8" x14ac:dyDescent="0.35">
      <c r="B869" s="15"/>
      <c r="C869" s="15"/>
      <c r="D869" s="15"/>
      <c r="E869" s="15"/>
      <c r="F869" s="15"/>
      <c r="G869" s="15"/>
      <c r="H869" s="15"/>
    </row>
    <row r="870" spans="2:8" x14ac:dyDescent="0.35">
      <c r="B870" s="15"/>
      <c r="C870" s="15"/>
      <c r="D870" s="15"/>
      <c r="E870" s="15"/>
      <c r="F870" s="15"/>
      <c r="G870" s="15"/>
      <c r="H870" s="15"/>
    </row>
    <row r="871" spans="2:8" x14ac:dyDescent="0.35">
      <c r="B871" s="15"/>
      <c r="C871" s="15"/>
      <c r="D871" s="15"/>
      <c r="E871" s="15"/>
      <c r="F871" s="15"/>
      <c r="G871" s="15"/>
      <c r="H871" s="15"/>
    </row>
    <row r="872" spans="2:8" x14ac:dyDescent="0.35">
      <c r="B872" s="15"/>
      <c r="C872" s="15"/>
      <c r="D872" s="15"/>
      <c r="E872" s="15"/>
      <c r="F872" s="15"/>
      <c r="G872" s="15"/>
      <c r="H872" s="15"/>
    </row>
    <row r="873" spans="2:8" x14ac:dyDescent="0.35">
      <c r="B873" s="15"/>
      <c r="C873" s="15"/>
      <c r="D873" s="15"/>
      <c r="E873" s="15"/>
      <c r="F873" s="15"/>
      <c r="G873" s="15"/>
      <c r="H873" s="15"/>
    </row>
    <row r="874" spans="2:8" x14ac:dyDescent="0.35">
      <c r="B874" s="15"/>
      <c r="C874" s="15"/>
      <c r="D874" s="15"/>
      <c r="E874" s="15"/>
      <c r="F874" s="15"/>
      <c r="G874" s="15"/>
      <c r="H874" s="15"/>
    </row>
    <row r="875" spans="2:8" x14ac:dyDescent="0.35">
      <c r="B875" s="15"/>
      <c r="C875" s="15"/>
      <c r="D875" s="15"/>
      <c r="E875" s="15"/>
      <c r="F875" s="15"/>
      <c r="G875" s="15"/>
      <c r="H875" s="15"/>
    </row>
    <row r="876" spans="2:8" x14ac:dyDescent="0.35">
      <c r="B876" s="15"/>
      <c r="C876" s="15"/>
      <c r="D876" s="15"/>
      <c r="E876" s="15"/>
      <c r="F876" s="15"/>
      <c r="G876" s="15"/>
      <c r="H876" s="15"/>
    </row>
    <row r="877" spans="2:8" x14ac:dyDescent="0.35">
      <c r="B877" s="15"/>
      <c r="C877" s="15"/>
      <c r="D877" s="15"/>
      <c r="E877" s="15"/>
      <c r="F877" s="15"/>
      <c r="G877" s="15"/>
      <c r="H877" s="15"/>
    </row>
    <row r="878" spans="2:8" x14ac:dyDescent="0.35">
      <c r="B878" s="15"/>
      <c r="C878" s="15"/>
      <c r="D878" s="15"/>
      <c r="E878" s="15"/>
      <c r="F878" s="15"/>
      <c r="G878" s="15"/>
      <c r="H878" s="15"/>
    </row>
    <row r="879" spans="2:8" x14ac:dyDescent="0.35">
      <c r="B879" s="15"/>
      <c r="C879" s="15"/>
      <c r="D879" s="15"/>
      <c r="E879" s="15"/>
      <c r="F879" s="15"/>
      <c r="G879" s="15"/>
      <c r="H879" s="15"/>
    </row>
    <row r="880" spans="2:8" x14ac:dyDescent="0.35">
      <c r="B880" s="15"/>
      <c r="C880" s="15"/>
      <c r="D880" s="15"/>
      <c r="E880" s="15"/>
      <c r="F880" s="15"/>
      <c r="G880" s="15"/>
      <c r="H880" s="15"/>
    </row>
    <row r="881" spans="2:8" x14ac:dyDescent="0.35">
      <c r="B881" s="15"/>
      <c r="C881" s="15"/>
      <c r="D881" s="15"/>
      <c r="E881" s="15"/>
      <c r="F881" s="15"/>
      <c r="G881" s="15"/>
      <c r="H881" s="15"/>
    </row>
    <row r="882" spans="2:8" x14ac:dyDescent="0.35">
      <c r="B882" s="15"/>
      <c r="C882" s="15"/>
      <c r="D882" s="15"/>
      <c r="E882" s="15"/>
      <c r="F882" s="15"/>
      <c r="G882" s="15"/>
      <c r="H882" s="15"/>
    </row>
    <row r="883" spans="2:8" x14ac:dyDescent="0.35">
      <c r="B883" s="15"/>
      <c r="C883" s="15"/>
      <c r="D883" s="15"/>
      <c r="E883" s="15"/>
      <c r="F883" s="15"/>
      <c r="G883" s="15"/>
      <c r="H883" s="15"/>
    </row>
    <row r="884" spans="2:8" x14ac:dyDescent="0.35">
      <c r="B884" s="15"/>
      <c r="C884" s="15"/>
      <c r="D884" s="15"/>
      <c r="E884" s="15"/>
      <c r="F884" s="15"/>
      <c r="G884" s="15"/>
      <c r="H884" s="15"/>
    </row>
    <row r="885" spans="2:8" x14ac:dyDescent="0.35">
      <c r="B885" s="15"/>
      <c r="C885" s="15"/>
      <c r="D885" s="15"/>
      <c r="E885" s="15"/>
      <c r="F885" s="15"/>
      <c r="G885" s="15"/>
      <c r="H885" s="15"/>
    </row>
    <row r="886" spans="2:8" x14ac:dyDescent="0.35">
      <c r="B886" s="15"/>
      <c r="C886" s="15"/>
      <c r="D886" s="15"/>
      <c r="E886" s="15"/>
      <c r="F886" s="15"/>
      <c r="G886" s="15"/>
      <c r="H886" s="15"/>
    </row>
    <row r="887" spans="2:8" x14ac:dyDescent="0.35">
      <c r="B887" s="15"/>
      <c r="C887" s="15"/>
      <c r="D887" s="15"/>
      <c r="E887" s="15"/>
      <c r="F887" s="15"/>
      <c r="G887" s="15"/>
      <c r="H887" s="15"/>
    </row>
    <row r="888" spans="2:8" x14ac:dyDescent="0.35">
      <c r="B888" s="15"/>
      <c r="C888" s="15"/>
      <c r="D888" s="15"/>
      <c r="E888" s="15"/>
      <c r="F888" s="15"/>
      <c r="G888" s="15"/>
      <c r="H888" s="15"/>
    </row>
    <row r="889" spans="2:8" x14ac:dyDescent="0.35">
      <c r="B889" s="15"/>
      <c r="C889" s="15"/>
      <c r="D889" s="15"/>
      <c r="E889" s="15"/>
      <c r="F889" s="15"/>
      <c r="G889" s="15"/>
      <c r="H889" s="15"/>
    </row>
    <row r="890" spans="2:8" x14ac:dyDescent="0.35">
      <c r="B890" s="15"/>
      <c r="C890" s="15"/>
      <c r="D890" s="15"/>
      <c r="E890" s="15"/>
      <c r="F890" s="15"/>
      <c r="G890" s="15"/>
      <c r="H890" s="15"/>
    </row>
    <row r="891" spans="2:8" x14ac:dyDescent="0.35">
      <c r="B891" s="15"/>
      <c r="C891" s="15"/>
      <c r="D891" s="15"/>
      <c r="E891" s="15"/>
      <c r="F891" s="15"/>
      <c r="G891" s="15"/>
      <c r="H891" s="15"/>
    </row>
    <row r="892" spans="2:8" x14ac:dyDescent="0.35">
      <c r="B892" s="15"/>
      <c r="C892" s="15"/>
      <c r="D892" s="15"/>
      <c r="E892" s="15"/>
      <c r="F892" s="15"/>
      <c r="G892" s="15"/>
      <c r="H892" s="15"/>
    </row>
    <row r="893" spans="2:8" x14ac:dyDescent="0.35">
      <c r="B893" s="15"/>
      <c r="C893" s="15"/>
      <c r="D893" s="15"/>
      <c r="E893" s="15"/>
      <c r="F893" s="15"/>
      <c r="G893" s="15"/>
      <c r="H893" s="15"/>
    </row>
    <row r="894" spans="2:8" x14ac:dyDescent="0.35">
      <c r="B894" s="15"/>
      <c r="C894" s="15"/>
      <c r="D894" s="15"/>
      <c r="E894" s="15"/>
      <c r="F894" s="15"/>
      <c r="G894" s="15"/>
      <c r="H894" s="15"/>
    </row>
    <row r="895" spans="2:8" x14ac:dyDescent="0.35">
      <c r="B895" s="15"/>
      <c r="C895" s="15"/>
      <c r="D895" s="15"/>
      <c r="E895" s="15"/>
      <c r="F895" s="15"/>
      <c r="G895" s="15"/>
      <c r="H895" s="15"/>
    </row>
    <row r="896" spans="2:8" x14ac:dyDescent="0.35">
      <c r="B896" s="15"/>
      <c r="C896" s="15"/>
      <c r="D896" s="15"/>
      <c r="E896" s="15"/>
      <c r="F896" s="15"/>
      <c r="G896" s="15"/>
      <c r="H896" s="15"/>
    </row>
    <row r="897" spans="2:8" x14ac:dyDescent="0.35">
      <c r="B897" s="15"/>
      <c r="C897" s="15"/>
      <c r="D897" s="15"/>
      <c r="E897" s="15"/>
      <c r="F897" s="15"/>
      <c r="G897" s="15"/>
      <c r="H897" s="15"/>
    </row>
    <row r="898" spans="2:8" x14ac:dyDescent="0.35">
      <c r="B898" s="15"/>
      <c r="C898" s="15"/>
      <c r="D898" s="15"/>
      <c r="E898" s="15"/>
      <c r="F898" s="15"/>
      <c r="G898" s="15"/>
      <c r="H898" s="15"/>
    </row>
    <row r="899" spans="2:8" x14ac:dyDescent="0.35">
      <c r="B899" s="15"/>
      <c r="C899" s="15"/>
      <c r="D899" s="15"/>
      <c r="E899" s="15"/>
      <c r="F899" s="15"/>
      <c r="G899" s="15"/>
      <c r="H899" s="15"/>
    </row>
    <row r="900" spans="2:8" x14ac:dyDescent="0.35">
      <c r="B900" s="15"/>
      <c r="C900" s="15"/>
      <c r="D900" s="15"/>
      <c r="E900" s="15"/>
      <c r="F900" s="15"/>
      <c r="G900" s="15"/>
      <c r="H900" s="15"/>
    </row>
    <row r="901" spans="2:8" x14ac:dyDescent="0.35">
      <c r="B901" s="15"/>
      <c r="C901" s="15"/>
      <c r="D901" s="15"/>
      <c r="E901" s="15"/>
      <c r="F901" s="15"/>
      <c r="G901" s="15"/>
      <c r="H901" s="15"/>
    </row>
    <row r="902" spans="2:8" x14ac:dyDescent="0.35">
      <c r="B902" s="15"/>
      <c r="C902" s="15"/>
      <c r="D902" s="15"/>
      <c r="E902" s="15"/>
      <c r="F902" s="15"/>
      <c r="G902" s="15"/>
      <c r="H902" s="15"/>
    </row>
    <row r="903" spans="2:8" x14ac:dyDescent="0.35">
      <c r="B903" s="15"/>
      <c r="C903" s="15"/>
      <c r="D903" s="15"/>
      <c r="E903" s="15"/>
      <c r="F903" s="15"/>
      <c r="G903" s="15"/>
      <c r="H903" s="15"/>
    </row>
    <row r="904" spans="2:8" x14ac:dyDescent="0.35">
      <c r="B904" s="15"/>
      <c r="C904" s="15"/>
      <c r="D904" s="15"/>
      <c r="E904" s="15"/>
      <c r="F904" s="15"/>
      <c r="G904" s="15"/>
      <c r="H904" s="15"/>
    </row>
    <row r="905" spans="2:8" x14ac:dyDescent="0.35">
      <c r="B905" s="15"/>
      <c r="C905" s="15"/>
      <c r="D905" s="15"/>
      <c r="E905" s="15"/>
      <c r="F905" s="15"/>
      <c r="G905" s="15"/>
      <c r="H905" s="15"/>
    </row>
    <row r="906" spans="2:8" x14ac:dyDescent="0.35">
      <c r="B906" s="15"/>
      <c r="C906" s="15"/>
      <c r="D906" s="15"/>
      <c r="E906" s="15"/>
      <c r="F906" s="15"/>
      <c r="G906" s="15"/>
      <c r="H906" s="15"/>
    </row>
    <row r="907" spans="2:8" x14ac:dyDescent="0.35">
      <c r="B907" s="15"/>
      <c r="C907" s="15"/>
      <c r="D907" s="15"/>
      <c r="E907" s="15"/>
      <c r="F907" s="15"/>
      <c r="G907" s="15"/>
      <c r="H907" s="15"/>
    </row>
    <row r="908" spans="2:8" x14ac:dyDescent="0.35">
      <c r="B908" s="15"/>
      <c r="C908" s="15"/>
      <c r="D908" s="15"/>
      <c r="E908" s="15"/>
      <c r="F908" s="15"/>
      <c r="G908" s="15"/>
      <c r="H908" s="15"/>
    </row>
    <row r="909" spans="2:8" x14ac:dyDescent="0.35">
      <c r="B909" s="15"/>
      <c r="C909" s="15"/>
      <c r="D909" s="15"/>
      <c r="E909" s="15"/>
      <c r="F909" s="15"/>
      <c r="G909" s="15"/>
      <c r="H909" s="15"/>
    </row>
    <row r="910" spans="2:8" x14ac:dyDescent="0.35">
      <c r="B910" s="15"/>
      <c r="C910" s="15"/>
      <c r="D910" s="15"/>
      <c r="E910" s="15"/>
      <c r="F910" s="15"/>
      <c r="G910" s="15"/>
      <c r="H910" s="15"/>
    </row>
    <row r="911" spans="2:8" x14ac:dyDescent="0.35">
      <c r="B911" s="15"/>
      <c r="C911" s="15"/>
      <c r="D911" s="15"/>
      <c r="E911" s="15"/>
      <c r="F911" s="15"/>
      <c r="G911" s="15"/>
      <c r="H911" s="15"/>
    </row>
    <row r="912" spans="2:8" x14ac:dyDescent="0.35">
      <c r="B912" s="15"/>
      <c r="C912" s="15"/>
      <c r="D912" s="15"/>
      <c r="E912" s="15"/>
      <c r="F912" s="15"/>
      <c r="G912" s="15"/>
      <c r="H912" s="15"/>
    </row>
    <row r="913" spans="2:8" x14ac:dyDescent="0.35">
      <c r="B913" s="15"/>
      <c r="C913" s="15"/>
      <c r="D913" s="15"/>
      <c r="E913" s="15"/>
      <c r="F913" s="15"/>
      <c r="G913" s="15"/>
      <c r="H913" s="15"/>
    </row>
    <row r="914" spans="2:8" x14ac:dyDescent="0.35">
      <c r="B914" s="15"/>
      <c r="C914" s="15"/>
      <c r="D914" s="15"/>
      <c r="E914" s="15"/>
      <c r="F914" s="15"/>
      <c r="G914" s="15"/>
      <c r="H914" s="15"/>
    </row>
    <row r="915" spans="2:8" x14ac:dyDescent="0.35">
      <c r="B915" s="15"/>
      <c r="C915" s="15"/>
      <c r="D915" s="15"/>
      <c r="E915" s="15"/>
      <c r="F915" s="15"/>
      <c r="G915" s="15"/>
      <c r="H915" s="15"/>
    </row>
    <row r="916" spans="2:8" x14ac:dyDescent="0.35">
      <c r="B916" s="15"/>
      <c r="C916" s="15"/>
      <c r="D916" s="15"/>
      <c r="E916" s="15"/>
      <c r="F916" s="15"/>
      <c r="G916" s="15"/>
      <c r="H916" s="15"/>
    </row>
    <row r="917" spans="2:8" x14ac:dyDescent="0.35">
      <c r="B917" s="15"/>
      <c r="C917" s="15"/>
      <c r="D917" s="15"/>
      <c r="E917" s="15"/>
      <c r="F917" s="15"/>
      <c r="G917" s="15"/>
      <c r="H917" s="15"/>
    </row>
    <row r="918" spans="2:8" x14ac:dyDescent="0.35">
      <c r="B918" s="15"/>
      <c r="C918" s="15"/>
      <c r="D918" s="15"/>
      <c r="E918" s="15"/>
      <c r="F918" s="15"/>
      <c r="G918" s="15"/>
      <c r="H918" s="15"/>
    </row>
    <row r="919" spans="2:8" x14ac:dyDescent="0.35">
      <c r="B919" s="15"/>
      <c r="C919" s="15"/>
      <c r="D919" s="15"/>
      <c r="E919" s="15"/>
      <c r="F919" s="15"/>
      <c r="G919" s="15"/>
      <c r="H919" s="15"/>
    </row>
    <row r="920" spans="2:8" x14ac:dyDescent="0.35">
      <c r="B920" s="15"/>
      <c r="C920" s="15"/>
      <c r="D920" s="15"/>
      <c r="E920" s="15"/>
      <c r="F920" s="15"/>
      <c r="G920" s="15"/>
      <c r="H920" s="15"/>
    </row>
    <row r="921" spans="2:8" x14ac:dyDescent="0.35">
      <c r="B921" s="15"/>
      <c r="C921" s="15"/>
      <c r="D921" s="15"/>
      <c r="E921" s="15"/>
      <c r="F921" s="15"/>
      <c r="G921" s="15"/>
      <c r="H921" s="15"/>
    </row>
    <row r="922" spans="2:8" x14ac:dyDescent="0.35">
      <c r="B922" s="15"/>
      <c r="C922" s="15"/>
      <c r="D922" s="15"/>
      <c r="E922" s="15"/>
      <c r="F922" s="15"/>
      <c r="G922" s="15"/>
      <c r="H922" s="15"/>
    </row>
    <row r="923" spans="2:8" x14ac:dyDescent="0.35">
      <c r="B923" s="15"/>
      <c r="C923" s="15"/>
      <c r="D923" s="15"/>
      <c r="E923" s="15"/>
      <c r="F923" s="15"/>
      <c r="G923" s="15"/>
      <c r="H923" s="15"/>
    </row>
    <row r="924" spans="2:8" x14ac:dyDescent="0.35">
      <c r="B924" s="15"/>
      <c r="C924" s="15"/>
      <c r="D924" s="15"/>
      <c r="E924" s="15"/>
      <c r="F924" s="15"/>
      <c r="G924" s="15"/>
      <c r="H924" s="15"/>
    </row>
    <row r="925" spans="2:8" x14ac:dyDescent="0.35">
      <c r="B925" s="15"/>
      <c r="C925" s="15"/>
      <c r="D925" s="15"/>
      <c r="E925" s="15"/>
      <c r="F925" s="15"/>
      <c r="G925" s="15"/>
      <c r="H925" s="15"/>
    </row>
    <row r="926" spans="2:8" x14ac:dyDescent="0.35">
      <c r="B926" s="15"/>
      <c r="C926" s="15"/>
      <c r="D926" s="15"/>
      <c r="E926" s="15"/>
      <c r="F926" s="15"/>
      <c r="G926" s="15"/>
      <c r="H926" s="15"/>
    </row>
    <row r="927" spans="2:8" x14ac:dyDescent="0.35">
      <c r="B927" s="15"/>
      <c r="C927" s="15"/>
      <c r="D927" s="15"/>
      <c r="E927" s="15"/>
      <c r="F927" s="15"/>
      <c r="G927" s="15"/>
      <c r="H927" s="15"/>
    </row>
    <row r="928" spans="2:8" x14ac:dyDescent="0.35">
      <c r="B928" s="15"/>
      <c r="C928" s="15"/>
      <c r="D928" s="15"/>
      <c r="E928" s="15"/>
      <c r="F928" s="15"/>
      <c r="G928" s="15"/>
      <c r="H928" s="15"/>
    </row>
    <row r="929" spans="2:8" x14ac:dyDescent="0.35">
      <c r="B929" s="15"/>
      <c r="C929" s="15"/>
      <c r="D929" s="15"/>
      <c r="E929" s="15"/>
      <c r="F929" s="15"/>
      <c r="G929" s="15"/>
      <c r="H929" s="15"/>
    </row>
    <row r="930" spans="2:8" x14ac:dyDescent="0.35">
      <c r="B930" s="15"/>
      <c r="C930" s="15"/>
      <c r="D930" s="15"/>
      <c r="E930" s="15"/>
      <c r="F930" s="15"/>
      <c r="G930" s="15"/>
      <c r="H930" s="15"/>
    </row>
    <row r="931" spans="2:8" x14ac:dyDescent="0.35">
      <c r="B931" s="15"/>
      <c r="C931" s="15"/>
      <c r="D931" s="15"/>
      <c r="E931" s="15"/>
      <c r="F931" s="15"/>
      <c r="G931" s="15"/>
      <c r="H931" s="15"/>
    </row>
    <row r="932" spans="2:8" x14ac:dyDescent="0.35">
      <c r="B932" s="15"/>
      <c r="C932" s="15"/>
      <c r="D932" s="15"/>
      <c r="E932" s="15"/>
      <c r="F932" s="15"/>
      <c r="G932" s="15"/>
      <c r="H932" s="15"/>
    </row>
    <row r="933" spans="2:8" x14ac:dyDescent="0.35">
      <c r="B933" s="15"/>
      <c r="C933" s="15"/>
      <c r="D933" s="15"/>
      <c r="E933" s="15"/>
      <c r="F933" s="15"/>
      <c r="G933" s="15"/>
      <c r="H933" s="15"/>
    </row>
    <row r="934" spans="2:8" x14ac:dyDescent="0.35">
      <c r="B934" s="15"/>
      <c r="C934" s="15"/>
      <c r="D934" s="15"/>
      <c r="E934" s="15"/>
      <c r="F934" s="15"/>
      <c r="G934" s="15"/>
      <c r="H934" s="15"/>
    </row>
    <row r="935" spans="2:8" x14ac:dyDescent="0.35">
      <c r="B935" s="15"/>
      <c r="C935" s="15"/>
      <c r="D935" s="15"/>
      <c r="E935" s="15"/>
      <c r="F935" s="15"/>
      <c r="G935" s="15"/>
      <c r="H935" s="15"/>
    </row>
    <row r="936" spans="2:8" x14ac:dyDescent="0.35">
      <c r="B936" s="15"/>
      <c r="C936" s="15"/>
      <c r="D936" s="15"/>
      <c r="E936" s="15"/>
      <c r="F936" s="15"/>
      <c r="G936" s="15"/>
      <c r="H936" s="15"/>
    </row>
    <row r="937" spans="2:8" x14ac:dyDescent="0.35">
      <c r="B937" s="15"/>
      <c r="C937" s="15"/>
      <c r="D937" s="15"/>
      <c r="E937" s="15"/>
      <c r="F937" s="15"/>
      <c r="G937" s="15"/>
      <c r="H937" s="15"/>
    </row>
    <row r="938" spans="2:8" x14ac:dyDescent="0.35">
      <c r="B938" s="15"/>
      <c r="C938" s="15"/>
      <c r="D938" s="15"/>
      <c r="E938" s="15"/>
      <c r="F938" s="15"/>
      <c r="G938" s="15"/>
      <c r="H938" s="15"/>
    </row>
    <row r="939" spans="2:8" x14ac:dyDescent="0.35">
      <c r="B939" s="15"/>
      <c r="C939" s="15"/>
      <c r="D939" s="15"/>
      <c r="E939" s="15"/>
      <c r="F939" s="15"/>
      <c r="G939" s="15"/>
      <c r="H939" s="15"/>
    </row>
    <row r="940" spans="2:8" x14ac:dyDescent="0.35">
      <c r="B940" s="15"/>
      <c r="C940" s="15"/>
      <c r="D940" s="15"/>
      <c r="E940" s="15"/>
      <c r="F940" s="15"/>
      <c r="G940" s="15"/>
      <c r="H940" s="15"/>
    </row>
    <row r="941" spans="2:8" x14ac:dyDescent="0.35">
      <c r="B941" s="15"/>
      <c r="C941" s="15"/>
      <c r="D941" s="15"/>
      <c r="E941" s="15"/>
      <c r="F941" s="15"/>
      <c r="G941" s="15"/>
      <c r="H941" s="15"/>
    </row>
    <row r="942" spans="2:8" x14ac:dyDescent="0.35">
      <c r="B942" s="15"/>
      <c r="C942" s="15"/>
      <c r="D942" s="15"/>
      <c r="E942" s="15"/>
      <c r="F942" s="15"/>
      <c r="G942" s="15"/>
      <c r="H942" s="15"/>
    </row>
    <row r="943" spans="2:8" x14ac:dyDescent="0.35">
      <c r="B943" s="15"/>
      <c r="C943" s="15"/>
      <c r="D943" s="15"/>
      <c r="E943" s="15"/>
      <c r="F943" s="15"/>
      <c r="G943" s="15"/>
      <c r="H943" s="15"/>
    </row>
    <row r="944" spans="2:8" x14ac:dyDescent="0.35">
      <c r="B944" s="15"/>
      <c r="C944" s="15"/>
      <c r="D944" s="15"/>
      <c r="E944" s="15"/>
      <c r="F944" s="15"/>
      <c r="G944" s="15"/>
      <c r="H944" s="15"/>
    </row>
    <row r="945" spans="2:8" x14ac:dyDescent="0.35">
      <c r="B945" s="15"/>
      <c r="C945" s="15"/>
      <c r="D945" s="15"/>
      <c r="E945" s="15"/>
      <c r="F945" s="15"/>
      <c r="G945" s="15"/>
      <c r="H945" s="15"/>
    </row>
    <row r="946" spans="2:8" x14ac:dyDescent="0.35">
      <c r="B946" s="15"/>
      <c r="C946" s="15"/>
      <c r="D946" s="15"/>
      <c r="E946" s="15"/>
      <c r="F946" s="15"/>
      <c r="G946" s="15"/>
      <c r="H946" s="15"/>
    </row>
    <row r="947" spans="2:8" x14ac:dyDescent="0.35">
      <c r="B947" s="15"/>
      <c r="C947" s="15"/>
      <c r="D947" s="15"/>
      <c r="E947" s="15"/>
      <c r="F947" s="15"/>
      <c r="G947" s="15"/>
      <c r="H947" s="15"/>
    </row>
    <row r="948" spans="2:8" x14ac:dyDescent="0.35">
      <c r="B948" s="15"/>
      <c r="C948" s="15"/>
      <c r="D948" s="15"/>
      <c r="E948" s="15"/>
      <c r="F948" s="15"/>
      <c r="G948" s="15"/>
      <c r="H948" s="15"/>
    </row>
    <row r="949" spans="2:8" x14ac:dyDescent="0.35">
      <c r="B949" s="15"/>
      <c r="C949" s="15"/>
      <c r="D949" s="15"/>
      <c r="E949" s="15"/>
      <c r="F949" s="15"/>
      <c r="G949" s="15"/>
      <c r="H949" s="15"/>
    </row>
    <row r="950" spans="2:8" x14ac:dyDescent="0.35">
      <c r="B950" s="15"/>
      <c r="C950" s="15"/>
      <c r="D950" s="15"/>
      <c r="E950" s="15"/>
      <c r="F950" s="15"/>
      <c r="G950" s="15"/>
      <c r="H950" s="15"/>
    </row>
    <row r="951" spans="2:8" x14ac:dyDescent="0.35">
      <c r="B951" s="15"/>
      <c r="C951" s="15"/>
      <c r="D951" s="15"/>
      <c r="E951" s="15"/>
      <c r="F951" s="15"/>
      <c r="G951" s="15"/>
      <c r="H951" s="15"/>
    </row>
    <row r="952" spans="2:8" x14ac:dyDescent="0.35">
      <c r="B952" s="15"/>
      <c r="C952" s="15"/>
      <c r="D952" s="15"/>
      <c r="E952" s="15"/>
      <c r="F952" s="15"/>
      <c r="G952" s="15"/>
      <c r="H952" s="15"/>
    </row>
    <row r="953" spans="2:8" x14ac:dyDescent="0.35">
      <c r="B953" s="15"/>
      <c r="C953" s="15"/>
      <c r="D953" s="15"/>
      <c r="E953" s="15"/>
      <c r="F953" s="15"/>
      <c r="G953" s="15"/>
      <c r="H953" s="15"/>
    </row>
    <row r="954" spans="2:8" x14ac:dyDescent="0.35">
      <c r="B954" s="15"/>
      <c r="C954" s="15"/>
      <c r="D954" s="15"/>
      <c r="E954" s="15"/>
      <c r="F954" s="15"/>
      <c r="G954" s="15"/>
      <c r="H954" s="15"/>
    </row>
    <row r="955" spans="2:8" x14ac:dyDescent="0.35">
      <c r="B955" s="15"/>
      <c r="C955" s="15"/>
      <c r="D955" s="15"/>
      <c r="E955" s="15"/>
      <c r="F955" s="15"/>
      <c r="G955" s="15"/>
      <c r="H955" s="15"/>
    </row>
    <row r="956" spans="2:8" x14ac:dyDescent="0.35">
      <c r="B956" s="15"/>
      <c r="C956" s="15"/>
      <c r="D956" s="15"/>
      <c r="E956" s="15"/>
      <c r="F956" s="15"/>
      <c r="G956" s="15"/>
      <c r="H956" s="15"/>
    </row>
    <row r="957" spans="2:8" x14ac:dyDescent="0.35">
      <c r="B957" s="15"/>
      <c r="C957" s="15"/>
      <c r="D957" s="15"/>
      <c r="E957" s="15"/>
      <c r="F957" s="15"/>
      <c r="G957" s="15"/>
      <c r="H957" s="15"/>
    </row>
    <row r="958" spans="2:8" x14ac:dyDescent="0.35">
      <c r="B958" s="15"/>
      <c r="C958" s="15"/>
      <c r="D958" s="15"/>
      <c r="E958" s="15"/>
      <c r="F958" s="15"/>
      <c r="G958" s="15"/>
      <c r="H958" s="15"/>
    </row>
    <row r="959" spans="2:8" x14ac:dyDescent="0.35">
      <c r="B959" s="15"/>
      <c r="C959" s="15"/>
      <c r="D959" s="15"/>
      <c r="E959" s="15"/>
      <c r="F959" s="15"/>
      <c r="G959" s="15"/>
      <c r="H959" s="15"/>
    </row>
    <row r="960" spans="2:8" x14ac:dyDescent="0.35">
      <c r="B960" s="15"/>
      <c r="C960" s="15"/>
      <c r="D960" s="15"/>
      <c r="E960" s="15"/>
      <c r="F960" s="15"/>
      <c r="G960" s="15"/>
      <c r="H960" s="15"/>
    </row>
    <row r="961" spans="2:8" x14ac:dyDescent="0.35">
      <c r="B961" s="15"/>
      <c r="C961" s="15"/>
      <c r="D961" s="15"/>
      <c r="E961" s="15"/>
      <c r="F961" s="15"/>
      <c r="G961" s="15"/>
      <c r="H961" s="15"/>
    </row>
    <row r="962" spans="2:8" x14ac:dyDescent="0.35">
      <c r="B962" s="15"/>
      <c r="C962" s="15"/>
      <c r="D962" s="15"/>
      <c r="E962" s="15"/>
      <c r="F962" s="15"/>
      <c r="G962" s="15"/>
      <c r="H962" s="15"/>
    </row>
    <row r="963" spans="2:8" x14ac:dyDescent="0.35">
      <c r="B963" s="15"/>
      <c r="C963" s="15"/>
      <c r="D963" s="15"/>
      <c r="E963" s="15"/>
      <c r="F963" s="15"/>
      <c r="G963" s="15"/>
      <c r="H963" s="15"/>
    </row>
    <row r="964" spans="2:8" x14ac:dyDescent="0.35">
      <c r="B964" s="15"/>
      <c r="C964" s="15"/>
      <c r="D964" s="15"/>
      <c r="E964" s="15"/>
      <c r="F964" s="15"/>
      <c r="G964" s="15"/>
      <c r="H964" s="15"/>
    </row>
    <row r="965" spans="2:8" x14ac:dyDescent="0.35">
      <c r="B965" s="15"/>
      <c r="C965" s="15"/>
      <c r="D965" s="15"/>
      <c r="E965" s="15"/>
      <c r="F965" s="15"/>
      <c r="G965" s="15"/>
      <c r="H965" s="15"/>
    </row>
    <row r="966" spans="2:8" x14ac:dyDescent="0.35">
      <c r="B966" s="15"/>
      <c r="C966" s="15"/>
      <c r="D966" s="15"/>
      <c r="E966" s="15"/>
      <c r="F966" s="15"/>
      <c r="G966" s="15"/>
      <c r="H966" s="15"/>
    </row>
    <row r="967" spans="2:8" x14ac:dyDescent="0.35">
      <c r="B967" s="15"/>
      <c r="C967" s="15"/>
      <c r="D967" s="15"/>
      <c r="E967" s="15"/>
      <c r="F967" s="15"/>
      <c r="G967" s="15"/>
      <c r="H967" s="15"/>
    </row>
    <row r="968" spans="2:8" x14ac:dyDescent="0.35">
      <c r="B968" s="15"/>
      <c r="C968" s="15"/>
      <c r="D968" s="15"/>
      <c r="E968" s="15"/>
      <c r="F968" s="15"/>
      <c r="G968" s="15"/>
      <c r="H968" s="15"/>
    </row>
    <row r="969" spans="2:8" x14ac:dyDescent="0.35">
      <c r="B969" s="15"/>
      <c r="C969" s="15"/>
      <c r="D969" s="15"/>
      <c r="E969" s="15"/>
      <c r="F969" s="15"/>
      <c r="G969" s="15"/>
      <c r="H969" s="15"/>
    </row>
    <row r="970" spans="2:8" x14ac:dyDescent="0.35">
      <c r="B970" s="15"/>
      <c r="C970" s="15"/>
      <c r="D970" s="15"/>
      <c r="E970" s="15"/>
      <c r="F970" s="15"/>
      <c r="G970" s="15"/>
      <c r="H970" s="15"/>
    </row>
    <row r="971" spans="2:8" x14ac:dyDescent="0.35">
      <c r="B971" s="15"/>
      <c r="C971" s="15"/>
      <c r="D971" s="15"/>
      <c r="E971" s="15"/>
      <c r="F971" s="15"/>
      <c r="G971" s="15"/>
      <c r="H971" s="15"/>
    </row>
    <row r="972" spans="2:8" x14ac:dyDescent="0.35">
      <c r="B972" s="15"/>
      <c r="C972" s="15"/>
      <c r="D972" s="15"/>
      <c r="E972" s="15"/>
      <c r="F972" s="15"/>
      <c r="G972" s="15"/>
      <c r="H972" s="15"/>
    </row>
    <row r="973" spans="2:8" x14ac:dyDescent="0.35">
      <c r="B973" s="15"/>
      <c r="C973" s="15"/>
      <c r="D973" s="15"/>
      <c r="E973" s="15"/>
      <c r="F973" s="15"/>
      <c r="G973" s="15"/>
      <c r="H973" s="15"/>
    </row>
    <row r="974" spans="2:8" x14ac:dyDescent="0.35">
      <c r="B974" s="15"/>
      <c r="C974" s="15"/>
      <c r="D974" s="15"/>
      <c r="E974" s="15"/>
      <c r="F974" s="15"/>
      <c r="G974" s="15"/>
      <c r="H974" s="15"/>
    </row>
    <row r="975" spans="2:8" x14ac:dyDescent="0.35">
      <c r="B975" s="15"/>
      <c r="C975" s="15"/>
      <c r="D975" s="15"/>
      <c r="E975" s="15"/>
      <c r="F975" s="15"/>
      <c r="G975" s="15"/>
      <c r="H975" s="15"/>
    </row>
    <row r="976" spans="2:8" x14ac:dyDescent="0.35">
      <c r="B976" s="15"/>
      <c r="C976" s="15"/>
      <c r="D976" s="15"/>
      <c r="E976" s="15"/>
      <c r="F976" s="15"/>
      <c r="G976" s="15"/>
      <c r="H976" s="15"/>
    </row>
    <row r="977" spans="2:8" x14ac:dyDescent="0.35">
      <c r="B977" s="15"/>
      <c r="C977" s="15"/>
      <c r="D977" s="15"/>
      <c r="E977" s="15"/>
      <c r="F977" s="15"/>
      <c r="G977" s="15"/>
      <c r="H977" s="15"/>
    </row>
    <row r="978" spans="2:8" x14ac:dyDescent="0.35">
      <c r="B978" s="15"/>
      <c r="C978" s="15"/>
      <c r="D978" s="15"/>
      <c r="E978" s="15"/>
      <c r="F978" s="15"/>
      <c r="G978" s="15"/>
      <c r="H978" s="15"/>
    </row>
    <row r="979" spans="2:8" x14ac:dyDescent="0.35">
      <c r="B979" s="15"/>
      <c r="C979" s="15"/>
      <c r="D979" s="15"/>
      <c r="E979" s="15"/>
      <c r="F979" s="15"/>
      <c r="G979" s="15"/>
      <c r="H979" s="15"/>
    </row>
    <row r="980" spans="2:8" x14ac:dyDescent="0.35">
      <c r="B980" s="15"/>
      <c r="C980" s="15"/>
      <c r="D980" s="15"/>
      <c r="E980" s="15"/>
      <c r="F980" s="15"/>
      <c r="G980" s="15"/>
      <c r="H980" s="15"/>
    </row>
    <row r="981" spans="2:8" x14ac:dyDescent="0.35">
      <c r="B981" s="15"/>
      <c r="C981" s="15"/>
      <c r="D981" s="15"/>
      <c r="E981" s="15"/>
      <c r="F981" s="15"/>
      <c r="G981" s="15"/>
      <c r="H981" s="15"/>
    </row>
    <row r="982" spans="2:8" x14ac:dyDescent="0.35">
      <c r="B982" s="15"/>
      <c r="C982" s="15"/>
      <c r="D982" s="15"/>
      <c r="E982" s="15"/>
      <c r="F982" s="15"/>
      <c r="G982" s="15"/>
      <c r="H982" s="15"/>
    </row>
    <row r="983" spans="2:8" x14ac:dyDescent="0.35">
      <c r="B983" s="15"/>
      <c r="C983" s="15"/>
      <c r="D983" s="15"/>
      <c r="E983" s="15"/>
      <c r="F983" s="15"/>
      <c r="G983" s="15"/>
      <c r="H983" s="15"/>
    </row>
    <row r="984" spans="2:8" x14ac:dyDescent="0.35">
      <c r="B984" s="15"/>
      <c r="C984" s="15"/>
      <c r="D984" s="15"/>
      <c r="E984" s="15"/>
      <c r="F984" s="15"/>
      <c r="G984" s="15"/>
      <c r="H984" s="15"/>
    </row>
    <row r="985" spans="2:8" x14ac:dyDescent="0.35">
      <c r="B985" s="15"/>
      <c r="C985" s="15"/>
      <c r="D985" s="15"/>
      <c r="E985" s="15"/>
      <c r="F985" s="15"/>
      <c r="G985" s="15"/>
      <c r="H985" s="15"/>
    </row>
    <row r="986" spans="2:8" x14ac:dyDescent="0.35">
      <c r="B986" s="15"/>
      <c r="C986" s="15"/>
      <c r="D986" s="15"/>
      <c r="E986" s="15"/>
      <c r="F986" s="15"/>
      <c r="G986" s="15"/>
      <c r="H986" s="15"/>
    </row>
    <row r="987" spans="2:8" x14ac:dyDescent="0.35">
      <c r="B987" s="15"/>
      <c r="C987" s="15"/>
      <c r="D987" s="15"/>
      <c r="E987" s="15"/>
      <c r="F987" s="15"/>
      <c r="G987" s="15"/>
      <c r="H987" s="15"/>
    </row>
    <row r="988" spans="2:8" x14ac:dyDescent="0.35">
      <c r="B988" s="15"/>
      <c r="C988" s="15"/>
      <c r="D988" s="15"/>
      <c r="E988" s="15"/>
      <c r="F988" s="15"/>
      <c r="G988" s="15"/>
      <c r="H988" s="15"/>
    </row>
    <row r="989" spans="2:8" x14ac:dyDescent="0.35">
      <c r="B989" s="15"/>
      <c r="C989" s="15"/>
      <c r="D989" s="15"/>
      <c r="E989" s="15"/>
      <c r="F989" s="15"/>
      <c r="G989" s="15"/>
      <c r="H989" s="15"/>
    </row>
    <row r="990" spans="2:8" x14ac:dyDescent="0.35">
      <c r="B990" s="15"/>
      <c r="C990" s="15"/>
      <c r="D990" s="15"/>
      <c r="E990" s="15"/>
      <c r="F990" s="15"/>
      <c r="G990" s="15"/>
      <c r="H990" s="15"/>
    </row>
    <row r="991" spans="2:8" x14ac:dyDescent="0.35">
      <c r="B991" s="15"/>
      <c r="C991" s="15"/>
      <c r="D991" s="15"/>
      <c r="E991" s="15"/>
      <c r="F991" s="15"/>
      <c r="G991" s="15"/>
      <c r="H991" s="15"/>
    </row>
    <row r="992" spans="2:8" x14ac:dyDescent="0.35">
      <c r="B992" s="15"/>
      <c r="C992" s="15"/>
      <c r="D992" s="15"/>
      <c r="E992" s="15"/>
      <c r="F992" s="15"/>
      <c r="G992" s="15"/>
      <c r="H992" s="15"/>
    </row>
    <row r="993" spans="2:8" x14ac:dyDescent="0.35">
      <c r="B993" s="15"/>
      <c r="C993" s="15"/>
      <c r="D993" s="15"/>
      <c r="E993" s="15"/>
      <c r="F993" s="15"/>
      <c r="G993" s="15"/>
      <c r="H993" s="15"/>
    </row>
    <row r="994" spans="2:8" x14ac:dyDescent="0.35">
      <c r="B994" s="15"/>
      <c r="C994" s="15"/>
      <c r="D994" s="15"/>
      <c r="E994" s="15"/>
      <c r="F994" s="15"/>
      <c r="G994" s="15"/>
      <c r="H994" s="15"/>
    </row>
    <row r="995" spans="2:8" x14ac:dyDescent="0.35">
      <c r="B995" s="15"/>
      <c r="C995" s="15"/>
      <c r="D995" s="15"/>
      <c r="E995" s="15"/>
      <c r="F995" s="15"/>
      <c r="G995" s="15"/>
      <c r="H995" s="15"/>
    </row>
    <row r="996" spans="2:8" x14ac:dyDescent="0.35">
      <c r="B996" s="15"/>
      <c r="C996" s="15"/>
      <c r="D996" s="15"/>
      <c r="E996" s="15"/>
      <c r="F996" s="15"/>
      <c r="G996" s="15"/>
      <c r="H996" s="15"/>
    </row>
    <row r="997" spans="2:8" x14ac:dyDescent="0.35">
      <c r="B997" s="15"/>
      <c r="C997" s="15"/>
      <c r="D997" s="15"/>
      <c r="E997" s="15"/>
      <c r="F997" s="15"/>
      <c r="G997" s="15"/>
      <c r="H997" s="15"/>
    </row>
    <row r="998" spans="2:8" x14ac:dyDescent="0.35">
      <c r="B998" s="15"/>
      <c r="C998" s="15"/>
      <c r="D998" s="15"/>
      <c r="E998" s="15"/>
      <c r="F998" s="15"/>
      <c r="G998" s="15"/>
      <c r="H998" s="15"/>
    </row>
    <row r="999" spans="2:8" x14ac:dyDescent="0.35">
      <c r="B999" s="15"/>
      <c r="C999" s="15"/>
      <c r="D999" s="15"/>
      <c r="E999" s="15"/>
      <c r="F999" s="15"/>
      <c r="G999" s="15"/>
      <c r="H999" s="15"/>
    </row>
    <row r="1000" spans="2:8" x14ac:dyDescent="0.35">
      <c r="B1000" s="15"/>
      <c r="C1000" s="15"/>
      <c r="D1000" s="15"/>
      <c r="E1000" s="15"/>
      <c r="F1000" s="15"/>
      <c r="G1000" s="15"/>
      <c r="H1000" s="15"/>
    </row>
    <row r="1001" spans="2:8" x14ac:dyDescent="0.35">
      <c r="B1001" s="15"/>
      <c r="C1001" s="15"/>
      <c r="D1001" s="15"/>
      <c r="E1001" s="15"/>
      <c r="F1001" s="15"/>
      <c r="G1001" s="15"/>
      <c r="H1001" s="15"/>
    </row>
    <row r="1002" spans="2:8" x14ac:dyDescent="0.35">
      <c r="B1002" s="15"/>
      <c r="C1002" s="15"/>
      <c r="D1002" s="15"/>
      <c r="E1002" s="15"/>
      <c r="F1002" s="15"/>
      <c r="G1002" s="15"/>
      <c r="H1002" s="15"/>
    </row>
    <row r="1003" spans="2:8" x14ac:dyDescent="0.35">
      <c r="B1003" s="15"/>
      <c r="C1003" s="15"/>
      <c r="D1003" s="15"/>
      <c r="E1003" s="15"/>
      <c r="F1003" s="15"/>
      <c r="G1003" s="15"/>
      <c r="H1003" s="15"/>
    </row>
    <row r="1004" spans="2:8" x14ac:dyDescent="0.35">
      <c r="B1004" s="15"/>
      <c r="C1004" s="15"/>
      <c r="D1004" s="15"/>
      <c r="E1004" s="15"/>
      <c r="F1004" s="15"/>
      <c r="G1004" s="15"/>
      <c r="H1004" s="15"/>
    </row>
    <row r="1005" spans="2:8" x14ac:dyDescent="0.35">
      <c r="B1005" s="15"/>
      <c r="C1005" s="15"/>
      <c r="D1005" s="15"/>
      <c r="E1005" s="15"/>
      <c r="F1005" s="15"/>
      <c r="G1005" s="15"/>
      <c r="H1005" s="15"/>
    </row>
    <row r="1006" spans="2:8" x14ac:dyDescent="0.35">
      <c r="B1006" s="15"/>
      <c r="C1006" s="15"/>
      <c r="D1006" s="15"/>
      <c r="E1006" s="15"/>
      <c r="F1006" s="15"/>
      <c r="G1006" s="15"/>
      <c r="H1006" s="15"/>
    </row>
    <row r="1007" spans="2:8" x14ac:dyDescent="0.35">
      <c r="B1007" s="15"/>
      <c r="C1007" s="15"/>
      <c r="D1007" s="15"/>
      <c r="E1007" s="15"/>
      <c r="F1007" s="15"/>
      <c r="G1007" s="15"/>
      <c r="H1007" s="15"/>
    </row>
    <row r="1008" spans="2:8" x14ac:dyDescent="0.35">
      <c r="B1008" s="15"/>
      <c r="C1008" s="15"/>
      <c r="D1008" s="15"/>
      <c r="E1008" s="15"/>
      <c r="F1008" s="15"/>
      <c r="G1008" s="15"/>
      <c r="H1008" s="15"/>
    </row>
    <row r="1009" spans="2:8" x14ac:dyDescent="0.35">
      <c r="B1009" s="15"/>
      <c r="C1009" s="15"/>
      <c r="D1009" s="15"/>
      <c r="E1009" s="15"/>
      <c r="F1009" s="15"/>
      <c r="G1009" s="15"/>
      <c r="H1009" s="15"/>
    </row>
    <row r="1010" spans="2:8" x14ac:dyDescent="0.35">
      <c r="B1010" s="15"/>
      <c r="C1010" s="15"/>
      <c r="D1010" s="15"/>
      <c r="E1010" s="15"/>
      <c r="F1010" s="15"/>
      <c r="G1010" s="15"/>
      <c r="H1010" s="15"/>
    </row>
    <row r="1011" spans="2:8" x14ac:dyDescent="0.35">
      <c r="B1011" s="15"/>
      <c r="C1011" s="15"/>
      <c r="D1011" s="15"/>
      <c r="E1011" s="15"/>
      <c r="F1011" s="15"/>
      <c r="G1011" s="15"/>
      <c r="H1011" s="15"/>
    </row>
    <row r="1012" spans="2:8" x14ac:dyDescent="0.35">
      <c r="B1012" s="15"/>
      <c r="C1012" s="15"/>
      <c r="D1012" s="15"/>
      <c r="E1012" s="15"/>
      <c r="F1012" s="15"/>
      <c r="G1012" s="15"/>
      <c r="H1012" s="15"/>
    </row>
    <row r="1013" spans="2:8" x14ac:dyDescent="0.35">
      <c r="B1013" s="15"/>
      <c r="C1013" s="15"/>
      <c r="D1013" s="15"/>
      <c r="E1013" s="15"/>
      <c r="F1013" s="15"/>
      <c r="G1013" s="15"/>
      <c r="H1013" s="15"/>
    </row>
  </sheetData>
  <hyperlinks>
    <hyperlink ref="B10" location="'Kraken RecentTrades'!B10" display="Get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J213"/>
  <sheetViews>
    <sheetView topLeftCell="A4" workbookViewId="0">
      <selection activeCell="J8" sqref="J8"/>
    </sheetView>
  </sheetViews>
  <sheetFormatPr baseColWidth="10" defaultRowHeight="14.5" x14ac:dyDescent="0.35"/>
  <cols>
    <col min="7" max="7" width="17.54296875" bestFit="1" customWidth="1"/>
    <col min="10" max="10" width="17.54296875" bestFit="1" customWidth="1"/>
  </cols>
  <sheetData>
    <row r="2" spans="2:10" ht="17.5" x14ac:dyDescent="0.35">
      <c r="B2" s="13" t="s">
        <v>542</v>
      </c>
    </row>
    <row r="3" spans="2:10" x14ac:dyDescent="0.35">
      <c r="B3" t="s">
        <v>541</v>
      </c>
    </row>
    <row r="5" spans="2:10" x14ac:dyDescent="0.35">
      <c r="B5" t="s">
        <v>24</v>
      </c>
      <c r="C5" t="s">
        <v>515</v>
      </c>
    </row>
    <row r="6" spans="2:10" x14ac:dyDescent="0.35">
      <c r="C6" s="10" t="s">
        <v>1</v>
      </c>
      <c r="D6" t="s">
        <v>525</v>
      </c>
    </row>
    <row r="7" spans="2:10" x14ac:dyDescent="0.35">
      <c r="C7" t="s">
        <v>518</v>
      </c>
      <c r="J7" s="21"/>
    </row>
    <row r="8" spans="2:10" x14ac:dyDescent="0.35">
      <c r="C8" s="10">
        <v>1591568502</v>
      </c>
      <c r="D8" t="s">
        <v>543</v>
      </c>
      <c r="I8" s="20" t="s">
        <v>526</v>
      </c>
      <c r="J8" s="19">
        <f>TimestampToExcel_2(C8)</f>
        <v>43989.93173611111</v>
      </c>
    </row>
    <row r="10" spans="2:10" x14ac:dyDescent="0.35">
      <c r="B10" s="18" t="s">
        <v>19</v>
      </c>
      <c r="D10" s="16"/>
    </row>
    <row r="12" spans="2:10" ht="15" thickBot="1" x14ac:dyDescent="0.4"/>
    <row r="13" spans="2:10" ht="15.5" thickTop="1" thickBot="1" x14ac:dyDescent="0.4">
      <c r="B13" s="3" t="s">
        <v>491</v>
      </c>
      <c r="C13" s="3" t="s">
        <v>519</v>
      </c>
      <c r="D13" s="3" t="s">
        <v>499</v>
      </c>
      <c r="E13" s="3" t="s">
        <v>498</v>
      </c>
    </row>
    <row r="14" spans="2:10" ht="15" thickTop="1" x14ac:dyDescent="0.35">
      <c r="B14" s="15" t="s">
        <v>1</v>
      </c>
      <c r="C14" s="15">
        <v>1591567322</v>
      </c>
      <c r="D14" s="15">
        <v>214.85</v>
      </c>
      <c r="E14" s="15">
        <v>214.89</v>
      </c>
      <c r="G14" s="19">
        <f>IFERROR(TimestampToExcel_2(C14),)</f>
        <v>43989.918078703704</v>
      </c>
    </row>
    <row r="15" spans="2:10" x14ac:dyDescent="0.35">
      <c r="B15" s="15" t="s">
        <v>1</v>
      </c>
      <c r="C15" s="15">
        <v>1591567322</v>
      </c>
      <c r="D15" s="15">
        <v>214.83</v>
      </c>
      <c r="E15" s="15">
        <v>214.92</v>
      </c>
      <c r="G15" s="19">
        <f t="shared" ref="G15:G78" si="0">IFERROR(TimestampToExcel_2(C15),)</f>
        <v>43989.918078703704</v>
      </c>
    </row>
    <row r="16" spans="2:10" x14ac:dyDescent="0.35">
      <c r="B16" s="15" t="s">
        <v>1</v>
      </c>
      <c r="C16" s="15">
        <v>1591567323</v>
      </c>
      <c r="D16" s="15">
        <v>214.86</v>
      </c>
      <c r="E16" s="15">
        <v>214.89</v>
      </c>
      <c r="G16" s="19">
        <f t="shared" si="0"/>
        <v>43989.918090277773</v>
      </c>
    </row>
    <row r="17" spans="2:7" x14ac:dyDescent="0.35">
      <c r="B17" s="15" t="s">
        <v>1</v>
      </c>
      <c r="C17" s="15">
        <v>1591567323</v>
      </c>
      <c r="D17" s="15">
        <v>214.86</v>
      </c>
      <c r="E17" s="15">
        <v>214.92</v>
      </c>
      <c r="G17" s="19">
        <f t="shared" si="0"/>
        <v>43989.918090277773</v>
      </c>
    </row>
    <row r="18" spans="2:7" x14ac:dyDescent="0.35">
      <c r="B18" s="15" t="s">
        <v>1</v>
      </c>
      <c r="C18" s="15">
        <v>1591567323</v>
      </c>
      <c r="D18" s="15">
        <v>214.86</v>
      </c>
      <c r="E18" s="15">
        <v>214.9</v>
      </c>
      <c r="G18" s="19">
        <f t="shared" si="0"/>
        <v>43989.918090277773</v>
      </c>
    </row>
    <row r="19" spans="2:7" x14ac:dyDescent="0.35">
      <c r="B19" s="15" t="s">
        <v>1</v>
      </c>
      <c r="C19" s="15">
        <v>1591567326</v>
      </c>
      <c r="D19" s="15">
        <v>214.86</v>
      </c>
      <c r="E19" s="15">
        <v>214.92</v>
      </c>
      <c r="G19" s="19">
        <f t="shared" si="0"/>
        <v>43989.918124999997</v>
      </c>
    </row>
    <row r="20" spans="2:7" x14ac:dyDescent="0.35">
      <c r="B20" s="15" t="s">
        <v>1</v>
      </c>
      <c r="C20" s="15">
        <v>1591567327</v>
      </c>
      <c r="D20" s="15">
        <v>214.83</v>
      </c>
      <c r="E20" s="15">
        <v>214.92</v>
      </c>
      <c r="G20" s="19">
        <f t="shared" si="0"/>
        <v>43989.918136574073</v>
      </c>
    </row>
    <row r="21" spans="2:7" x14ac:dyDescent="0.35">
      <c r="B21" s="15" t="s">
        <v>1</v>
      </c>
      <c r="C21" s="15">
        <v>1591567330</v>
      </c>
      <c r="D21" s="15">
        <v>214.84</v>
      </c>
      <c r="E21" s="15">
        <v>214.92</v>
      </c>
      <c r="G21" s="19">
        <f t="shared" si="0"/>
        <v>43989.918171296296</v>
      </c>
    </row>
    <row r="22" spans="2:7" x14ac:dyDescent="0.35">
      <c r="B22" s="15" t="s">
        <v>1</v>
      </c>
      <c r="C22" s="15">
        <v>1591567331</v>
      </c>
      <c r="D22" s="15">
        <v>214.85</v>
      </c>
      <c r="E22" s="15">
        <v>214.92</v>
      </c>
      <c r="G22" s="19">
        <f t="shared" si="0"/>
        <v>43989.918182870373</v>
      </c>
    </row>
    <row r="23" spans="2:7" x14ac:dyDescent="0.35">
      <c r="B23" s="15" t="s">
        <v>1</v>
      </c>
      <c r="C23" s="15">
        <v>1591567333</v>
      </c>
      <c r="D23" s="15">
        <v>214.86</v>
      </c>
      <c r="E23" s="15">
        <v>214.92</v>
      </c>
      <c r="G23" s="19">
        <f t="shared" si="0"/>
        <v>43989.918206018519</v>
      </c>
    </row>
    <row r="24" spans="2:7" x14ac:dyDescent="0.35">
      <c r="B24" s="15" t="s">
        <v>1</v>
      </c>
      <c r="C24" s="15">
        <v>1591567335</v>
      </c>
      <c r="D24" s="15">
        <v>214.86</v>
      </c>
      <c r="E24" s="15">
        <v>214.94</v>
      </c>
      <c r="G24" s="19">
        <f t="shared" si="0"/>
        <v>43989.918229166666</v>
      </c>
    </row>
    <row r="25" spans="2:7" x14ac:dyDescent="0.35">
      <c r="B25" s="15" t="s">
        <v>1</v>
      </c>
      <c r="C25" s="15">
        <v>1591567335</v>
      </c>
      <c r="D25" s="15">
        <v>214.86</v>
      </c>
      <c r="E25" s="15">
        <v>214.96</v>
      </c>
      <c r="G25" s="19">
        <f t="shared" si="0"/>
        <v>43989.918229166666</v>
      </c>
    </row>
    <row r="26" spans="2:7" x14ac:dyDescent="0.35">
      <c r="B26" s="15" t="s">
        <v>1</v>
      </c>
      <c r="C26" s="15">
        <v>1591567336</v>
      </c>
      <c r="D26" s="15">
        <v>214.88</v>
      </c>
      <c r="E26" s="15">
        <v>214.96</v>
      </c>
      <c r="G26" s="19">
        <f t="shared" si="0"/>
        <v>43989.918240740742</v>
      </c>
    </row>
    <row r="27" spans="2:7" x14ac:dyDescent="0.35">
      <c r="B27" s="15" t="s">
        <v>1</v>
      </c>
      <c r="C27" s="15">
        <v>1591567336</v>
      </c>
      <c r="D27" s="15">
        <v>214.89</v>
      </c>
      <c r="E27" s="15">
        <v>214.96</v>
      </c>
      <c r="G27" s="19">
        <f t="shared" si="0"/>
        <v>43989.918240740742</v>
      </c>
    </row>
    <row r="28" spans="2:7" x14ac:dyDescent="0.35">
      <c r="B28" s="15" t="s">
        <v>1</v>
      </c>
      <c r="C28" s="15">
        <v>1591567337</v>
      </c>
      <c r="D28" s="15">
        <v>214.88</v>
      </c>
      <c r="E28" s="15">
        <v>214.96</v>
      </c>
      <c r="G28" s="19">
        <f t="shared" si="0"/>
        <v>43989.918252314819</v>
      </c>
    </row>
    <row r="29" spans="2:7" x14ac:dyDescent="0.35">
      <c r="B29" s="15" t="s">
        <v>1</v>
      </c>
      <c r="C29" s="15">
        <v>1591567341</v>
      </c>
      <c r="D29" s="15">
        <v>214.89</v>
      </c>
      <c r="E29" s="15">
        <v>214.96</v>
      </c>
      <c r="G29" s="19">
        <f t="shared" si="0"/>
        <v>43989.918298611112</v>
      </c>
    </row>
    <row r="30" spans="2:7" x14ac:dyDescent="0.35">
      <c r="B30" s="15" t="s">
        <v>1</v>
      </c>
      <c r="C30" s="15">
        <v>1591567342</v>
      </c>
      <c r="D30" s="15">
        <v>214.84</v>
      </c>
      <c r="E30" s="15">
        <v>214.96</v>
      </c>
      <c r="G30" s="19">
        <f t="shared" si="0"/>
        <v>43989.918310185181</v>
      </c>
    </row>
    <row r="31" spans="2:7" x14ac:dyDescent="0.35">
      <c r="B31" s="15" t="s">
        <v>1</v>
      </c>
      <c r="C31" s="15">
        <v>1591567342</v>
      </c>
      <c r="D31" s="15">
        <v>214.84</v>
      </c>
      <c r="E31" s="15">
        <v>214.95</v>
      </c>
      <c r="G31" s="19">
        <f t="shared" si="0"/>
        <v>43989.918310185181</v>
      </c>
    </row>
    <row r="32" spans="2:7" x14ac:dyDescent="0.35">
      <c r="B32" s="15" t="s">
        <v>1</v>
      </c>
      <c r="C32" s="15">
        <v>1591567343</v>
      </c>
      <c r="D32" s="15">
        <v>214.84</v>
      </c>
      <c r="E32" s="15">
        <v>214.96</v>
      </c>
      <c r="G32" s="19">
        <f t="shared" si="0"/>
        <v>43989.918321759258</v>
      </c>
    </row>
    <row r="33" spans="2:7" x14ac:dyDescent="0.35">
      <c r="B33" s="15" t="s">
        <v>1</v>
      </c>
      <c r="C33" s="15">
        <v>1591567343</v>
      </c>
      <c r="D33" s="15">
        <v>214.85</v>
      </c>
      <c r="E33" s="15">
        <v>214.96</v>
      </c>
      <c r="G33" s="19">
        <f t="shared" si="0"/>
        <v>43989.918321759258</v>
      </c>
    </row>
    <row r="34" spans="2:7" x14ac:dyDescent="0.35">
      <c r="B34" s="15" t="s">
        <v>1</v>
      </c>
      <c r="C34" s="15">
        <v>1591567344</v>
      </c>
      <c r="D34" s="15">
        <v>214.87</v>
      </c>
      <c r="E34" s="15">
        <v>214.96</v>
      </c>
      <c r="G34" s="19">
        <f t="shared" si="0"/>
        <v>43989.918333333335</v>
      </c>
    </row>
    <row r="35" spans="2:7" x14ac:dyDescent="0.35">
      <c r="B35" s="15" t="s">
        <v>1</v>
      </c>
      <c r="C35" s="15">
        <v>1591567345</v>
      </c>
      <c r="D35" s="15">
        <v>214.88</v>
      </c>
      <c r="E35" s="15">
        <v>214.96</v>
      </c>
      <c r="G35" s="19">
        <f t="shared" si="0"/>
        <v>43989.918344907404</v>
      </c>
    </row>
    <row r="36" spans="2:7" x14ac:dyDescent="0.35">
      <c r="B36" s="15" t="s">
        <v>1</v>
      </c>
      <c r="C36" s="15">
        <v>1591567348</v>
      </c>
      <c r="D36" s="15">
        <v>214.88</v>
      </c>
      <c r="E36" s="15">
        <v>214.94</v>
      </c>
      <c r="G36" s="19">
        <f t="shared" si="0"/>
        <v>43989.918379629627</v>
      </c>
    </row>
    <row r="37" spans="2:7" x14ac:dyDescent="0.35">
      <c r="B37" s="15" t="s">
        <v>1</v>
      </c>
      <c r="C37" s="15">
        <v>1591567353</v>
      </c>
      <c r="D37" s="15">
        <v>214.87</v>
      </c>
      <c r="E37" s="15">
        <v>214.94</v>
      </c>
      <c r="G37" s="19">
        <f t="shared" si="0"/>
        <v>43989.918437500004</v>
      </c>
    </row>
    <row r="38" spans="2:7" x14ac:dyDescent="0.35">
      <c r="B38" s="15" t="s">
        <v>1</v>
      </c>
      <c r="C38" s="15">
        <v>1591567353</v>
      </c>
      <c r="D38" s="15">
        <v>214.87</v>
      </c>
      <c r="E38" s="15">
        <v>214.97</v>
      </c>
      <c r="G38" s="19">
        <f t="shared" si="0"/>
        <v>43989.918437500004</v>
      </c>
    </row>
    <row r="39" spans="2:7" x14ac:dyDescent="0.35">
      <c r="B39" s="15" t="s">
        <v>1</v>
      </c>
      <c r="C39" s="15">
        <v>1591567353</v>
      </c>
      <c r="D39" s="15">
        <v>214.87</v>
      </c>
      <c r="E39" s="15">
        <v>214.96</v>
      </c>
      <c r="G39" s="19">
        <f t="shared" si="0"/>
        <v>43989.918437500004</v>
      </c>
    </row>
    <row r="40" spans="2:7" x14ac:dyDescent="0.35">
      <c r="B40" s="15" t="s">
        <v>1</v>
      </c>
      <c r="C40" s="15">
        <v>1591567354</v>
      </c>
      <c r="D40" s="15">
        <v>214.87</v>
      </c>
      <c r="E40" s="15">
        <v>214.95</v>
      </c>
      <c r="G40" s="19">
        <f t="shared" si="0"/>
        <v>43989.918449074074</v>
      </c>
    </row>
    <row r="41" spans="2:7" x14ac:dyDescent="0.35">
      <c r="B41" s="15" t="s">
        <v>1</v>
      </c>
      <c r="C41" s="15">
        <v>1591567367</v>
      </c>
      <c r="D41" s="15">
        <v>214.88</v>
      </c>
      <c r="E41" s="15">
        <v>214.95</v>
      </c>
      <c r="G41" s="19">
        <f t="shared" si="0"/>
        <v>43989.918599537035</v>
      </c>
    </row>
    <row r="42" spans="2:7" x14ac:dyDescent="0.35">
      <c r="B42" s="15" t="s">
        <v>1</v>
      </c>
      <c r="C42" s="15">
        <v>1591567386</v>
      </c>
      <c r="D42" s="15">
        <v>214.89</v>
      </c>
      <c r="E42" s="15">
        <v>214.95</v>
      </c>
      <c r="G42" s="19">
        <f t="shared" si="0"/>
        <v>43989.918819444443</v>
      </c>
    </row>
    <row r="43" spans="2:7" x14ac:dyDescent="0.35">
      <c r="B43" s="15" t="s">
        <v>1</v>
      </c>
      <c r="C43" s="15">
        <v>1591567391</v>
      </c>
      <c r="D43" s="15">
        <v>214.87</v>
      </c>
      <c r="E43" s="15">
        <v>214.95</v>
      </c>
      <c r="G43" s="19">
        <f t="shared" si="0"/>
        <v>43989.91887731482</v>
      </c>
    </row>
    <row r="44" spans="2:7" x14ac:dyDescent="0.35">
      <c r="B44" s="15" t="s">
        <v>1</v>
      </c>
      <c r="C44" s="15">
        <v>1591567392</v>
      </c>
      <c r="D44" s="15">
        <v>214.9</v>
      </c>
      <c r="E44" s="15">
        <v>214.95</v>
      </c>
      <c r="G44" s="19">
        <f t="shared" si="0"/>
        <v>43989.918888888889</v>
      </c>
    </row>
    <row r="45" spans="2:7" x14ac:dyDescent="0.35">
      <c r="B45" s="15" t="s">
        <v>1</v>
      </c>
      <c r="C45" s="15">
        <v>1591567392</v>
      </c>
      <c r="D45" s="15">
        <v>214.91</v>
      </c>
      <c r="E45" s="15">
        <v>214.95</v>
      </c>
      <c r="G45" s="19">
        <f t="shared" si="0"/>
        <v>43989.918888888889</v>
      </c>
    </row>
    <row r="46" spans="2:7" x14ac:dyDescent="0.35">
      <c r="B46" s="15" t="s">
        <v>1</v>
      </c>
      <c r="C46" s="15">
        <v>1591567395</v>
      </c>
      <c r="D46" s="15">
        <v>214.92</v>
      </c>
      <c r="E46" s="15">
        <v>214.95</v>
      </c>
      <c r="G46" s="19">
        <f t="shared" si="0"/>
        <v>43989.918923611112</v>
      </c>
    </row>
    <row r="47" spans="2:7" x14ac:dyDescent="0.35">
      <c r="B47" s="15" t="s">
        <v>1</v>
      </c>
      <c r="C47" s="15">
        <v>1591567396</v>
      </c>
      <c r="D47" s="15">
        <v>214.93</v>
      </c>
      <c r="E47" s="15">
        <v>214.95</v>
      </c>
      <c r="G47" s="19">
        <f t="shared" si="0"/>
        <v>43989.918935185182</v>
      </c>
    </row>
    <row r="48" spans="2:7" x14ac:dyDescent="0.35">
      <c r="B48" s="15" t="s">
        <v>1</v>
      </c>
      <c r="C48" s="15">
        <v>1591567399</v>
      </c>
      <c r="D48" s="15">
        <v>214.94</v>
      </c>
      <c r="E48" s="15">
        <v>214.95</v>
      </c>
      <c r="G48" s="19">
        <f t="shared" si="0"/>
        <v>43989.918969907405</v>
      </c>
    </row>
    <row r="49" spans="2:7" x14ac:dyDescent="0.35">
      <c r="B49" s="15" t="s">
        <v>1</v>
      </c>
      <c r="C49" s="15">
        <v>1591567399</v>
      </c>
      <c r="D49" s="15">
        <v>214.94</v>
      </c>
      <c r="E49" s="15">
        <v>215</v>
      </c>
      <c r="G49" s="19">
        <f t="shared" si="0"/>
        <v>43989.918969907405</v>
      </c>
    </row>
    <row r="50" spans="2:7" x14ac:dyDescent="0.35">
      <c r="B50" s="15" t="s">
        <v>1</v>
      </c>
      <c r="C50" s="15">
        <v>1591567400</v>
      </c>
      <c r="D50" s="15">
        <v>214.94</v>
      </c>
      <c r="E50" s="15">
        <v>214.98</v>
      </c>
      <c r="G50" s="19">
        <f t="shared" si="0"/>
        <v>43989.918981481482</v>
      </c>
    </row>
    <row r="51" spans="2:7" x14ac:dyDescent="0.35">
      <c r="B51" s="15" t="s">
        <v>1</v>
      </c>
      <c r="C51" s="15">
        <v>1591567403</v>
      </c>
      <c r="D51" s="15">
        <v>214.95</v>
      </c>
      <c r="E51" s="15">
        <v>214.98</v>
      </c>
      <c r="G51" s="19">
        <f t="shared" si="0"/>
        <v>43989.919016203705</v>
      </c>
    </row>
    <row r="52" spans="2:7" x14ac:dyDescent="0.35">
      <c r="B52" s="15" t="s">
        <v>1</v>
      </c>
      <c r="C52" s="15">
        <v>1591567409</v>
      </c>
      <c r="D52" s="15">
        <v>214.96</v>
      </c>
      <c r="E52" s="15">
        <v>214.98</v>
      </c>
      <c r="G52" s="19">
        <f t="shared" si="0"/>
        <v>43989.919085648144</v>
      </c>
    </row>
    <row r="53" spans="2:7" x14ac:dyDescent="0.35">
      <c r="B53" s="15" t="s">
        <v>1</v>
      </c>
      <c r="C53" s="15">
        <v>1591567410</v>
      </c>
      <c r="D53" s="15">
        <v>214.94</v>
      </c>
      <c r="E53" s="15">
        <v>214.98</v>
      </c>
      <c r="G53" s="19">
        <f t="shared" si="0"/>
        <v>43989.91909722222</v>
      </c>
    </row>
    <row r="54" spans="2:7" x14ac:dyDescent="0.35">
      <c r="B54" s="15" t="s">
        <v>1</v>
      </c>
      <c r="C54" s="15">
        <v>1591567411</v>
      </c>
      <c r="D54" s="15">
        <v>214.94</v>
      </c>
      <c r="E54" s="15">
        <v>215</v>
      </c>
      <c r="G54" s="19">
        <f t="shared" si="0"/>
        <v>43989.919108796297</v>
      </c>
    </row>
    <row r="55" spans="2:7" x14ac:dyDescent="0.35">
      <c r="B55" s="15" t="s">
        <v>1</v>
      </c>
      <c r="C55" s="15">
        <v>1591567413</v>
      </c>
      <c r="D55" s="15">
        <v>214.96</v>
      </c>
      <c r="E55" s="15">
        <v>215</v>
      </c>
      <c r="G55" s="19">
        <f t="shared" si="0"/>
        <v>43989.919131944444</v>
      </c>
    </row>
    <row r="56" spans="2:7" x14ac:dyDescent="0.35">
      <c r="B56" s="15" t="s">
        <v>1</v>
      </c>
      <c r="C56" s="15">
        <v>1591567435</v>
      </c>
      <c r="D56" s="15">
        <v>214.96</v>
      </c>
      <c r="E56" s="15">
        <v>214.99</v>
      </c>
      <c r="G56" s="19">
        <f t="shared" si="0"/>
        <v>43989.919386574074</v>
      </c>
    </row>
    <row r="57" spans="2:7" x14ac:dyDescent="0.35">
      <c r="B57" s="15" t="s">
        <v>1</v>
      </c>
      <c r="C57" s="15">
        <v>1591567438</v>
      </c>
      <c r="D57" s="15">
        <v>214.96</v>
      </c>
      <c r="E57" s="15">
        <v>214.98</v>
      </c>
      <c r="G57" s="19">
        <f t="shared" si="0"/>
        <v>43989.919421296298</v>
      </c>
    </row>
    <row r="58" spans="2:7" x14ac:dyDescent="0.35">
      <c r="B58" s="15" t="s">
        <v>1</v>
      </c>
      <c r="C58" s="15">
        <v>1591567442</v>
      </c>
      <c r="D58" s="15">
        <v>214.96</v>
      </c>
      <c r="E58" s="15">
        <v>214.97</v>
      </c>
      <c r="G58" s="19">
        <f t="shared" si="0"/>
        <v>43989.919467592597</v>
      </c>
    </row>
    <row r="59" spans="2:7" x14ac:dyDescent="0.35">
      <c r="B59" s="15" t="s">
        <v>1</v>
      </c>
      <c r="C59" s="15">
        <v>1591567467</v>
      </c>
      <c r="D59" s="15">
        <v>214.96</v>
      </c>
      <c r="E59" s="15">
        <v>215</v>
      </c>
      <c r="G59" s="19">
        <f t="shared" si="0"/>
        <v>43989.919756944444</v>
      </c>
    </row>
    <row r="60" spans="2:7" x14ac:dyDescent="0.35">
      <c r="B60" s="15" t="s">
        <v>1</v>
      </c>
      <c r="C60" s="15">
        <v>1591567519</v>
      </c>
      <c r="D60" s="15">
        <v>214.97</v>
      </c>
      <c r="E60" s="15">
        <v>215</v>
      </c>
      <c r="G60" s="19">
        <f t="shared" si="0"/>
        <v>43989.920358796298</v>
      </c>
    </row>
    <row r="61" spans="2:7" x14ac:dyDescent="0.35">
      <c r="B61" s="15" t="s">
        <v>1</v>
      </c>
      <c r="C61" s="15">
        <v>1591567523</v>
      </c>
      <c r="D61" s="15">
        <v>214.95</v>
      </c>
      <c r="E61" s="15">
        <v>215</v>
      </c>
      <c r="G61" s="19">
        <f t="shared" si="0"/>
        <v>43989.920405092591</v>
      </c>
    </row>
    <row r="62" spans="2:7" x14ac:dyDescent="0.35">
      <c r="B62" s="15" t="s">
        <v>1</v>
      </c>
      <c r="C62" s="15">
        <v>1591567527</v>
      </c>
      <c r="D62" s="15">
        <v>214.91</v>
      </c>
      <c r="E62" s="15">
        <v>215</v>
      </c>
      <c r="G62" s="19">
        <f t="shared" si="0"/>
        <v>43989.920451388884</v>
      </c>
    </row>
    <row r="63" spans="2:7" x14ac:dyDescent="0.35">
      <c r="B63" s="15" t="s">
        <v>1</v>
      </c>
      <c r="C63" s="15">
        <v>1591567530</v>
      </c>
      <c r="D63" s="15">
        <v>214.93</v>
      </c>
      <c r="E63" s="15">
        <v>215</v>
      </c>
      <c r="G63" s="19">
        <f t="shared" si="0"/>
        <v>43989.920486111107</v>
      </c>
    </row>
    <row r="64" spans="2:7" x14ac:dyDescent="0.35">
      <c r="B64" s="15" t="s">
        <v>1</v>
      </c>
      <c r="C64" s="15">
        <v>1591567536</v>
      </c>
      <c r="D64" s="15">
        <v>214.93</v>
      </c>
      <c r="E64" s="15">
        <v>214.99</v>
      </c>
      <c r="G64" s="19">
        <f t="shared" si="0"/>
        <v>43989.920555555553</v>
      </c>
    </row>
    <row r="65" spans="2:7" x14ac:dyDescent="0.35">
      <c r="B65" s="15" t="s">
        <v>1</v>
      </c>
      <c r="C65" s="15">
        <v>1591567536</v>
      </c>
      <c r="D65" s="15">
        <v>214.93</v>
      </c>
      <c r="E65" s="15">
        <v>214.98</v>
      </c>
      <c r="G65" s="19">
        <f t="shared" si="0"/>
        <v>43989.920555555553</v>
      </c>
    </row>
    <row r="66" spans="2:7" x14ac:dyDescent="0.35">
      <c r="B66" s="15" t="s">
        <v>1</v>
      </c>
      <c r="C66" s="15">
        <v>1591567538</v>
      </c>
      <c r="D66" s="15">
        <v>214.93</v>
      </c>
      <c r="E66" s="15">
        <v>214.96</v>
      </c>
      <c r="G66" s="19">
        <f t="shared" si="0"/>
        <v>43989.920578703706</v>
      </c>
    </row>
    <row r="67" spans="2:7" x14ac:dyDescent="0.35">
      <c r="B67" s="15" t="s">
        <v>1</v>
      </c>
      <c r="C67" s="15">
        <v>1591567538</v>
      </c>
      <c r="D67" s="15">
        <v>214.93</v>
      </c>
      <c r="E67" s="15">
        <v>214.94</v>
      </c>
      <c r="G67" s="19">
        <f t="shared" si="0"/>
        <v>43989.920578703706</v>
      </c>
    </row>
    <row r="68" spans="2:7" x14ac:dyDescent="0.35">
      <c r="B68" s="15" t="s">
        <v>1</v>
      </c>
      <c r="C68" s="15">
        <v>1591567540</v>
      </c>
      <c r="D68" s="15">
        <v>214.87</v>
      </c>
      <c r="E68" s="15">
        <v>214.94</v>
      </c>
      <c r="G68" s="19">
        <f t="shared" si="0"/>
        <v>43989.920601851853</v>
      </c>
    </row>
    <row r="69" spans="2:7" x14ac:dyDescent="0.35">
      <c r="B69" s="15" t="s">
        <v>1</v>
      </c>
      <c r="C69" s="15">
        <v>1591567540</v>
      </c>
      <c r="D69" s="15">
        <v>214.85</v>
      </c>
      <c r="E69" s="15">
        <v>214.94</v>
      </c>
      <c r="G69" s="19">
        <f t="shared" si="0"/>
        <v>43989.920601851853</v>
      </c>
    </row>
    <row r="70" spans="2:7" x14ac:dyDescent="0.35">
      <c r="B70" s="15" t="s">
        <v>1</v>
      </c>
      <c r="C70" s="15">
        <v>1591567542</v>
      </c>
      <c r="D70" s="15">
        <v>214.85</v>
      </c>
      <c r="E70" s="15">
        <v>214.93</v>
      </c>
      <c r="G70" s="19">
        <f t="shared" si="0"/>
        <v>43989.920624999999</v>
      </c>
    </row>
    <row r="71" spans="2:7" x14ac:dyDescent="0.35">
      <c r="B71" s="15" t="s">
        <v>1</v>
      </c>
      <c r="C71" s="15">
        <v>1591567543</v>
      </c>
      <c r="D71" s="15">
        <v>214.85</v>
      </c>
      <c r="E71" s="15">
        <v>214.92</v>
      </c>
      <c r="G71" s="19">
        <f t="shared" si="0"/>
        <v>43989.920636574076</v>
      </c>
    </row>
    <row r="72" spans="2:7" x14ac:dyDescent="0.35">
      <c r="B72" s="15" t="s">
        <v>1</v>
      </c>
      <c r="C72" s="15">
        <v>1591567543</v>
      </c>
      <c r="D72" s="15">
        <v>214.87</v>
      </c>
      <c r="E72" s="15">
        <v>214.92</v>
      </c>
      <c r="G72" s="19">
        <f t="shared" si="0"/>
        <v>43989.920636574076</v>
      </c>
    </row>
    <row r="73" spans="2:7" x14ac:dyDescent="0.35">
      <c r="B73" s="15" t="s">
        <v>1</v>
      </c>
      <c r="C73" s="15">
        <v>1591567546</v>
      </c>
      <c r="D73" s="15">
        <v>214.87</v>
      </c>
      <c r="E73" s="15">
        <v>214.94</v>
      </c>
      <c r="G73" s="19">
        <f t="shared" si="0"/>
        <v>43989.920671296291</v>
      </c>
    </row>
    <row r="74" spans="2:7" x14ac:dyDescent="0.35">
      <c r="B74" s="15" t="s">
        <v>1</v>
      </c>
      <c r="C74" s="15">
        <v>1591567546</v>
      </c>
      <c r="D74" s="15">
        <v>214.88</v>
      </c>
      <c r="E74" s="15">
        <v>214.94</v>
      </c>
      <c r="G74" s="19">
        <f t="shared" si="0"/>
        <v>43989.920671296291</v>
      </c>
    </row>
    <row r="75" spans="2:7" x14ac:dyDescent="0.35">
      <c r="B75" s="15" t="s">
        <v>1</v>
      </c>
      <c r="C75" s="15">
        <v>1591567548</v>
      </c>
      <c r="D75" s="15">
        <v>214.88</v>
      </c>
      <c r="E75" s="15">
        <v>214.96</v>
      </c>
      <c r="G75" s="19">
        <f t="shared" si="0"/>
        <v>43989.920694444445</v>
      </c>
    </row>
    <row r="76" spans="2:7" x14ac:dyDescent="0.35">
      <c r="B76" s="15" t="s">
        <v>1</v>
      </c>
      <c r="C76" s="15">
        <v>1591567548</v>
      </c>
      <c r="D76" s="15">
        <v>214.88</v>
      </c>
      <c r="E76" s="15">
        <v>214.99</v>
      </c>
      <c r="G76" s="19">
        <f t="shared" si="0"/>
        <v>43989.920694444445</v>
      </c>
    </row>
    <row r="77" spans="2:7" x14ac:dyDescent="0.35">
      <c r="B77" s="15" t="s">
        <v>1</v>
      </c>
      <c r="C77" s="15">
        <v>1591567549</v>
      </c>
      <c r="D77" s="15">
        <v>214.88</v>
      </c>
      <c r="E77" s="15">
        <v>214.98</v>
      </c>
      <c r="G77" s="19">
        <f t="shared" si="0"/>
        <v>43989.920706018514</v>
      </c>
    </row>
    <row r="78" spans="2:7" x14ac:dyDescent="0.35">
      <c r="B78" s="15" t="s">
        <v>1</v>
      </c>
      <c r="C78" s="15">
        <v>1591567559</v>
      </c>
      <c r="D78" s="15">
        <v>214.88</v>
      </c>
      <c r="E78" s="15">
        <v>214.99</v>
      </c>
      <c r="G78" s="19">
        <f t="shared" si="0"/>
        <v>43989.92082175926</v>
      </c>
    </row>
    <row r="79" spans="2:7" x14ac:dyDescent="0.35">
      <c r="B79" s="15" t="s">
        <v>1</v>
      </c>
      <c r="C79" s="15">
        <v>1591567560</v>
      </c>
      <c r="D79" s="15">
        <v>214.88</v>
      </c>
      <c r="E79" s="15">
        <v>214.98</v>
      </c>
      <c r="G79" s="19">
        <f t="shared" ref="G79:G142" si="1">IFERROR(TimestampToExcel_2(C79),)</f>
        <v>43989.920833333337</v>
      </c>
    </row>
    <row r="80" spans="2:7" x14ac:dyDescent="0.35">
      <c r="B80" s="15" t="s">
        <v>1</v>
      </c>
      <c r="C80" s="15">
        <v>1591567561</v>
      </c>
      <c r="D80" s="15">
        <v>214.88</v>
      </c>
      <c r="E80" s="15">
        <v>214.97</v>
      </c>
      <c r="G80" s="19">
        <f t="shared" si="1"/>
        <v>43989.920844907407</v>
      </c>
    </row>
    <row r="81" spans="2:7" x14ac:dyDescent="0.35">
      <c r="B81" s="15" t="s">
        <v>1</v>
      </c>
      <c r="C81" s="15">
        <v>1591567563</v>
      </c>
      <c r="D81" s="15">
        <v>214.88</v>
      </c>
      <c r="E81" s="15">
        <v>214.96</v>
      </c>
      <c r="G81" s="19">
        <f t="shared" si="1"/>
        <v>43989.92086805556</v>
      </c>
    </row>
    <row r="82" spans="2:7" x14ac:dyDescent="0.35">
      <c r="B82" s="15" t="s">
        <v>1</v>
      </c>
      <c r="C82" s="15">
        <v>1591567564</v>
      </c>
      <c r="D82" s="15">
        <v>214.88</v>
      </c>
      <c r="E82" s="15">
        <v>214.95</v>
      </c>
      <c r="G82" s="19">
        <f t="shared" si="1"/>
        <v>43989.92087962963</v>
      </c>
    </row>
    <row r="83" spans="2:7" x14ac:dyDescent="0.35">
      <c r="B83" s="15" t="s">
        <v>1</v>
      </c>
      <c r="C83" s="15">
        <v>1591567567</v>
      </c>
      <c r="D83" s="15">
        <v>214.88</v>
      </c>
      <c r="E83" s="15">
        <v>214.94</v>
      </c>
      <c r="G83" s="19">
        <f t="shared" si="1"/>
        <v>43989.920914351853</v>
      </c>
    </row>
    <row r="84" spans="2:7" x14ac:dyDescent="0.35">
      <c r="B84" s="15" t="s">
        <v>1</v>
      </c>
      <c r="C84" s="15">
        <v>1591567571</v>
      </c>
      <c r="D84" s="15">
        <v>214.88</v>
      </c>
      <c r="E84" s="15">
        <v>214.93</v>
      </c>
      <c r="G84" s="19">
        <f t="shared" si="1"/>
        <v>43989.920960648145</v>
      </c>
    </row>
    <row r="85" spans="2:7" x14ac:dyDescent="0.35">
      <c r="B85" s="15" t="s">
        <v>1</v>
      </c>
      <c r="C85" s="15">
        <v>1591567573</v>
      </c>
      <c r="D85" s="15">
        <v>214.88</v>
      </c>
      <c r="E85" s="15">
        <v>214.92</v>
      </c>
      <c r="G85" s="19">
        <f t="shared" si="1"/>
        <v>43989.920983796299</v>
      </c>
    </row>
    <row r="86" spans="2:7" x14ac:dyDescent="0.35">
      <c r="B86" s="15" t="s">
        <v>1</v>
      </c>
      <c r="C86" s="15">
        <v>1591567574</v>
      </c>
      <c r="D86" s="15">
        <v>214.88</v>
      </c>
      <c r="E86" s="15">
        <v>214.93</v>
      </c>
      <c r="G86" s="19">
        <f t="shared" si="1"/>
        <v>43989.920995370368</v>
      </c>
    </row>
    <row r="87" spans="2:7" x14ac:dyDescent="0.35">
      <c r="B87" s="15" t="s">
        <v>1</v>
      </c>
      <c r="C87" s="15">
        <v>1591567574</v>
      </c>
      <c r="D87" s="15">
        <v>214.81</v>
      </c>
      <c r="E87" s="15">
        <v>214.89</v>
      </c>
      <c r="G87" s="19">
        <f t="shared" si="1"/>
        <v>43989.920995370368</v>
      </c>
    </row>
    <row r="88" spans="2:7" x14ac:dyDescent="0.35">
      <c r="B88" s="15" t="s">
        <v>1</v>
      </c>
      <c r="C88" s="15">
        <v>1591567574</v>
      </c>
      <c r="D88" s="15">
        <v>214.85</v>
      </c>
      <c r="E88" s="15">
        <v>214.89</v>
      </c>
      <c r="G88" s="19">
        <f t="shared" si="1"/>
        <v>43989.920995370368</v>
      </c>
    </row>
    <row r="89" spans="2:7" x14ac:dyDescent="0.35">
      <c r="B89" s="15" t="s">
        <v>1</v>
      </c>
      <c r="C89" s="15">
        <v>1591567575</v>
      </c>
      <c r="D89" s="15">
        <v>214.81</v>
      </c>
      <c r="E89" s="15">
        <v>214.88</v>
      </c>
      <c r="G89" s="19">
        <f t="shared" si="1"/>
        <v>43989.921006944445</v>
      </c>
    </row>
    <row r="90" spans="2:7" x14ac:dyDescent="0.35">
      <c r="B90" s="15" t="s">
        <v>1</v>
      </c>
      <c r="C90" s="15">
        <v>1591567575</v>
      </c>
      <c r="D90" s="15">
        <v>214.81</v>
      </c>
      <c r="E90" s="15">
        <v>214.85</v>
      </c>
      <c r="G90" s="19">
        <f t="shared" si="1"/>
        <v>43989.921006944445</v>
      </c>
    </row>
    <row r="91" spans="2:7" x14ac:dyDescent="0.35">
      <c r="B91" s="15" t="s">
        <v>1</v>
      </c>
      <c r="C91" s="15">
        <v>1591567579</v>
      </c>
      <c r="D91" s="15">
        <v>214.81</v>
      </c>
      <c r="E91" s="15">
        <v>214.84</v>
      </c>
      <c r="G91" s="19">
        <f t="shared" si="1"/>
        <v>43989.921053240745</v>
      </c>
    </row>
    <row r="92" spans="2:7" x14ac:dyDescent="0.35">
      <c r="B92" s="15" t="s">
        <v>1</v>
      </c>
      <c r="C92" s="15">
        <v>1591567581</v>
      </c>
      <c r="D92" s="15">
        <v>214.81</v>
      </c>
      <c r="E92" s="15">
        <v>214.85</v>
      </c>
      <c r="G92" s="19">
        <f t="shared" si="1"/>
        <v>43989.921076388884</v>
      </c>
    </row>
    <row r="93" spans="2:7" x14ac:dyDescent="0.35">
      <c r="B93" s="15" t="s">
        <v>1</v>
      </c>
      <c r="C93" s="15">
        <v>1591567594</v>
      </c>
      <c r="D93" s="15">
        <v>214.81</v>
      </c>
      <c r="E93" s="15">
        <v>214.9</v>
      </c>
      <c r="G93" s="19">
        <f t="shared" si="1"/>
        <v>43989.921226851853</v>
      </c>
    </row>
    <row r="94" spans="2:7" x14ac:dyDescent="0.35">
      <c r="B94" s="15" t="s">
        <v>1</v>
      </c>
      <c r="C94" s="15">
        <v>1591567595</v>
      </c>
      <c r="D94" s="15">
        <v>214.81</v>
      </c>
      <c r="E94" s="15">
        <v>214.86</v>
      </c>
      <c r="G94" s="19">
        <f t="shared" si="1"/>
        <v>43989.92123842593</v>
      </c>
    </row>
    <row r="95" spans="2:7" x14ac:dyDescent="0.35">
      <c r="B95" s="15" t="s">
        <v>1</v>
      </c>
      <c r="C95" s="15">
        <v>1591567596</v>
      </c>
      <c r="D95" s="15">
        <v>214.83</v>
      </c>
      <c r="E95" s="15">
        <v>214.85</v>
      </c>
      <c r="G95" s="19">
        <f t="shared" si="1"/>
        <v>43989.921249999999</v>
      </c>
    </row>
    <row r="96" spans="2:7" x14ac:dyDescent="0.35">
      <c r="B96" s="15" t="s">
        <v>1</v>
      </c>
      <c r="C96" s="15">
        <v>1591567600</v>
      </c>
      <c r="D96" s="15">
        <v>214.83</v>
      </c>
      <c r="E96" s="15">
        <v>214.84</v>
      </c>
      <c r="G96" s="19">
        <f t="shared" si="1"/>
        <v>43989.921296296292</v>
      </c>
    </row>
    <row r="97" spans="2:7" x14ac:dyDescent="0.35">
      <c r="B97" s="15" t="s">
        <v>1</v>
      </c>
      <c r="C97" s="15">
        <v>1591567601</v>
      </c>
      <c r="D97" s="15">
        <v>214.83</v>
      </c>
      <c r="E97" s="15">
        <v>214.86</v>
      </c>
      <c r="G97" s="19">
        <f t="shared" si="1"/>
        <v>43989.921307870369</v>
      </c>
    </row>
    <row r="98" spans="2:7" x14ac:dyDescent="0.35">
      <c r="B98" s="15" t="s">
        <v>1</v>
      </c>
      <c r="C98" s="15">
        <v>1591567603</v>
      </c>
      <c r="D98" s="15">
        <v>214.83</v>
      </c>
      <c r="E98" s="15">
        <v>214.89</v>
      </c>
      <c r="G98" s="19">
        <f t="shared" si="1"/>
        <v>43989.921331018515</v>
      </c>
    </row>
    <row r="99" spans="2:7" x14ac:dyDescent="0.35">
      <c r="B99" s="15" t="s">
        <v>1</v>
      </c>
      <c r="C99" s="15">
        <v>1591567603</v>
      </c>
      <c r="D99" s="15">
        <v>214.83</v>
      </c>
      <c r="E99" s="15">
        <v>214.88</v>
      </c>
      <c r="G99" s="19">
        <f t="shared" si="1"/>
        <v>43989.921331018515</v>
      </c>
    </row>
    <row r="100" spans="2:7" x14ac:dyDescent="0.35">
      <c r="B100" s="15" t="s">
        <v>1</v>
      </c>
      <c r="C100" s="15">
        <v>1591567605</v>
      </c>
      <c r="D100" s="15">
        <v>214.81</v>
      </c>
      <c r="E100" s="15">
        <v>214.87</v>
      </c>
      <c r="G100" s="19">
        <f t="shared" si="1"/>
        <v>43989.921354166669</v>
      </c>
    </row>
    <row r="101" spans="2:7" x14ac:dyDescent="0.35">
      <c r="B101" s="15" t="s">
        <v>1</v>
      </c>
      <c r="C101" s="15">
        <v>1591567606</v>
      </c>
      <c r="D101" s="15">
        <v>214.81</v>
      </c>
      <c r="E101" s="15">
        <v>214.86</v>
      </c>
      <c r="G101" s="19">
        <f t="shared" si="1"/>
        <v>43989.921365740738</v>
      </c>
    </row>
    <row r="102" spans="2:7" x14ac:dyDescent="0.35">
      <c r="B102" s="15" t="s">
        <v>1</v>
      </c>
      <c r="C102" s="15">
        <v>1591567608</v>
      </c>
      <c r="D102" s="15">
        <v>214.81</v>
      </c>
      <c r="E102" s="15">
        <v>214.85</v>
      </c>
      <c r="G102" s="19">
        <f t="shared" si="1"/>
        <v>43989.921388888892</v>
      </c>
    </row>
    <row r="103" spans="2:7" x14ac:dyDescent="0.35">
      <c r="B103" s="15" t="s">
        <v>1</v>
      </c>
      <c r="C103" s="15">
        <v>1591567613</v>
      </c>
      <c r="D103" s="15">
        <v>214.81</v>
      </c>
      <c r="E103" s="15">
        <v>214.84</v>
      </c>
      <c r="G103" s="19">
        <f t="shared" si="1"/>
        <v>43989.921446759261</v>
      </c>
    </row>
    <row r="104" spans="2:7" x14ac:dyDescent="0.35">
      <c r="B104" s="15" t="s">
        <v>1</v>
      </c>
      <c r="C104" s="15">
        <v>1591567614</v>
      </c>
      <c r="D104" s="15">
        <v>214.81</v>
      </c>
      <c r="E104" s="15">
        <v>214.89</v>
      </c>
      <c r="G104" s="19">
        <f t="shared" si="1"/>
        <v>43989.921458333338</v>
      </c>
    </row>
    <row r="105" spans="2:7" x14ac:dyDescent="0.35">
      <c r="B105" s="15" t="s">
        <v>1</v>
      </c>
      <c r="C105" s="15">
        <v>1591567620</v>
      </c>
      <c r="D105" s="15">
        <v>214.81</v>
      </c>
      <c r="E105" s="15">
        <v>214.88</v>
      </c>
      <c r="G105" s="19">
        <f t="shared" si="1"/>
        <v>43989.921527777777</v>
      </c>
    </row>
    <row r="106" spans="2:7" x14ac:dyDescent="0.35">
      <c r="B106" s="15" t="s">
        <v>1</v>
      </c>
      <c r="C106" s="15">
        <v>1591567621</v>
      </c>
      <c r="D106" s="15">
        <v>214.81</v>
      </c>
      <c r="E106" s="15">
        <v>214.95</v>
      </c>
      <c r="G106" s="19">
        <f t="shared" si="1"/>
        <v>43989.921539351853</v>
      </c>
    </row>
    <row r="107" spans="2:7" x14ac:dyDescent="0.35">
      <c r="B107" s="15" t="s">
        <v>1</v>
      </c>
      <c r="C107" s="15">
        <v>1591567621</v>
      </c>
      <c r="D107" s="15">
        <v>214.81</v>
      </c>
      <c r="E107" s="15">
        <v>214.94</v>
      </c>
      <c r="G107" s="19">
        <f t="shared" si="1"/>
        <v>43989.921539351853</v>
      </c>
    </row>
    <row r="108" spans="2:7" x14ac:dyDescent="0.35">
      <c r="B108" s="15" t="s">
        <v>1</v>
      </c>
      <c r="C108" s="15">
        <v>1591567622</v>
      </c>
      <c r="D108" s="15">
        <v>214.81</v>
      </c>
      <c r="E108" s="15">
        <v>214.93</v>
      </c>
      <c r="G108" s="19">
        <f t="shared" si="1"/>
        <v>43989.921550925923</v>
      </c>
    </row>
    <row r="109" spans="2:7" x14ac:dyDescent="0.35">
      <c r="B109" s="15" t="s">
        <v>1</v>
      </c>
      <c r="C109" s="15">
        <v>1591567623</v>
      </c>
      <c r="D109" s="15">
        <v>214.81</v>
      </c>
      <c r="E109" s="15">
        <v>214.91</v>
      </c>
      <c r="G109" s="19">
        <f t="shared" si="1"/>
        <v>43989.9215625</v>
      </c>
    </row>
    <row r="110" spans="2:7" x14ac:dyDescent="0.35">
      <c r="B110" s="15" t="s">
        <v>1</v>
      </c>
      <c r="C110" s="15">
        <v>1591567624</v>
      </c>
      <c r="D110" s="15">
        <v>214.81</v>
      </c>
      <c r="E110" s="15">
        <v>214.9</v>
      </c>
      <c r="G110" s="19">
        <f t="shared" si="1"/>
        <v>43989.921574074076</v>
      </c>
    </row>
    <row r="111" spans="2:7" x14ac:dyDescent="0.35">
      <c r="B111" s="15" t="s">
        <v>1</v>
      </c>
      <c r="C111" s="15">
        <v>1591567627</v>
      </c>
      <c r="D111" s="15">
        <v>214.81</v>
      </c>
      <c r="E111" s="15">
        <v>214.89</v>
      </c>
      <c r="G111" s="19">
        <f t="shared" si="1"/>
        <v>43989.9216087963</v>
      </c>
    </row>
    <row r="112" spans="2:7" x14ac:dyDescent="0.35">
      <c r="B112" s="15" t="s">
        <v>1</v>
      </c>
      <c r="C112" s="15">
        <v>1591567644</v>
      </c>
      <c r="D112" s="15">
        <v>214.82</v>
      </c>
      <c r="E112" s="15">
        <v>214.89</v>
      </c>
      <c r="G112" s="19">
        <f t="shared" si="1"/>
        <v>43989.921805555554</v>
      </c>
    </row>
    <row r="113" spans="2:7" x14ac:dyDescent="0.35">
      <c r="B113" s="15" t="s">
        <v>1</v>
      </c>
      <c r="C113" s="15">
        <v>1591567656</v>
      </c>
      <c r="D113" s="15">
        <v>214.82</v>
      </c>
      <c r="E113" s="15">
        <v>214.88</v>
      </c>
      <c r="G113" s="19">
        <f t="shared" si="1"/>
        <v>43989.921944444446</v>
      </c>
    </row>
    <row r="114" spans="2:7" x14ac:dyDescent="0.35">
      <c r="B114" s="15" t="s">
        <v>1</v>
      </c>
      <c r="C114" s="15">
        <v>1591567658</v>
      </c>
      <c r="D114" s="15">
        <v>214.82</v>
      </c>
      <c r="E114" s="15">
        <v>214.87</v>
      </c>
      <c r="G114" s="19">
        <f t="shared" si="1"/>
        <v>43989.921967592592</v>
      </c>
    </row>
    <row r="115" spans="2:7" x14ac:dyDescent="0.35">
      <c r="B115" s="15" t="s">
        <v>1</v>
      </c>
      <c r="C115" s="15">
        <v>1591567671</v>
      </c>
      <c r="D115" s="15">
        <v>214.82</v>
      </c>
      <c r="E115" s="15">
        <v>214.86</v>
      </c>
      <c r="G115" s="19">
        <f t="shared" si="1"/>
        <v>43989.922118055554</v>
      </c>
    </row>
    <row r="116" spans="2:7" x14ac:dyDescent="0.35">
      <c r="B116" s="15" t="s">
        <v>1</v>
      </c>
      <c r="C116" s="15">
        <v>1591567672</v>
      </c>
      <c r="D116" s="15">
        <v>214.82</v>
      </c>
      <c r="E116" s="15">
        <v>214.85</v>
      </c>
      <c r="G116" s="19">
        <f t="shared" si="1"/>
        <v>43989.922129629631</v>
      </c>
    </row>
    <row r="117" spans="2:7" x14ac:dyDescent="0.35">
      <c r="B117" s="15" t="s">
        <v>1</v>
      </c>
      <c r="C117" s="15">
        <v>1591567672</v>
      </c>
      <c r="D117" s="15">
        <v>214.83</v>
      </c>
      <c r="E117" s="15">
        <v>214.85</v>
      </c>
      <c r="G117" s="19">
        <f t="shared" si="1"/>
        <v>43989.922129629631</v>
      </c>
    </row>
    <row r="118" spans="2:7" x14ac:dyDescent="0.35">
      <c r="B118" s="15" t="s">
        <v>1</v>
      </c>
      <c r="C118" s="15">
        <v>1591567673</v>
      </c>
      <c r="D118" s="15">
        <v>214.83</v>
      </c>
      <c r="E118" s="15">
        <v>214.84</v>
      </c>
      <c r="G118" s="19">
        <f t="shared" si="1"/>
        <v>43989.9221412037</v>
      </c>
    </row>
    <row r="119" spans="2:7" x14ac:dyDescent="0.35">
      <c r="B119" s="15" t="s">
        <v>1</v>
      </c>
      <c r="C119" s="15">
        <v>1591567675</v>
      </c>
      <c r="D119" s="15">
        <v>214.81</v>
      </c>
      <c r="E119" s="15">
        <v>214.84</v>
      </c>
      <c r="G119" s="19">
        <f t="shared" si="1"/>
        <v>43989.922164351854</v>
      </c>
    </row>
    <row r="120" spans="2:7" x14ac:dyDescent="0.35">
      <c r="B120" s="15" t="s">
        <v>1</v>
      </c>
      <c r="C120" s="15">
        <v>1591567675</v>
      </c>
      <c r="D120" s="15">
        <v>214.81</v>
      </c>
      <c r="E120" s="15">
        <v>214.89</v>
      </c>
      <c r="G120" s="19">
        <f t="shared" si="1"/>
        <v>43989.922164351854</v>
      </c>
    </row>
    <row r="121" spans="2:7" x14ac:dyDescent="0.35">
      <c r="B121" s="15" t="s">
        <v>1</v>
      </c>
      <c r="C121" s="15">
        <v>1591567676</v>
      </c>
      <c r="D121" s="15">
        <v>214.81</v>
      </c>
      <c r="E121" s="15">
        <v>214.85</v>
      </c>
      <c r="G121" s="19">
        <f t="shared" si="1"/>
        <v>43989.922175925924</v>
      </c>
    </row>
    <row r="122" spans="2:7" x14ac:dyDescent="0.35">
      <c r="B122" s="15" t="s">
        <v>1</v>
      </c>
      <c r="C122" s="15">
        <v>1591567676</v>
      </c>
      <c r="D122" s="15">
        <v>214.81</v>
      </c>
      <c r="E122" s="15">
        <v>214.84</v>
      </c>
      <c r="G122" s="19">
        <f t="shared" si="1"/>
        <v>43989.922175925924</v>
      </c>
    </row>
    <row r="123" spans="2:7" x14ac:dyDescent="0.35">
      <c r="B123" s="15" t="s">
        <v>1</v>
      </c>
      <c r="C123" s="15">
        <v>1591567676</v>
      </c>
      <c r="D123" s="15">
        <v>214.81</v>
      </c>
      <c r="E123" s="15">
        <v>214.85</v>
      </c>
      <c r="G123" s="19">
        <f t="shared" si="1"/>
        <v>43989.922175925924</v>
      </c>
    </row>
    <row r="124" spans="2:7" x14ac:dyDescent="0.35">
      <c r="B124" s="15" t="s">
        <v>1</v>
      </c>
      <c r="C124" s="15">
        <v>1591567678</v>
      </c>
      <c r="D124" s="15">
        <v>214.81</v>
      </c>
      <c r="E124" s="15">
        <v>214.88</v>
      </c>
      <c r="G124" s="19">
        <f t="shared" si="1"/>
        <v>43989.922199074077</v>
      </c>
    </row>
    <row r="125" spans="2:7" x14ac:dyDescent="0.35">
      <c r="B125" s="15" t="s">
        <v>1</v>
      </c>
      <c r="C125" s="15">
        <v>1591567678</v>
      </c>
      <c r="D125" s="15">
        <v>214.81</v>
      </c>
      <c r="E125" s="15">
        <v>214.87</v>
      </c>
      <c r="G125" s="19">
        <f t="shared" si="1"/>
        <v>43989.922199074077</v>
      </c>
    </row>
    <row r="126" spans="2:7" x14ac:dyDescent="0.35">
      <c r="B126" s="15" t="s">
        <v>1</v>
      </c>
      <c r="C126" s="15">
        <v>1591567679</v>
      </c>
      <c r="D126" s="15">
        <v>214.81</v>
      </c>
      <c r="E126" s="15">
        <v>214.86</v>
      </c>
      <c r="G126" s="19">
        <f t="shared" si="1"/>
        <v>43989.922210648147</v>
      </c>
    </row>
    <row r="127" spans="2:7" x14ac:dyDescent="0.35">
      <c r="B127" s="15" t="s">
        <v>1</v>
      </c>
      <c r="C127" s="15">
        <v>1591567679</v>
      </c>
      <c r="D127" s="15">
        <v>214.81</v>
      </c>
      <c r="E127" s="15">
        <v>214.85</v>
      </c>
      <c r="G127" s="19">
        <f t="shared" si="1"/>
        <v>43989.922210648147</v>
      </c>
    </row>
    <row r="128" spans="2:7" x14ac:dyDescent="0.35">
      <c r="B128" s="15" t="s">
        <v>1</v>
      </c>
      <c r="C128" s="15">
        <v>1591567680</v>
      </c>
      <c r="D128" s="15">
        <v>214.83</v>
      </c>
      <c r="E128" s="15">
        <v>214.85</v>
      </c>
      <c r="G128" s="19">
        <f t="shared" si="1"/>
        <v>43989.922222222223</v>
      </c>
    </row>
    <row r="129" spans="2:7" x14ac:dyDescent="0.35">
      <c r="B129" s="15" t="s">
        <v>1</v>
      </c>
      <c r="C129" s="15">
        <v>1591567683</v>
      </c>
      <c r="D129" s="15">
        <v>214.83</v>
      </c>
      <c r="E129" s="15">
        <v>214.84</v>
      </c>
      <c r="G129" s="19">
        <f t="shared" si="1"/>
        <v>43989.922256944439</v>
      </c>
    </row>
    <row r="130" spans="2:7" x14ac:dyDescent="0.35">
      <c r="B130" s="15" t="s">
        <v>1</v>
      </c>
      <c r="C130" s="15">
        <v>1591567686</v>
      </c>
      <c r="D130" s="15">
        <v>214.83</v>
      </c>
      <c r="E130" s="15">
        <v>214.88</v>
      </c>
      <c r="G130" s="19">
        <f t="shared" si="1"/>
        <v>43989.922291666662</v>
      </c>
    </row>
    <row r="131" spans="2:7" x14ac:dyDescent="0.35">
      <c r="B131" s="15" t="s">
        <v>1</v>
      </c>
      <c r="C131" s="15">
        <v>1591567686</v>
      </c>
      <c r="D131" s="15">
        <v>214.83</v>
      </c>
      <c r="E131" s="15">
        <v>214.87</v>
      </c>
      <c r="G131" s="19">
        <f t="shared" si="1"/>
        <v>43989.922291666662</v>
      </c>
    </row>
    <row r="132" spans="2:7" x14ac:dyDescent="0.35">
      <c r="B132" s="15" t="s">
        <v>1</v>
      </c>
      <c r="C132" s="15">
        <v>1591567686</v>
      </c>
      <c r="D132" s="15">
        <v>214.83</v>
      </c>
      <c r="E132" s="15">
        <v>214.86</v>
      </c>
      <c r="G132" s="19">
        <f t="shared" si="1"/>
        <v>43989.922291666662</v>
      </c>
    </row>
    <row r="133" spans="2:7" x14ac:dyDescent="0.35">
      <c r="B133" s="15" t="s">
        <v>1</v>
      </c>
      <c r="C133" s="15">
        <v>1591567688</v>
      </c>
      <c r="D133" s="15">
        <v>214.81</v>
      </c>
      <c r="E133" s="15">
        <v>214.86</v>
      </c>
      <c r="G133" s="19">
        <f t="shared" si="1"/>
        <v>43989.922314814816</v>
      </c>
    </row>
    <row r="134" spans="2:7" x14ac:dyDescent="0.35">
      <c r="B134" s="15" t="s">
        <v>1</v>
      </c>
      <c r="C134" s="15">
        <v>1591567688</v>
      </c>
      <c r="D134" s="15">
        <v>214.81</v>
      </c>
      <c r="E134" s="15">
        <v>214.85</v>
      </c>
      <c r="G134" s="19">
        <f t="shared" si="1"/>
        <v>43989.922314814816</v>
      </c>
    </row>
    <row r="135" spans="2:7" x14ac:dyDescent="0.35">
      <c r="B135" s="15" t="s">
        <v>1</v>
      </c>
      <c r="C135" s="15">
        <v>1591567689</v>
      </c>
      <c r="D135" s="15">
        <v>214.81</v>
      </c>
      <c r="E135" s="15">
        <v>214.82</v>
      </c>
      <c r="G135" s="19">
        <f t="shared" si="1"/>
        <v>43989.922326388885</v>
      </c>
    </row>
    <row r="136" spans="2:7" x14ac:dyDescent="0.35">
      <c r="B136" s="15" t="s">
        <v>1</v>
      </c>
      <c r="C136" s="15">
        <v>1591567707</v>
      </c>
      <c r="D136" s="15">
        <v>214.81</v>
      </c>
      <c r="E136" s="15">
        <v>214.88</v>
      </c>
      <c r="G136" s="19">
        <f t="shared" si="1"/>
        <v>43989.922534722224</v>
      </c>
    </row>
    <row r="137" spans="2:7" x14ac:dyDescent="0.35">
      <c r="B137" s="15" t="s">
        <v>1</v>
      </c>
      <c r="C137" s="15">
        <v>1591567708</v>
      </c>
      <c r="D137" s="15">
        <v>214.82</v>
      </c>
      <c r="E137" s="15">
        <v>214.88</v>
      </c>
      <c r="G137" s="19">
        <f t="shared" si="1"/>
        <v>43989.922546296293</v>
      </c>
    </row>
    <row r="138" spans="2:7" x14ac:dyDescent="0.35">
      <c r="B138" s="15" t="s">
        <v>1</v>
      </c>
      <c r="C138" s="15">
        <v>1591567710</v>
      </c>
      <c r="D138" s="15">
        <v>214.82</v>
      </c>
      <c r="E138" s="15">
        <v>214.9</v>
      </c>
      <c r="G138" s="19">
        <f t="shared" si="1"/>
        <v>43989.922569444447</v>
      </c>
    </row>
    <row r="139" spans="2:7" x14ac:dyDescent="0.35">
      <c r="B139" s="15" t="s">
        <v>1</v>
      </c>
      <c r="C139" s="15">
        <v>1591567713</v>
      </c>
      <c r="D139" s="15">
        <v>214.82</v>
      </c>
      <c r="E139" s="15">
        <v>214.88</v>
      </c>
      <c r="G139" s="19">
        <f t="shared" si="1"/>
        <v>43989.92260416667</v>
      </c>
    </row>
    <row r="140" spans="2:7" x14ac:dyDescent="0.35">
      <c r="B140" s="15" t="s">
        <v>1</v>
      </c>
      <c r="C140" s="15">
        <v>1591567713</v>
      </c>
      <c r="D140" s="15">
        <v>214.81</v>
      </c>
      <c r="E140" s="15">
        <v>214.88</v>
      </c>
      <c r="G140" s="19">
        <f t="shared" si="1"/>
        <v>43989.92260416667</v>
      </c>
    </row>
    <row r="141" spans="2:7" x14ac:dyDescent="0.35">
      <c r="B141" s="15" t="s">
        <v>1</v>
      </c>
      <c r="C141" s="15">
        <v>1591567715</v>
      </c>
      <c r="D141" s="15">
        <v>214.81</v>
      </c>
      <c r="E141" s="15">
        <v>214.9</v>
      </c>
      <c r="G141" s="19">
        <f t="shared" si="1"/>
        <v>43989.922627314816</v>
      </c>
    </row>
    <row r="142" spans="2:7" x14ac:dyDescent="0.35">
      <c r="B142" s="15" t="s">
        <v>1</v>
      </c>
      <c r="C142" s="15">
        <v>1591567715</v>
      </c>
      <c r="D142" s="15">
        <v>214.81</v>
      </c>
      <c r="E142" s="15">
        <v>214.88</v>
      </c>
      <c r="G142" s="19">
        <f t="shared" si="1"/>
        <v>43989.922627314816</v>
      </c>
    </row>
    <row r="143" spans="2:7" x14ac:dyDescent="0.35">
      <c r="B143" s="15" t="s">
        <v>1</v>
      </c>
      <c r="C143" s="15">
        <v>1591567715</v>
      </c>
      <c r="D143" s="15">
        <v>214.81</v>
      </c>
      <c r="E143" s="15">
        <v>214.9</v>
      </c>
      <c r="G143" s="19">
        <f t="shared" ref="G143:G206" si="2">IFERROR(TimestampToExcel_2(C143),)</f>
        <v>43989.922627314816</v>
      </c>
    </row>
    <row r="144" spans="2:7" x14ac:dyDescent="0.35">
      <c r="B144" s="15" t="s">
        <v>1</v>
      </c>
      <c r="C144" s="15">
        <v>1591567715</v>
      </c>
      <c r="D144" s="15">
        <v>214.81</v>
      </c>
      <c r="E144" s="15">
        <v>214.89</v>
      </c>
      <c r="G144" s="19">
        <f t="shared" si="2"/>
        <v>43989.922627314816</v>
      </c>
    </row>
    <row r="145" spans="2:7" x14ac:dyDescent="0.35">
      <c r="B145" s="15" t="s">
        <v>1</v>
      </c>
      <c r="C145" s="15">
        <v>1591567715</v>
      </c>
      <c r="D145" s="15">
        <v>214.81</v>
      </c>
      <c r="E145" s="15">
        <v>214.88</v>
      </c>
      <c r="G145" s="19">
        <f t="shared" si="2"/>
        <v>43989.922627314816</v>
      </c>
    </row>
    <row r="146" spans="2:7" x14ac:dyDescent="0.35">
      <c r="B146" s="15" t="s">
        <v>1</v>
      </c>
      <c r="C146" s="15">
        <v>1591567716</v>
      </c>
      <c r="D146" s="15">
        <v>214.81</v>
      </c>
      <c r="E146" s="15">
        <v>214.86</v>
      </c>
      <c r="G146" s="19">
        <f t="shared" si="2"/>
        <v>43989.922638888893</v>
      </c>
    </row>
    <row r="147" spans="2:7" x14ac:dyDescent="0.35">
      <c r="B147" s="15" t="s">
        <v>1</v>
      </c>
      <c r="C147" s="15">
        <v>1591567716</v>
      </c>
      <c r="D147" s="15">
        <v>214.81</v>
      </c>
      <c r="E147" s="15">
        <v>214.85</v>
      </c>
      <c r="G147" s="19">
        <f t="shared" si="2"/>
        <v>43989.922638888893</v>
      </c>
    </row>
    <row r="148" spans="2:7" x14ac:dyDescent="0.35">
      <c r="B148" s="15" t="s">
        <v>1</v>
      </c>
      <c r="C148" s="15">
        <v>1591567717</v>
      </c>
      <c r="D148" s="15">
        <v>214.81</v>
      </c>
      <c r="E148" s="15">
        <v>214.83</v>
      </c>
      <c r="G148" s="19">
        <f t="shared" si="2"/>
        <v>43989.922650462962</v>
      </c>
    </row>
    <row r="149" spans="2:7" x14ac:dyDescent="0.35">
      <c r="B149" s="15" t="s">
        <v>1</v>
      </c>
      <c r="C149" s="15">
        <v>1591567717</v>
      </c>
      <c r="D149" s="15">
        <v>214.81</v>
      </c>
      <c r="E149" s="15">
        <v>214.85</v>
      </c>
      <c r="G149" s="19">
        <f t="shared" si="2"/>
        <v>43989.922650462962</v>
      </c>
    </row>
    <row r="150" spans="2:7" x14ac:dyDescent="0.35">
      <c r="B150" s="15" t="s">
        <v>1</v>
      </c>
      <c r="C150" s="15">
        <v>1591567718</v>
      </c>
      <c r="D150" s="15">
        <v>214.81</v>
      </c>
      <c r="E150" s="15">
        <v>214.84</v>
      </c>
      <c r="G150" s="19">
        <f t="shared" si="2"/>
        <v>43989.922662037032</v>
      </c>
    </row>
    <row r="151" spans="2:7" x14ac:dyDescent="0.35">
      <c r="B151" s="15" t="s">
        <v>1</v>
      </c>
      <c r="C151" s="15">
        <v>1591567720</v>
      </c>
      <c r="D151" s="15">
        <v>214.81</v>
      </c>
      <c r="E151" s="15">
        <v>214.83</v>
      </c>
      <c r="G151" s="19">
        <f t="shared" si="2"/>
        <v>43989.922685185185</v>
      </c>
    </row>
    <row r="152" spans="2:7" x14ac:dyDescent="0.35">
      <c r="B152" s="15" t="s">
        <v>1</v>
      </c>
      <c r="C152" s="15">
        <v>1591567722</v>
      </c>
      <c r="D152" s="15">
        <v>214.82</v>
      </c>
      <c r="E152" s="15">
        <v>214.83</v>
      </c>
      <c r="G152" s="19">
        <f t="shared" si="2"/>
        <v>43989.922708333332</v>
      </c>
    </row>
    <row r="153" spans="2:7" x14ac:dyDescent="0.35">
      <c r="B153" s="15" t="s">
        <v>1</v>
      </c>
      <c r="C153" s="15">
        <v>1591567723</v>
      </c>
      <c r="D153" s="15">
        <v>214.82</v>
      </c>
      <c r="E153" s="15">
        <v>214.85</v>
      </c>
      <c r="G153" s="19">
        <f t="shared" si="2"/>
        <v>43989.922719907408</v>
      </c>
    </row>
    <row r="154" spans="2:7" x14ac:dyDescent="0.35">
      <c r="B154" s="15" t="s">
        <v>1</v>
      </c>
      <c r="C154" s="15">
        <v>1591567725</v>
      </c>
      <c r="D154" s="15">
        <v>214.82</v>
      </c>
      <c r="E154" s="15">
        <v>214.86</v>
      </c>
      <c r="G154" s="19">
        <f t="shared" si="2"/>
        <v>43989.922743055555</v>
      </c>
    </row>
    <row r="155" spans="2:7" x14ac:dyDescent="0.35">
      <c r="B155" s="15" t="s">
        <v>1</v>
      </c>
      <c r="C155" s="15">
        <v>1591567726</v>
      </c>
      <c r="D155" s="15">
        <v>214.82</v>
      </c>
      <c r="E155" s="15">
        <v>214.85</v>
      </c>
      <c r="G155" s="19">
        <f t="shared" si="2"/>
        <v>43989.922754629632</v>
      </c>
    </row>
    <row r="156" spans="2:7" x14ac:dyDescent="0.35">
      <c r="B156" s="15" t="s">
        <v>1</v>
      </c>
      <c r="C156" s="15">
        <v>1591567727</v>
      </c>
      <c r="D156" s="15">
        <v>214.82</v>
      </c>
      <c r="E156" s="15">
        <v>214.86</v>
      </c>
      <c r="G156" s="19">
        <f t="shared" si="2"/>
        <v>43989.922766203701</v>
      </c>
    </row>
    <row r="157" spans="2:7" x14ac:dyDescent="0.35">
      <c r="B157" s="15" t="s">
        <v>1</v>
      </c>
      <c r="C157" s="15">
        <v>1591567727</v>
      </c>
      <c r="D157" s="15">
        <v>214.82</v>
      </c>
      <c r="E157" s="15">
        <v>214.88</v>
      </c>
      <c r="G157" s="19">
        <f t="shared" si="2"/>
        <v>43989.922766203701</v>
      </c>
    </row>
    <row r="158" spans="2:7" x14ac:dyDescent="0.35">
      <c r="B158" s="15" t="s">
        <v>1</v>
      </c>
      <c r="C158" s="15">
        <v>1591567728</v>
      </c>
      <c r="D158" s="15">
        <v>214.82</v>
      </c>
      <c r="E158" s="15">
        <v>214.85</v>
      </c>
      <c r="G158" s="19">
        <f t="shared" si="2"/>
        <v>43989.922777777778</v>
      </c>
    </row>
    <row r="159" spans="2:7" x14ac:dyDescent="0.35">
      <c r="B159" s="15" t="s">
        <v>1</v>
      </c>
      <c r="C159" s="15">
        <v>1591567731</v>
      </c>
      <c r="D159" s="15">
        <v>214.82</v>
      </c>
      <c r="E159" s="15">
        <v>214.89</v>
      </c>
      <c r="G159" s="19">
        <f t="shared" si="2"/>
        <v>43989.922812500001</v>
      </c>
    </row>
    <row r="160" spans="2:7" x14ac:dyDescent="0.35">
      <c r="B160" s="15" t="s">
        <v>1</v>
      </c>
      <c r="C160" s="15">
        <v>1591567731</v>
      </c>
      <c r="D160" s="15">
        <v>214.83</v>
      </c>
      <c r="E160" s="15">
        <v>214.89</v>
      </c>
      <c r="G160" s="19">
        <f t="shared" si="2"/>
        <v>43989.922812500001</v>
      </c>
    </row>
    <row r="161" spans="2:7" x14ac:dyDescent="0.35">
      <c r="B161" s="15" t="s">
        <v>1</v>
      </c>
      <c r="C161" s="15">
        <v>1591567734</v>
      </c>
      <c r="D161" s="15">
        <v>214.84</v>
      </c>
      <c r="E161" s="15">
        <v>214.87</v>
      </c>
      <c r="G161" s="19">
        <f t="shared" si="2"/>
        <v>43989.922847222224</v>
      </c>
    </row>
    <row r="162" spans="2:7" x14ac:dyDescent="0.35">
      <c r="B162" s="15" t="s">
        <v>1</v>
      </c>
      <c r="C162" s="15">
        <v>1591567736</v>
      </c>
      <c r="D162" s="15">
        <v>214.85</v>
      </c>
      <c r="E162" s="15">
        <v>214.87</v>
      </c>
      <c r="G162" s="19">
        <f t="shared" si="2"/>
        <v>43989.92287037037</v>
      </c>
    </row>
    <row r="163" spans="2:7" x14ac:dyDescent="0.35">
      <c r="B163" s="15" t="s">
        <v>1</v>
      </c>
      <c r="C163" s="15">
        <v>1591567738</v>
      </c>
      <c r="D163" s="15">
        <v>214.86</v>
      </c>
      <c r="E163" s="15">
        <v>214.87</v>
      </c>
      <c r="G163" s="19">
        <f t="shared" si="2"/>
        <v>43989.922893518524</v>
      </c>
    </row>
    <row r="164" spans="2:7" x14ac:dyDescent="0.35">
      <c r="B164" s="15" t="s">
        <v>1</v>
      </c>
      <c r="C164" s="15">
        <v>1591567739</v>
      </c>
      <c r="D164" s="15">
        <v>214.85</v>
      </c>
      <c r="E164" s="15">
        <v>214.87</v>
      </c>
      <c r="G164" s="19">
        <f t="shared" si="2"/>
        <v>43989.922905092593</v>
      </c>
    </row>
    <row r="165" spans="2:7" x14ac:dyDescent="0.35">
      <c r="B165" s="15" t="s">
        <v>1</v>
      </c>
      <c r="C165" s="15">
        <v>1591567739</v>
      </c>
      <c r="D165" s="15">
        <v>214.85</v>
      </c>
      <c r="E165" s="15">
        <v>214.86</v>
      </c>
      <c r="G165" s="19">
        <f t="shared" si="2"/>
        <v>43989.922905092593</v>
      </c>
    </row>
    <row r="166" spans="2:7" x14ac:dyDescent="0.35">
      <c r="B166" s="15" t="s">
        <v>1</v>
      </c>
      <c r="C166" s="15">
        <v>1591567749</v>
      </c>
      <c r="D166" s="15">
        <v>214.83</v>
      </c>
      <c r="E166" s="15">
        <v>214.85</v>
      </c>
      <c r="G166" s="19">
        <f t="shared" si="2"/>
        <v>43989.923020833332</v>
      </c>
    </row>
    <row r="167" spans="2:7" x14ac:dyDescent="0.35">
      <c r="B167" s="15" t="s">
        <v>1</v>
      </c>
      <c r="C167" s="15">
        <v>1591567749</v>
      </c>
      <c r="D167" s="15">
        <v>214.81</v>
      </c>
      <c r="E167" s="15">
        <v>214.85</v>
      </c>
      <c r="G167" s="19">
        <f t="shared" si="2"/>
        <v>43989.923020833332</v>
      </c>
    </row>
    <row r="168" spans="2:7" x14ac:dyDescent="0.35">
      <c r="B168" s="15" t="s">
        <v>1</v>
      </c>
      <c r="C168" s="15">
        <v>1591567750</v>
      </c>
      <c r="D168" s="15">
        <v>214.82</v>
      </c>
      <c r="E168" s="15">
        <v>214.85</v>
      </c>
      <c r="G168" s="19">
        <f t="shared" si="2"/>
        <v>43989.923032407409</v>
      </c>
    </row>
    <row r="169" spans="2:7" x14ac:dyDescent="0.35">
      <c r="B169" s="15" t="s">
        <v>1</v>
      </c>
      <c r="C169" s="15">
        <v>1591567767</v>
      </c>
      <c r="D169" s="15">
        <v>214.82</v>
      </c>
      <c r="E169" s="15">
        <v>214.84</v>
      </c>
      <c r="G169" s="19">
        <f t="shared" si="2"/>
        <v>43989.92322916667</v>
      </c>
    </row>
    <row r="170" spans="2:7" x14ac:dyDescent="0.35">
      <c r="B170" s="15" t="s">
        <v>1</v>
      </c>
      <c r="C170" s="15">
        <v>1591567771</v>
      </c>
      <c r="D170" s="15">
        <v>214.82</v>
      </c>
      <c r="E170" s="15">
        <v>214.83</v>
      </c>
      <c r="G170" s="19">
        <f t="shared" si="2"/>
        <v>43989.923275462963</v>
      </c>
    </row>
    <row r="171" spans="2:7" x14ac:dyDescent="0.35">
      <c r="B171" s="15" t="s">
        <v>1</v>
      </c>
      <c r="C171" s="15">
        <v>1591567771</v>
      </c>
      <c r="D171" s="15">
        <v>214.81</v>
      </c>
      <c r="E171" s="15">
        <v>214.82</v>
      </c>
      <c r="G171" s="19">
        <f t="shared" si="2"/>
        <v>43989.923275462963</v>
      </c>
    </row>
    <row r="172" spans="2:7" x14ac:dyDescent="0.35">
      <c r="B172" s="15" t="s">
        <v>1</v>
      </c>
      <c r="C172" s="15">
        <v>1591568183</v>
      </c>
      <c r="D172" s="15">
        <v>214.73</v>
      </c>
      <c r="E172" s="15">
        <v>214.82</v>
      </c>
      <c r="G172" s="19">
        <f t="shared" si="2"/>
        <v>43989.928043981483</v>
      </c>
    </row>
    <row r="173" spans="2:7" x14ac:dyDescent="0.35">
      <c r="B173" s="15" t="s">
        <v>1</v>
      </c>
      <c r="C173" s="15">
        <v>1591568183</v>
      </c>
      <c r="D173" s="15">
        <v>214.73</v>
      </c>
      <c r="E173" s="15">
        <v>214.81</v>
      </c>
      <c r="G173" s="19">
        <f t="shared" si="2"/>
        <v>43989.928043981483</v>
      </c>
    </row>
    <row r="174" spans="2:7" x14ac:dyDescent="0.35">
      <c r="B174" s="15" t="s">
        <v>1</v>
      </c>
      <c r="C174" s="15">
        <v>1591568186</v>
      </c>
      <c r="D174" s="15">
        <v>214.73</v>
      </c>
      <c r="E174" s="15">
        <v>214.8</v>
      </c>
      <c r="G174" s="19">
        <f t="shared" si="2"/>
        <v>43989.928078703699</v>
      </c>
    </row>
    <row r="175" spans="2:7" x14ac:dyDescent="0.35">
      <c r="B175" s="15" t="s">
        <v>1</v>
      </c>
      <c r="C175" s="15">
        <v>1591568190</v>
      </c>
      <c r="D175" s="15">
        <v>214.73</v>
      </c>
      <c r="E175" s="15">
        <v>214.79</v>
      </c>
      <c r="G175" s="19">
        <f t="shared" si="2"/>
        <v>43989.928124999999</v>
      </c>
    </row>
    <row r="176" spans="2:7" x14ac:dyDescent="0.35">
      <c r="B176" s="15" t="s">
        <v>1</v>
      </c>
      <c r="C176" s="15">
        <v>1591568192</v>
      </c>
      <c r="D176" s="15">
        <v>214.73</v>
      </c>
      <c r="E176" s="15">
        <v>214.8</v>
      </c>
      <c r="G176" s="19">
        <f t="shared" si="2"/>
        <v>43989.928148148145</v>
      </c>
    </row>
    <row r="177" spans="2:7" x14ac:dyDescent="0.35">
      <c r="B177" s="15" t="s">
        <v>1</v>
      </c>
      <c r="C177" s="15">
        <v>1591568193</v>
      </c>
      <c r="D177" s="15">
        <v>214.73</v>
      </c>
      <c r="E177" s="15">
        <v>214.82</v>
      </c>
      <c r="G177" s="19">
        <f t="shared" si="2"/>
        <v>43989.928159722222</v>
      </c>
    </row>
    <row r="178" spans="2:7" x14ac:dyDescent="0.35">
      <c r="B178" s="15" t="s">
        <v>1</v>
      </c>
      <c r="C178" s="15">
        <v>1591568196</v>
      </c>
      <c r="D178" s="15">
        <v>214.73</v>
      </c>
      <c r="E178" s="15">
        <v>214.8</v>
      </c>
      <c r="G178" s="19">
        <f t="shared" si="2"/>
        <v>43989.928194444445</v>
      </c>
    </row>
    <row r="179" spans="2:7" x14ac:dyDescent="0.35">
      <c r="B179" s="15" t="s">
        <v>1</v>
      </c>
      <c r="C179" s="15">
        <v>1591568197</v>
      </c>
      <c r="D179" s="15">
        <v>214.73</v>
      </c>
      <c r="E179" s="15">
        <v>214.79</v>
      </c>
      <c r="G179" s="19">
        <f t="shared" si="2"/>
        <v>43989.928206018521</v>
      </c>
    </row>
    <row r="180" spans="2:7" x14ac:dyDescent="0.35">
      <c r="B180" s="15" t="s">
        <v>1</v>
      </c>
      <c r="C180" s="15">
        <v>1591568197</v>
      </c>
      <c r="D180" s="15">
        <v>214.73</v>
      </c>
      <c r="E180" s="15">
        <v>214.78</v>
      </c>
      <c r="G180" s="19">
        <f t="shared" si="2"/>
        <v>43989.928206018521</v>
      </c>
    </row>
    <row r="181" spans="2:7" x14ac:dyDescent="0.35">
      <c r="B181" s="15" t="s">
        <v>1</v>
      </c>
      <c r="C181" s="15">
        <v>1591568198</v>
      </c>
      <c r="D181" s="15">
        <v>214.73</v>
      </c>
      <c r="E181" s="15">
        <v>214.79</v>
      </c>
      <c r="G181" s="19">
        <f t="shared" si="2"/>
        <v>43989.928217592591</v>
      </c>
    </row>
    <row r="182" spans="2:7" x14ac:dyDescent="0.35">
      <c r="B182" s="15" t="s">
        <v>1</v>
      </c>
      <c r="C182" s="15">
        <v>1591568203</v>
      </c>
      <c r="D182" s="15">
        <v>214.73</v>
      </c>
      <c r="E182" s="15">
        <v>214.78</v>
      </c>
      <c r="G182" s="19">
        <f t="shared" si="2"/>
        <v>43989.928275462968</v>
      </c>
    </row>
    <row r="183" spans="2:7" x14ac:dyDescent="0.35">
      <c r="B183" s="15" t="s">
        <v>1</v>
      </c>
      <c r="C183" s="15">
        <v>1591568206</v>
      </c>
      <c r="D183" s="15">
        <v>214.73</v>
      </c>
      <c r="E183" s="15">
        <v>214.77</v>
      </c>
      <c r="G183" s="19">
        <f t="shared" si="2"/>
        <v>43989.928310185191</v>
      </c>
    </row>
    <row r="184" spans="2:7" x14ac:dyDescent="0.35">
      <c r="B184" s="15" t="s">
        <v>1</v>
      </c>
      <c r="C184" s="15">
        <v>1591568211</v>
      </c>
      <c r="D184" s="15">
        <v>214.73</v>
      </c>
      <c r="E184" s="15">
        <v>214.76</v>
      </c>
      <c r="G184" s="19">
        <f t="shared" si="2"/>
        <v>43989.928368055553</v>
      </c>
    </row>
    <row r="185" spans="2:7" x14ac:dyDescent="0.35">
      <c r="B185" s="15" t="s">
        <v>1</v>
      </c>
      <c r="C185" s="15">
        <v>1591568212</v>
      </c>
      <c r="D185" s="15">
        <v>214.73</v>
      </c>
      <c r="E185" s="15">
        <v>214.79</v>
      </c>
      <c r="G185" s="19">
        <f t="shared" si="2"/>
        <v>43989.928379629629</v>
      </c>
    </row>
    <row r="186" spans="2:7" x14ac:dyDescent="0.35">
      <c r="B186" s="15" t="s">
        <v>1</v>
      </c>
      <c r="C186" s="15">
        <v>1591568218</v>
      </c>
      <c r="D186" s="15">
        <v>214.58</v>
      </c>
      <c r="E186" s="15">
        <v>214.79</v>
      </c>
      <c r="G186" s="19">
        <f t="shared" si="2"/>
        <v>43989.928449074076</v>
      </c>
    </row>
    <row r="187" spans="2:7" x14ac:dyDescent="0.35">
      <c r="B187" s="15" t="s">
        <v>1</v>
      </c>
      <c r="C187" s="15">
        <v>1591568218</v>
      </c>
      <c r="D187" s="15">
        <v>214.62</v>
      </c>
      <c r="E187" s="15">
        <v>214.78</v>
      </c>
      <c r="G187" s="19">
        <f t="shared" si="2"/>
        <v>43989.928449074076</v>
      </c>
    </row>
    <row r="188" spans="2:7" x14ac:dyDescent="0.35">
      <c r="B188" s="15" t="s">
        <v>1</v>
      </c>
      <c r="C188" s="15">
        <v>1591568219</v>
      </c>
      <c r="D188" s="15">
        <v>214.66</v>
      </c>
      <c r="E188" s="15">
        <v>214.78</v>
      </c>
      <c r="G188" s="19">
        <f t="shared" si="2"/>
        <v>43989.928460648152</v>
      </c>
    </row>
    <row r="189" spans="2:7" x14ac:dyDescent="0.35">
      <c r="B189" s="15" t="s">
        <v>1</v>
      </c>
      <c r="C189" s="15">
        <v>1591568219</v>
      </c>
      <c r="D189" s="15">
        <v>214.66</v>
      </c>
      <c r="E189" s="15">
        <v>214.77</v>
      </c>
      <c r="G189" s="19">
        <f t="shared" si="2"/>
        <v>43989.928460648152</v>
      </c>
    </row>
    <row r="190" spans="2:7" x14ac:dyDescent="0.35">
      <c r="B190" s="15" t="s">
        <v>1</v>
      </c>
      <c r="C190" s="15">
        <v>1591568222</v>
      </c>
      <c r="D190" s="15">
        <v>214.67</v>
      </c>
      <c r="E190" s="15">
        <v>214.77</v>
      </c>
      <c r="G190" s="19">
        <f t="shared" si="2"/>
        <v>43989.928495370375</v>
      </c>
    </row>
    <row r="191" spans="2:7" x14ac:dyDescent="0.35">
      <c r="B191" s="15" t="s">
        <v>1</v>
      </c>
      <c r="C191" s="15">
        <v>1591568227</v>
      </c>
      <c r="D191" s="15">
        <v>214.68</v>
      </c>
      <c r="E191" s="15">
        <v>214.77</v>
      </c>
      <c r="G191" s="19">
        <f t="shared" si="2"/>
        <v>43989.928553240738</v>
      </c>
    </row>
    <row r="192" spans="2:7" x14ac:dyDescent="0.35">
      <c r="B192" s="15" t="s">
        <v>1</v>
      </c>
      <c r="C192" s="15">
        <v>1591568231</v>
      </c>
      <c r="D192" s="15">
        <v>214.69</v>
      </c>
      <c r="E192" s="15">
        <v>214.77</v>
      </c>
      <c r="G192" s="19">
        <f t="shared" si="2"/>
        <v>43989.928599537037</v>
      </c>
    </row>
    <row r="193" spans="2:7" x14ac:dyDescent="0.35">
      <c r="B193" s="15" t="s">
        <v>1</v>
      </c>
      <c r="C193" s="15">
        <v>1591568235</v>
      </c>
      <c r="D193" s="15">
        <v>214.7</v>
      </c>
      <c r="E193" s="15">
        <v>214.77</v>
      </c>
      <c r="G193" s="19">
        <f t="shared" si="2"/>
        <v>43989.928645833337</v>
      </c>
    </row>
    <row r="194" spans="2:7" x14ac:dyDescent="0.35">
      <c r="B194" s="15" t="s">
        <v>1</v>
      </c>
      <c r="C194" s="15">
        <v>1591568236</v>
      </c>
      <c r="D194" s="15">
        <v>214.73</v>
      </c>
      <c r="E194" s="15">
        <v>214.77</v>
      </c>
      <c r="G194" s="19">
        <f t="shared" si="2"/>
        <v>43989.928657407407</v>
      </c>
    </row>
    <row r="195" spans="2:7" x14ac:dyDescent="0.35">
      <c r="B195" s="15" t="s">
        <v>1</v>
      </c>
      <c r="C195" s="15">
        <v>1591568237</v>
      </c>
      <c r="D195" s="15">
        <v>214.73</v>
      </c>
      <c r="E195" s="15">
        <v>214.79</v>
      </c>
      <c r="G195" s="19">
        <f t="shared" si="2"/>
        <v>43989.928668981476</v>
      </c>
    </row>
    <row r="196" spans="2:7" x14ac:dyDescent="0.35">
      <c r="B196" s="15" t="s">
        <v>1</v>
      </c>
      <c r="C196" s="15">
        <v>1591568238</v>
      </c>
      <c r="D196" s="15">
        <v>214.74</v>
      </c>
      <c r="E196" s="15">
        <v>214.79</v>
      </c>
      <c r="G196" s="19">
        <f t="shared" si="2"/>
        <v>43989.92868055556</v>
      </c>
    </row>
    <row r="197" spans="2:7" x14ac:dyDescent="0.35">
      <c r="B197" s="15" t="s">
        <v>1</v>
      </c>
      <c r="C197" s="15">
        <v>1591568242</v>
      </c>
      <c r="D197" s="15">
        <v>214.75</v>
      </c>
      <c r="E197" s="15">
        <v>214.79</v>
      </c>
      <c r="G197" s="19">
        <f t="shared" si="2"/>
        <v>43989.928726851853</v>
      </c>
    </row>
    <row r="198" spans="2:7" x14ac:dyDescent="0.35">
      <c r="B198" s="15" t="s">
        <v>1</v>
      </c>
      <c r="C198" s="15">
        <v>1591568244</v>
      </c>
      <c r="D198" s="15">
        <v>214.74</v>
      </c>
      <c r="E198" s="15">
        <v>214.79</v>
      </c>
      <c r="G198" s="19">
        <f t="shared" si="2"/>
        <v>43989.928749999999</v>
      </c>
    </row>
    <row r="199" spans="2:7" x14ac:dyDescent="0.35">
      <c r="B199" s="15" t="s">
        <v>1</v>
      </c>
      <c r="C199" s="15">
        <v>1591568247</v>
      </c>
      <c r="D199" s="15">
        <v>214.75</v>
      </c>
      <c r="E199" s="15">
        <v>214.79</v>
      </c>
      <c r="G199" s="19">
        <f t="shared" si="2"/>
        <v>43989.928784722222</v>
      </c>
    </row>
    <row r="200" spans="2:7" x14ac:dyDescent="0.35">
      <c r="B200" s="15" t="s">
        <v>1</v>
      </c>
      <c r="C200" s="15">
        <v>1591568250</v>
      </c>
      <c r="D200" s="15">
        <v>214.76</v>
      </c>
      <c r="E200" s="15">
        <v>214.79</v>
      </c>
      <c r="G200" s="19">
        <f t="shared" si="2"/>
        <v>43989.928819444445</v>
      </c>
    </row>
    <row r="201" spans="2:7" x14ac:dyDescent="0.35">
      <c r="B201" s="15" t="s">
        <v>1</v>
      </c>
      <c r="C201" s="15">
        <v>1591568253</v>
      </c>
      <c r="D201" s="15">
        <v>214.7</v>
      </c>
      <c r="E201" s="15">
        <v>214.82</v>
      </c>
      <c r="G201" s="19">
        <f t="shared" si="2"/>
        <v>43989.928854166668</v>
      </c>
    </row>
    <row r="202" spans="2:7" x14ac:dyDescent="0.35">
      <c r="B202" s="15" t="s">
        <v>1</v>
      </c>
      <c r="C202" s="15">
        <v>1591568254</v>
      </c>
      <c r="D202" s="15">
        <v>214.71</v>
      </c>
      <c r="E202" s="15">
        <v>214.81</v>
      </c>
      <c r="G202" s="19">
        <f t="shared" si="2"/>
        <v>43989.928865740745</v>
      </c>
    </row>
    <row r="203" spans="2:7" x14ac:dyDescent="0.35">
      <c r="B203" s="15" t="s">
        <v>1</v>
      </c>
      <c r="C203" s="15">
        <v>1591568256</v>
      </c>
      <c r="D203" s="15">
        <v>214.71</v>
      </c>
      <c r="E203" s="15">
        <v>214.82</v>
      </c>
      <c r="G203" s="19">
        <f t="shared" si="2"/>
        <v>43989.928888888884</v>
      </c>
    </row>
    <row r="204" spans="2:7" x14ac:dyDescent="0.35">
      <c r="B204" s="15" t="s">
        <v>1</v>
      </c>
      <c r="C204" s="15">
        <v>1591568256</v>
      </c>
      <c r="D204" s="15">
        <v>214.72</v>
      </c>
      <c r="E204" s="15">
        <v>214.82</v>
      </c>
      <c r="G204" s="19">
        <f t="shared" si="2"/>
        <v>43989.928888888884</v>
      </c>
    </row>
    <row r="205" spans="2:7" x14ac:dyDescent="0.35">
      <c r="B205" s="15" t="s">
        <v>1</v>
      </c>
      <c r="C205" s="15">
        <v>1591568258</v>
      </c>
      <c r="D205" s="15">
        <v>214.72</v>
      </c>
      <c r="E205" s="15">
        <v>214.81</v>
      </c>
      <c r="G205" s="19">
        <f t="shared" si="2"/>
        <v>43989.928912037038</v>
      </c>
    </row>
    <row r="206" spans="2:7" x14ac:dyDescent="0.35">
      <c r="B206" s="15" t="s">
        <v>1</v>
      </c>
      <c r="C206" s="15">
        <v>1591568259</v>
      </c>
      <c r="D206" s="15">
        <v>214.76</v>
      </c>
      <c r="E206" s="15">
        <v>214.82</v>
      </c>
      <c r="G206" s="19">
        <f t="shared" si="2"/>
        <v>43989.928923611107</v>
      </c>
    </row>
    <row r="207" spans="2:7" x14ac:dyDescent="0.35">
      <c r="B207" s="15" t="s">
        <v>1</v>
      </c>
      <c r="C207" s="15">
        <v>1591568260</v>
      </c>
      <c r="D207" s="15">
        <v>214.84</v>
      </c>
      <c r="E207" s="15">
        <v>214.85</v>
      </c>
      <c r="G207" s="19">
        <f t="shared" ref="G207:G213" si="3">IFERROR(TimestampToExcel_2(C207),)</f>
        <v>43989.928935185184</v>
      </c>
    </row>
    <row r="208" spans="2:7" x14ac:dyDescent="0.35">
      <c r="B208" s="15" t="s">
        <v>1</v>
      </c>
      <c r="C208" s="15">
        <v>1591568313</v>
      </c>
      <c r="D208" s="15">
        <v>214.83</v>
      </c>
      <c r="E208" s="15">
        <v>214.85</v>
      </c>
      <c r="G208" s="19">
        <f t="shared" si="3"/>
        <v>43989.929548611108</v>
      </c>
    </row>
    <row r="209" spans="2:7" x14ac:dyDescent="0.35">
      <c r="B209" s="15" t="s">
        <v>1</v>
      </c>
      <c r="C209" s="15">
        <v>1591568320</v>
      </c>
      <c r="D209" s="15">
        <v>214.84</v>
      </c>
      <c r="E209" s="15">
        <v>214.85</v>
      </c>
      <c r="G209" s="19">
        <f t="shared" si="3"/>
        <v>43989.929629629631</v>
      </c>
    </row>
    <row r="210" spans="2:7" x14ac:dyDescent="0.35">
      <c r="B210" s="15" t="s">
        <v>1</v>
      </c>
      <c r="C210" s="15">
        <v>1591568497</v>
      </c>
      <c r="D210" s="15">
        <v>214.77</v>
      </c>
      <c r="E210" s="15">
        <v>214.85</v>
      </c>
      <c r="G210" s="19">
        <f t="shared" si="3"/>
        <v>43989.93167824074</v>
      </c>
    </row>
    <row r="211" spans="2:7" x14ac:dyDescent="0.35">
      <c r="B211" s="15" t="s">
        <v>1</v>
      </c>
      <c r="C211" s="15">
        <v>1591568499</v>
      </c>
      <c r="D211" s="15">
        <v>214.77</v>
      </c>
      <c r="E211" s="15">
        <v>214.84</v>
      </c>
      <c r="G211" s="19">
        <f t="shared" si="3"/>
        <v>43989.931701388894</v>
      </c>
    </row>
    <row r="212" spans="2:7" x14ac:dyDescent="0.35">
      <c r="B212" s="15" t="s">
        <v>1</v>
      </c>
      <c r="C212" s="15">
        <v>1591568500</v>
      </c>
      <c r="D212" s="15">
        <v>214.77</v>
      </c>
      <c r="E212" s="15">
        <v>214.83</v>
      </c>
      <c r="G212" s="19">
        <f t="shared" si="3"/>
        <v>43989.931712962964</v>
      </c>
    </row>
    <row r="213" spans="2:7" x14ac:dyDescent="0.35">
      <c r="B213" s="15" t="s">
        <v>1</v>
      </c>
      <c r="C213" s="15">
        <v>1591568502</v>
      </c>
      <c r="D213" s="15">
        <v>214.77</v>
      </c>
      <c r="E213" s="15">
        <v>214.8</v>
      </c>
      <c r="G213" s="19">
        <f t="shared" si="3"/>
        <v>43989.93173611111</v>
      </c>
    </row>
  </sheetData>
  <hyperlinks>
    <hyperlink ref="B10" location="'Kraken Spread'!B10" display="Get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Kraken GetCurrentPrice</vt:lpstr>
      <vt:lpstr>Kraken Time</vt:lpstr>
      <vt:lpstr>Kraken AssetInfos</vt:lpstr>
      <vt:lpstr>Kraken AssetPairs</vt:lpstr>
      <vt:lpstr>Kraken Ticker</vt:lpstr>
      <vt:lpstr>Kraken OHLC data</vt:lpstr>
      <vt:lpstr>Kraken OrderBook</vt:lpstr>
      <vt:lpstr>Kraken RecentTrades</vt:lpstr>
      <vt:lpstr>Kraken Spread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2020-06-05T11:39:51Z</dcterms:created>
  <dcterms:modified xsi:type="dcterms:W3CDTF">2020-06-07T23:05:19Z</dcterms:modified>
</cp:coreProperties>
</file>